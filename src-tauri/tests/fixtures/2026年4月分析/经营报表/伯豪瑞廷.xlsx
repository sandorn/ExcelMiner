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8160" yWindow="30" windowWidth="20565" windowHeight="12375"/>
  </bookViews>
  <sheets>
    <sheet name="指标统计" sheetId="5" r:id="rId1"/>
    <sheet name="预算执行汇总" sheetId="3" r:id="rId2"/>
    <sheet name="费用预算执行明细" sheetId="2" r:id="rId3"/>
    <sheet name="资本性支出计划与执行" sheetId="6" r:id="rId4"/>
  </sheets>
  <definedNames>
    <definedName name="_xlnm._FilterDatabase" localSheetId="3" hidden="1">资本性支出计划与执行!$A$2:$P$37</definedName>
  </definedNames>
  <calcPr calcId="14562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  <c r="F42" i="2"/>
  <c r="E42" i="2" l="1"/>
  <c r="O4" i="3" l="1"/>
  <c r="P4" i="3" s="1"/>
  <c r="O12" i="3"/>
  <c r="P12" i="3" s="1"/>
  <c r="B12" i="3"/>
  <c r="O13" i="3"/>
  <c r="P13" i="3" s="1"/>
  <c r="O14" i="3"/>
  <c r="P14" i="3" s="1"/>
  <c r="O15" i="3"/>
  <c r="P15" i="3" s="1"/>
  <c r="F28" i="6" l="1"/>
  <c r="G37" i="6"/>
  <c r="H37" i="6"/>
  <c r="G36" i="6"/>
  <c r="F36" i="6"/>
  <c r="F35" i="6"/>
  <c r="G35" i="6" s="1"/>
  <c r="F34" i="6"/>
  <c r="G34" i="6" s="1"/>
  <c r="F33" i="6"/>
  <c r="G33" i="6" s="1"/>
  <c r="F32" i="6"/>
  <c r="G32" i="6" s="1"/>
  <c r="F31" i="6"/>
  <c r="G31" i="6" s="1"/>
  <c r="G30" i="6"/>
  <c r="F30" i="6"/>
  <c r="F29" i="6"/>
  <c r="G29" i="6" s="1"/>
  <c r="G28" i="6"/>
  <c r="F27" i="6"/>
  <c r="G27" i="6" s="1"/>
  <c r="F26" i="6"/>
  <c r="G26" i="6" s="1"/>
  <c r="F25" i="6"/>
  <c r="G25" i="6" s="1"/>
  <c r="G24" i="6"/>
  <c r="F24" i="6"/>
  <c r="F23" i="6"/>
  <c r="G23" i="6" s="1"/>
  <c r="F22" i="6"/>
  <c r="G22" i="6" s="1"/>
  <c r="F21" i="6"/>
  <c r="G21" i="6" s="1"/>
  <c r="F20" i="6"/>
  <c r="G20" i="6" s="1"/>
  <c r="F19" i="6"/>
  <c r="G19" i="6" s="1"/>
  <c r="G18" i="6"/>
  <c r="F18" i="6"/>
  <c r="F17" i="6"/>
  <c r="G17" i="6" s="1"/>
  <c r="F16" i="6"/>
  <c r="G16" i="6" s="1"/>
  <c r="F15" i="6"/>
  <c r="G15" i="6" s="1"/>
  <c r="F14" i="6"/>
  <c r="G14" i="6" s="1"/>
  <c r="F13" i="6"/>
  <c r="G13" i="6" s="1"/>
  <c r="G12" i="6"/>
  <c r="F12" i="6"/>
  <c r="F11" i="6"/>
  <c r="G11" i="6" s="1"/>
  <c r="F10" i="6"/>
  <c r="G10" i="6" s="1"/>
  <c r="F9" i="6"/>
  <c r="G9" i="6" s="1"/>
  <c r="F8" i="6"/>
  <c r="G8" i="6" s="1"/>
  <c r="F7" i="6"/>
  <c r="G7" i="6" s="1"/>
  <c r="G6" i="6"/>
  <c r="F6" i="6"/>
  <c r="F5" i="6"/>
  <c r="G5" i="6" s="1"/>
  <c r="F4" i="6"/>
  <c r="G4" i="6" s="1"/>
  <c r="F3" i="6"/>
  <c r="G3" i="6" s="1"/>
  <c r="C4" i="5" l="1"/>
  <c r="D4" i="5" a="1"/>
  <c r="H4" i="5" s="1"/>
  <c r="D4" i="5"/>
  <c r="E4" i="5"/>
  <c r="F4" i="5"/>
  <c r="G4" i="5"/>
  <c r="P6" i="5"/>
  <c r="Q6" i="5" s="1"/>
  <c r="Q15" i="5"/>
  <c r="P16" i="5"/>
  <c r="Q16" i="5" s="1"/>
  <c r="P17" i="5" a="1"/>
  <c r="P17" i="5" s="1"/>
  <c r="Q17" i="5" s="1"/>
  <c r="P18" i="5" a="1"/>
  <c r="P18" i="5" s="1"/>
  <c r="Q18" i="5" s="1"/>
  <c r="P19" i="5" a="1"/>
  <c r="P19" i="5" s="1"/>
  <c r="Q19" i="5" s="1"/>
  <c r="P20" i="5" a="1"/>
  <c r="P20" i="5"/>
  <c r="Q20" i="5"/>
  <c r="D7" i="5" l="1" a="1"/>
  <c r="O4" i="5"/>
  <c r="L4" i="5"/>
  <c r="M4" i="5"/>
  <c r="K4" i="5"/>
  <c r="J4" i="5"/>
  <c r="N4" i="5"/>
  <c r="I4" i="5"/>
  <c r="P4" i="5" l="1"/>
  <c r="Q4" i="5" s="1"/>
  <c r="M14" i="5"/>
  <c r="K14" i="5"/>
  <c r="N14" i="5"/>
  <c r="K9" i="5"/>
  <c r="M13" i="5"/>
  <c r="L14" i="5"/>
  <c r="O14" i="5"/>
  <c r="D14" i="5"/>
  <c r="F14" i="5"/>
  <c r="J14" i="5"/>
  <c r="E14" i="5"/>
  <c r="H14" i="5"/>
  <c r="G14" i="5"/>
  <c r="I14" i="5"/>
  <c r="C7" i="5" a="1"/>
  <c r="B5" i="2"/>
  <c r="B7" i="3" s="1"/>
  <c r="B16" i="2"/>
  <c r="B22" i="2"/>
  <c r="C5" i="2"/>
  <c r="C16" i="2"/>
  <c r="C22" i="2"/>
  <c r="D5" i="2"/>
  <c r="D7" i="3" s="1"/>
  <c r="D16" i="2"/>
  <c r="D22" i="2"/>
  <c r="E5" i="2"/>
  <c r="E16" i="2"/>
  <c r="E22" i="2"/>
  <c r="E15" i="2"/>
  <c r="F5" i="2"/>
  <c r="F7" i="3" s="1"/>
  <c r="F16" i="2"/>
  <c r="F22" i="2"/>
  <c r="G5" i="2"/>
  <c r="G7" i="3" s="1"/>
  <c r="H9" i="5" s="1"/>
  <c r="G16" i="2"/>
  <c r="G22" i="2"/>
  <c r="G15" i="2" s="1"/>
  <c r="G8" i="3" s="1"/>
  <c r="H10" i="5" s="1"/>
  <c r="H5" i="2"/>
  <c r="H7" i="3" s="1"/>
  <c r="I9" i="5" s="1"/>
  <c r="H16" i="2"/>
  <c r="H22" i="2"/>
  <c r="I5" i="2"/>
  <c r="I16" i="2"/>
  <c r="I22" i="2"/>
  <c r="I15" i="2" s="1"/>
  <c r="J5" i="2"/>
  <c r="J7" i="3" s="1"/>
  <c r="J16" i="2"/>
  <c r="J22" i="2"/>
  <c r="K5" i="2"/>
  <c r="K16" i="2"/>
  <c r="K22" i="2"/>
  <c r="L5" i="2"/>
  <c r="L16" i="2"/>
  <c r="L15" i="2" s="1"/>
  <c r="L22" i="2"/>
  <c r="M5" i="2"/>
  <c r="M7" i="3" s="1"/>
  <c r="N9" i="5" s="1"/>
  <c r="M16" i="2"/>
  <c r="M22" i="2"/>
  <c r="N5" i="2"/>
  <c r="N7" i="3" s="1"/>
  <c r="N16" i="2"/>
  <c r="N22" i="2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7" i="2"/>
  <c r="P17" i="2" s="1"/>
  <c r="O18" i="2"/>
  <c r="P18" i="2"/>
  <c r="O19" i="2"/>
  <c r="P19" i="2" s="1"/>
  <c r="O20" i="2"/>
  <c r="P20" i="2" s="1"/>
  <c r="O21" i="2"/>
  <c r="P21" i="2" s="1"/>
  <c r="O23" i="2"/>
  <c r="P23" i="2" s="1"/>
  <c r="O24" i="2"/>
  <c r="P24" i="2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/>
  <c r="O39" i="2"/>
  <c r="P39" i="2" s="1"/>
  <c r="O40" i="2"/>
  <c r="P40" i="2" s="1"/>
  <c r="O41" i="2"/>
  <c r="P41" i="2" s="1"/>
  <c r="O42" i="2"/>
  <c r="P42" i="2" s="1"/>
  <c r="C45" i="2"/>
  <c r="C66" i="2"/>
  <c r="C70" i="2"/>
  <c r="C76" i="2"/>
  <c r="C81" i="2"/>
  <c r="D45" i="2"/>
  <c r="D66" i="2"/>
  <c r="D70" i="2"/>
  <c r="D76" i="2"/>
  <c r="D81" i="2"/>
  <c r="E45" i="2"/>
  <c r="E66" i="2"/>
  <c r="E70" i="2"/>
  <c r="E76" i="2"/>
  <c r="E81" i="2"/>
  <c r="F45" i="2"/>
  <c r="F66" i="2"/>
  <c r="F70" i="2"/>
  <c r="F76" i="2"/>
  <c r="F81" i="2"/>
  <c r="F69" i="2"/>
  <c r="G45" i="2"/>
  <c r="G66" i="2"/>
  <c r="G44" i="2" s="1"/>
  <c r="G70" i="2"/>
  <c r="G76" i="2"/>
  <c r="G81" i="2"/>
  <c r="H45" i="2"/>
  <c r="H66" i="2"/>
  <c r="H44" i="2"/>
  <c r="H70" i="2"/>
  <c r="H76" i="2"/>
  <c r="H81" i="2"/>
  <c r="I45" i="2"/>
  <c r="I66" i="2"/>
  <c r="I70" i="2"/>
  <c r="I76" i="2"/>
  <c r="I81" i="2"/>
  <c r="J45" i="2"/>
  <c r="J66" i="2"/>
  <c r="J70" i="2"/>
  <c r="J76" i="2"/>
  <c r="J81" i="2"/>
  <c r="K45" i="2"/>
  <c r="K66" i="2"/>
  <c r="K70" i="2"/>
  <c r="K76" i="2"/>
  <c r="K81" i="2"/>
  <c r="L45" i="2"/>
  <c r="L66" i="2"/>
  <c r="L70" i="2"/>
  <c r="L76" i="2"/>
  <c r="L81" i="2"/>
  <c r="L69" i="2"/>
  <c r="L11" i="3" s="1"/>
  <c r="M45" i="2"/>
  <c r="M66" i="2"/>
  <c r="M70" i="2"/>
  <c r="M76" i="2"/>
  <c r="M81" i="2"/>
  <c r="N45" i="2"/>
  <c r="N66" i="2"/>
  <c r="N70" i="2"/>
  <c r="N76" i="2"/>
  <c r="N81" i="2"/>
  <c r="B45" i="2"/>
  <c r="B66" i="2"/>
  <c r="B70" i="2"/>
  <c r="B76" i="2"/>
  <c r="B81" i="2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/>
  <c r="O52" i="2"/>
  <c r="P52" i="2"/>
  <c r="O53" i="2"/>
  <c r="P53" i="2"/>
  <c r="O54" i="2"/>
  <c r="P54" i="2"/>
  <c r="O55" i="2"/>
  <c r="P55" i="2" s="1"/>
  <c r="O56" i="2"/>
  <c r="P56" i="2" s="1"/>
  <c r="O57" i="2"/>
  <c r="P57" i="2"/>
  <c r="O58" i="2"/>
  <c r="P58" i="2"/>
  <c r="O59" i="2"/>
  <c r="P59" i="2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7" i="2"/>
  <c r="P67" i="2" s="1"/>
  <c r="O68" i="2"/>
  <c r="P68" i="2" s="1"/>
  <c r="O71" i="2"/>
  <c r="P71" i="2" s="1"/>
  <c r="O72" i="2"/>
  <c r="P72" i="2" s="1"/>
  <c r="O73" i="2"/>
  <c r="P73" i="2" s="1"/>
  <c r="O74" i="2"/>
  <c r="P74" i="2" s="1"/>
  <c r="O75" i="2"/>
  <c r="P75" i="2" s="1"/>
  <c r="O77" i="2"/>
  <c r="P77" i="2" s="1"/>
  <c r="O78" i="2"/>
  <c r="P78" i="2" s="1"/>
  <c r="O79" i="2"/>
  <c r="P79" i="2" s="1"/>
  <c r="O80" i="2"/>
  <c r="P80" i="2" s="1"/>
  <c r="O82" i="2"/>
  <c r="P82" i="2" s="1"/>
  <c r="O83" i="2"/>
  <c r="P83" i="2" s="1"/>
  <c r="E44" i="2" l="1"/>
  <c r="E10" i="3" s="1"/>
  <c r="F12" i="5" s="1"/>
  <c r="L8" i="3"/>
  <c r="M10" i="5" s="1"/>
  <c r="F11" i="3"/>
  <c r="G13" i="5" s="1"/>
  <c r="H69" i="2"/>
  <c r="L7" i="3"/>
  <c r="M9" i="5" s="1"/>
  <c r="C7" i="3"/>
  <c r="O7" i="3" s="1"/>
  <c r="P7" i="3" s="1"/>
  <c r="E8" i="3"/>
  <c r="F10" i="5" s="1"/>
  <c r="G10" i="3"/>
  <c r="H12" i="5" s="1"/>
  <c r="H10" i="3"/>
  <c r="I12" i="5" s="1"/>
  <c r="I8" i="3"/>
  <c r="J10" i="5" s="1"/>
  <c r="I7" i="3"/>
  <c r="J9" i="5" s="1"/>
  <c r="K7" i="3"/>
  <c r="L9" i="5" s="1"/>
  <c r="G69" i="2"/>
  <c r="G43" i="2" s="1"/>
  <c r="G9" i="3" s="1"/>
  <c r="G16" i="3" s="1"/>
  <c r="E7" i="3"/>
  <c r="F9" i="5" s="1"/>
  <c r="E9" i="5"/>
  <c r="B69" i="2"/>
  <c r="B11" i="3" s="1"/>
  <c r="B44" i="2"/>
  <c r="B10" i="3" s="1"/>
  <c r="B15" i="2"/>
  <c r="B8" i="3" s="1"/>
  <c r="C10" i="5" s="1"/>
  <c r="C69" i="2"/>
  <c r="I69" i="2"/>
  <c r="E69" i="2"/>
  <c r="C12" i="5"/>
  <c r="B43" i="2"/>
  <c r="B9" i="3" s="1"/>
  <c r="B16" i="3" s="1"/>
  <c r="C9" i="5"/>
  <c r="I44" i="2"/>
  <c r="F44" i="2"/>
  <c r="F43" i="2" s="1"/>
  <c r="F9" i="3" s="1"/>
  <c r="F16" i="3" s="1"/>
  <c r="L44" i="2"/>
  <c r="H15" i="2"/>
  <c r="C15" i="2"/>
  <c r="D15" i="2"/>
  <c r="F15" i="2"/>
  <c r="J15" i="2"/>
  <c r="F4" i="2"/>
  <c r="F6" i="3" s="1"/>
  <c r="F18" i="3" s="1"/>
  <c r="G9" i="5"/>
  <c r="E4" i="2"/>
  <c r="E6" i="3" s="1"/>
  <c r="N44" i="2"/>
  <c r="N10" i="3" s="1"/>
  <c r="N15" i="2"/>
  <c r="N8" i="3" s="1"/>
  <c r="N69" i="2"/>
  <c r="N11" i="3" s="1"/>
  <c r="O9" i="5"/>
  <c r="C14" i="5"/>
  <c r="C13" i="5"/>
  <c r="P14" i="5"/>
  <c r="M44" i="2"/>
  <c r="M15" i="2"/>
  <c r="M69" i="2"/>
  <c r="L4" i="2"/>
  <c r="L6" i="3" s="1"/>
  <c r="K44" i="2"/>
  <c r="O66" i="2"/>
  <c r="P66" i="2" s="1"/>
  <c r="K15" i="2"/>
  <c r="K69" i="2"/>
  <c r="O81" i="2"/>
  <c r="P81" i="2" s="1"/>
  <c r="J44" i="2"/>
  <c r="O76" i="2"/>
  <c r="P76" i="2" s="1"/>
  <c r="J69" i="2"/>
  <c r="O22" i="2"/>
  <c r="P22" i="2" s="1"/>
  <c r="J4" i="2"/>
  <c r="J6" i="3" s="1"/>
  <c r="O70" i="2"/>
  <c r="P70" i="2" s="1"/>
  <c r="O16" i="2"/>
  <c r="P16" i="2" s="1"/>
  <c r="I4" i="2"/>
  <c r="I6" i="3" s="1"/>
  <c r="O45" i="2"/>
  <c r="P45" i="2" s="1"/>
  <c r="O5" i="2"/>
  <c r="P5" i="2" s="1"/>
  <c r="L43" i="2"/>
  <c r="L9" i="3" s="1"/>
  <c r="L16" i="3" s="1"/>
  <c r="H4" i="2"/>
  <c r="H6" i="3" s="1"/>
  <c r="I43" i="2"/>
  <c r="I9" i="3" s="1"/>
  <c r="H43" i="2"/>
  <c r="H9" i="3" s="1"/>
  <c r="H16" i="3" s="1"/>
  <c r="G4" i="2"/>
  <c r="G6" i="3" s="1"/>
  <c r="D44" i="2"/>
  <c r="D69" i="2"/>
  <c r="C44" i="2"/>
  <c r="E43" i="2" l="1"/>
  <c r="E9" i="3" s="1"/>
  <c r="E16" i="3" s="1"/>
  <c r="G5" i="3"/>
  <c r="G19" i="3"/>
  <c r="G18" i="3"/>
  <c r="M8" i="3"/>
  <c r="N10" i="5" s="1"/>
  <c r="I19" i="3"/>
  <c r="I16" i="3"/>
  <c r="J11" i="3"/>
  <c r="K13" i="5" s="1"/>
  <c r="D9" i="5"/>
  <c r="P9" i="5" s="1"/>
  <c r="Q9" i="5" s="1"/>
  <c r="J8" i="3"/>
  <c r="K10" i="5" s="1"/>
  <c r="F8" i="3"/>
  <c r="G10" i="5" s="1"/>
  <c r="K8" i="3"/>
  <c r="L10" i="5" s="1"/>
  <c r="F10" i="3"/>
  <c r="G12" i="5" s="1"/>
  <c r="M11" i="3"/>
  <c r="N13" i="5" s="1"/>
  <c r="F19" i="3"/>
  <c r="G5" i="5" s="1"/>
  <c r="F5" i="3"/>
  <c r="G7" i="5" s="1"/>
  <c r="N12" i="5"/>
  <c r="M10" i="3"/>
  <c r="I11" i="3"/>
  <c r="J13" i="5" s="1"/>
  <c r="J10" i="3"/>
  <c r="K12" i="5" s="1"/>
  <c r="I10" i="3"/>
  <c r="J12" i="5" s="1"/>
  <c r="H18" i="3"/>
  <c r="H19" i="3"/>
  <c r="I5" i="5" s="1"/>
  <c r="H5" i="3"/>
  <c r="I7" i="5" s="1"/>
  <c r="H11" i="3"/>
  <c r="I13" i="5" s="1"/>
  <c r="G11" i="3"/>
  <c r="H13" i="5" s="1"/>
  <c r="E11" i="3"/>
  <c r="F13" i="5" s="1"/>
  <c r="H8" i="3"/>
  <c r="I10" i="5" s="1"/>
  <c r="K11" i="3"/>
  <c r="L13" i="5" s="1"/>
  <c r="M12" i="5"/>
  <c r="L10" i="3"/>
  <c r="I18" i="3"/>
  <c r="I5" i="3"/>
  <c r="K10" i="3"/>
  <c r="L12" i="5" s="1"/>
  <c r="L19" i="3"/>
  <c r="L5" i="3"/>
  <c r="L18" i="3"/>
  <c r="E19" i="3"/>
  <c r="F5" i="5" s="1"/>
  <c r="E5" i="3"/>
  <c r="B4" i="2"/>
  <c r="B6" i="3" s="1"/>
  <c r="D10" i="3"/>
  <c r="E12" i="5" s="1"/>
  <c r="C10" i="3"/>
  <c r="D11" i="3"/>
  <c r="E13" i="5" s="1"/>
  <c r="C11" i="3"/>
  <c r="C8" i="3"/>
  <c r="D10" i="5" s="1"/>
  <c r="D8" i="3"/>
  <c r="D4" i="2"/>
  <c r="D6" i="3" s="1"/>
  <c r="E8" i="5" s="1"/>
  <c r="C4" i="2"/>
  <c r="C6" i="3" s="1"/>
  <c r="C11" i="5"/>
  <c r="Q14" i="5"/>
  <c r="M11" i="5"/>
  <c r="I11" i="5"/>
  <c r="G11" i="5"/>
  <c r="F11" i="5"/>
  <c r="J11" i="5"/>
  <c r="H11" i="5"/>
  <c r="N43" i="2"/>
  <c r="N9" i="3" s="1"/>
  <c r="N16" i="3" s="1"/>
  <c r="M5" i="5"/>
  <c r="M7" i="5"/>
  <c r="M8" i="5"/>
  <c r="H7" i="5"/>
  <c r="H5" i="5"/>
  <c r="H8" i="5"/>
  <c r="I8" i="5"/>
  <c r="J7" i="5"/>
  <c r="J5" i="5"/>
  <c r="J8" i="5"/>
  <c r="K8" i="5"/>
  <c r="F7" i="5"/>
  <c r="F8" i="5"/>
  <c r="G8" i="5"/>
  <c r="O12" i="5"/>
  <c r="N4" i="2"/>
  <c r="N6" i="3" s="1"/>
  <c r="O10" i="5"/>
  <c r="O13" i="5"/>
  <c r="O8" i="5"/>
  <c r="M4" i="2"/>
  <c r="M6" i="3" s="1"/>
  <c r="M43" i="2"/>
  <c r="M9" i="3" s="1"/>
  <c r="M16" i="3" s="1"/>
  <c r="K43" i="2"/>
  <c r="K9" i="3" s="1"/>
  <c r="K16" i="3" s="1"/>
  <c r="K4" i="2"/>
  <c r="K6" i="3" s="1"/>
  <c r="O15" i="2"/>
  <c r="P15" i="2" s="1"/>
  <c r="O69" i="2"/>
  <c r="P69" i="2" s="1"/>
  <c r="J43" i="2"/>
  <c r="J9" i="3" s="1"/>
  <c r="J16" i="3" s="1"/>
  <c r="D43" i="2"/>
  <c r="D9" i="3" s="1"/>
  <c r="D16" i="3" s="1"/>
  <c r="C43" i="2"/>
  <c r="C9" i="3" s="1"/>
  <c r="O44" i="2"/>
  <c r="P44" i="2" s="1"/>
  <c r="E18" i="3" l="1"/>
  <c r="O8" i="3"/>
  <c r="P8" i="3" s="1"/>
  <c r="B19" i="3"/>
  <c r="C5" i="5" s="1"/>
  <c r="B5" i="3"/>
  <c r="C7" i="5" s="1"/>
  <c r="B18" i="3"/>
  <c r="J18" i="3"/>
  <c r="M19" i="3"/>
  <c r="M5" i="3"/>
  <c r="N7" i="5" s="1"/>
  <c r="M18" i="3"/>
  <c r="N18" i="3"/>
  <c r="N19" i="3"/>
  <c r="O5" i="5" s="1"/>
  <c r="N5" i="3"/>
  <c r="O7" i="5" s="1"/>
  <c r="J5" i="3"/>
  <c r="K7" i="5" s="1"/>
  <c r="O10" i="3"/>
  <c r="P10" i="3" s="1"/>
  <c r="K19" i="3"/>
  <c r="K5" i="3"/>
  <c r="K18" i="3"/>
  <c r="C8" i="5"/>
  <c r="J19" i="3"/>
  <c r="K5" i="5" s="1"/>
  <c r="O11" i="3"/>
  <c r="P11" i="3" s="1"/>
  <c r="D12" i="5"/>
  <c r="P12" i="5" s="1"/>
  <c r="Q12" i="5" s="1"/>
  <c r="O6" i="3"/>
  <c r="P6" i="3" s="1"/>
  <c r="D19" i="3"/>
  <c r="E5" i="5" s="1"/>
  <c r="D18" i="3"/>
  <c r="D5" i="3"/>
  <c r="E7" i="5" s="1"/>
  <c r="C16" i="3"/>
  <c r="O9" i="3"/>
  <c r="D13" i="5"/>
  <c r="P13" i="5" s="1"/>
  <c r="Q13" i="5" s="1"/>
  <c r="C5" i="3"/>
  <c r="D7" i="5" s="1"/>
  <c r="C18" i="3"/>
  <c r="C19" i="3"/>
  <c r="D5" i="5" s="1"/>
  <c r="E10" i="5"/>
  <c r="P10" i="5" s="1"/>
  <c r="Q10" i="5" s="1"/>
  <c r="D8" i="5"/>
  <c r="O11" i="5"/>
  <c r="D11" i="5"/>
  <c r="E11" i="5"/>
  <c r="K11" i="5"/>
  <c r="L11" i="5"/>
  <c r="N11" i="5"/>
  <c r="L7" i="5"/>
  <c r="L5" i="5"/>
  <c r="L8" i="5"/>
  <c r="N5" i="5"/>
  <c r="N8" i="5"/>
  <c r="O4" i="2"/>
  <c r="P4" i="2" s="1"/>
  <c r="O43" i="2"/>
  <c r="P43" i="2" s="1"/>
  <c r="O18" i="3" l="1"/>
  <c r="P18" i="3" s="1"/>
  <c r="O19" i="3"/>
  <c r="P19" i="3" s="1"/>
  <c r="O5" i="3"/>
  <c r="P5" i="3" s="1"/>
  <c r="O16" i="3"/>
  <c r="P9" i="3"/>
  <c r="P11" i="5"/>
  <c r="Q11" i="5" s="1"/>
  <c r="P8" i="5"/>
  <c r="Q8" i="5" s="1"/>
  <c r="P5" i="5"/>
  <c r="Q5" i="5" s="1"/>
  <c r="P7" i="5"/>
  <c r="Q7" i="5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<sst xmlns="http://schemas.openxmlformats.org/spreadsheetml/2006/main" count="276" uniqueCount="179">
  <si>
    <t>指标</t>
  </si>
  <si>
    <t>项目</t>
  </si>
  <si>
    <t>执行率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</si>
  <si>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</si>
  <si>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</si>
  <si>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</si>
  <si>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</si>
  <si>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</si>
  <si>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</si>
  <si>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</si>
  <si>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</si>
  <si>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</si>
  <si>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</si>
  <si>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</si>
  <si>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</si>
  <si>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</si>
  <si>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</si>
  <si>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</si>
  <si>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</si>
  <si>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</si>
  <si>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</si>
  <si>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</si>
  <si>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</si>
  <si>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</si>
  <si>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</si>
  <si>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</si>
  <si>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</si>
  <si>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</si>
  <si>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</si>
  <si>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</si>
  <si>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</si>
  <si>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</si>
  <si>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</si>
  <si>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</si>
  <si>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</si>
  <si>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</si>
  <si>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</si>
  <si>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</si>
  <si>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</si>
  <si>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</si>
  <si>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</si>
  <si>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备注</t>
  </si>
  <si>
    <t>EBITDA=营业收入-固定费用-变动费用-税金及附加</t>
  </si>
  <si>
    <t>GOP=营业收入-固定费用-变动费用-财务费用（不含利息费用）</t>
  </si>
  <si>
    <t>需填列单元格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</si>
  <si>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</si>
  <si>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</si>
  <si>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</si>
  <si>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</si>
  <si>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</si>
  <si>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折旧摊销</t>
  </si>
  <si>
    <t>财务费用</t>
  </si>
  <si>
    <t>税金及附加</t>
  </si>
  <si>
    <t>变动费用率</t>
  </si>
  <si>
    <t>EBITDA</t>
  </si>
  <si>
    <t>GOP</t>
  </si>
  <si>
    <t>固定工资</t>
  </si>
  <si>
    <t>奖金</t>
  </si>
  <si>
    <t>福利费</t>
  </si>
  <si>
    <t>邮寄费</t>
  </si>
  <si>
    <t>差旅费</t>
  </si>
  <si>
    <t>业务招待费</t>
  </si>
  <si>
    <t>汽车费</t>
  </si>
  <si>
    <t>信息系统费</t>
  </si>
  <si>
    <t>通讯费</t>
  </si>
  <si>
    <t>会议费</t>
  </si>
  <si>
    <t>水电费</t>
  </si>
  <si>
    <t>招聘费</t>
  </si>
  <si>
    <t>广告宣传费</t>
  </si>
  <si>
    <t>咨询服务费</t>
  </si>
  <si>
    <t>法律诉讼费</t>
  </si>
  <si>
    <t>研究开发费</t>
  </si>
  <si>
    <t>质检认证费</t>
  </si>
  <si>
    <t>排污费</t>
  </si>
  <si>
    <t>残疾人就业保障金</t>
  </si>
  <si>
    <t>财产保险费</t>
  </si>
  <si>
    <t>开办费</t>
  </si>
  <si>
    <t>销售代理费</t>
  </si>
  <si>
    <t>销售佣金</t>
  </si>
  <si>
    <t>其他</t>
  </si>
  <si>
    <t>营业成本支出合计</t>
  </si>
  <si>
    <t>需填列</t>
  </si>
  <si>
    <t>资产类别</t>
  </si>
  <si>
    <t>资产类型</t>
  </si>
  <si>
    <t>资产名称</t>
  </si>
  <si>
    <t>数量</t>
  </si>
  <si>
    <t>单价</t>
  </si>
  <si>
    <t>金额</t>
  </si>
  <si>
    <t>资本性支出合计</t>
  </si>
  <si>
    <t>人力费用支出合计</t>
    <phoneticPr fontId="27" type="noConversion"/>
  </si>
  <si>
    <t>五险一金</t>
  </si>
  <si>
    <t>工会经费</t>
  </si>
  <si>
    <t>辞退补偿</t>
  </si>
  <si>
    <t>其他人力费用</t>
  </si>
  <si>
    <t>日常费用支出合计</t>
    <phoneticPr fontId="27" type="noConversion"/>
  </si>
  <si>
    <t>职场费用合计</t>
  </si>
  <si>
    <t>物业费</t>
  </si>
  <si>
    <t>取暖供冷费</t>
  </si>
  <si>
    <t>房屋租赁费</t>
  </si>
  <si>
    <t>办公费用合计</t>
  </si>
  <si>
    <t>低值易耗品</t>
  </si>
  <si>
    <t>设备修理费</t>
  </si>
  <si>
    <t>市内交通费</t>
  </si>
  <si>
    <t>办公杂费</t>
  </si>
  <si>
    <t>培训费</t>
  </si>
  <si>
    <t>经营变动费用支出合计</t>
    <phoneticPr fontId="27" type="noConversion"/>
  </si>
  <si>
    <t>业务费用合计</t>
  </si>
  <si>
    <t>临时工及劳务外包</t>
  </si>
  <si>
    <t>宿舍租赁费</t>
  </si>
  <si>
    <t>佣金及代理费合计</t>
  </si>
  <si>
    <t>客房成本合计</t>
  </si>
  <si>
    <t>客房用品损耗支出</t>
  </si>
  <si>
    <t>客房水电能源支出</t>
  </si>
  <si>
    <t>客房布草等物品清洁支出</t>
  </si>
  <si>
    <t>客房设备维修支出</t>
  </si>
  <si>
    <t>其他与客房直接相关的支出</t>
  </si>
  <si>
    <t>餐饮成本合计</t>
  </si>
  <si>
    <t>餐饮食材支出</t>
  </si>
  <si>
    <t>餐饮水电燃气支出</t>
  </si>
  <si>
    <t>餐饮设备维修支出</t>
  </si>
  <si>
    <t>其他与餐饮直接相关的支出</t>
  </si>
  <si>
    <t>会议成本合计</t>
  </si>
  <si>
    <t>会议设备支出</t>
  </si>
  <si>
    <t>其他与会议直接相关的支出</t>
  </si>
  <si>
    <t>办公、通讯及文字处理设备</t>
  </si>
  <si>
    <t>网络交换机(H3C S5048PV5-EI-PWR)</t>
  </si>
  <si>
    <t>机械动力设备</t>
  </si>
  <si>
    <t xml:space="preserve"> Honeyson客房小冰箱42L（带锁）</t>
  </si>
  <si>
    <t xml:space="preserve"> 定制保险柜（精工）</t>
  </si>
  <si>
    <t>安全防卫设备</t>
  </si>
  <si>
    <t>固定资产</t>
  </si>
  <si>
    <t>北京伯豪瑞廷酒店有限责任公司2026年预算执行情况明细表</t>
    <phoneticPr fontId="27" type="noConversion"/>
  </si>
  <si>
    <t>2026年实际</t>
    <phoneticPr fontId="27" type="noConversion"/>
  </si>
  <si>
    <t>北京伯豪瑞廷酒店有限责任公司2026年资本性支出执行情况明细表</t>
    <phoneticPr fontId="27" type="noConversion"/>
  </si>
  <si>
    <t>2026年预算</t>
    <phoneticPr fontId="27" type="noConversion"/>
  </si>
  <si>
    <t>2026年实际</t>
    <phoneticPr fontId="27" type="noConversion"/>
  </si>
  <si>
    <t>客房写字椅</t>
  </si>
  <si>
    <t>电器设备</t>
  </si>
  <si>
    <t>飞利浦液晶电视43寸</t>
  </si>
  <si>
    <t>飞利浦液晶电视65寸</t>
  </si>
  <si>
    <t>惠普台式电脑</t>
  </si>
  <si>
    <t>笔记本电脑</t>
  </si>
  <si>
    <t>惠普打印、扫描、复印一体机</t>
  </si>
  <si>
    <t>打印机</t>
  </si>
  <si>
    <t>吸水机</t>
  </si>
  <si>
    <t>三合一地毯抽洗机</t>
  </si>
  <si>
    <t>台式电脑及显示屏</t>
  </si>
  <si>
    <t>打印+复印一体机</t>
  </si>
  <si>
    <t>电饼铛</t>
  </si>
  <si>
    <t>双头炒灶</t>
  </si>
  <si>
    <t>大功率压面机</t>
  </si>
  <si>
    <t>上下铺床+床板+床垫</t>
  </si>
  <si>
    <t>台式电脑</t>
  </si>
  <si>
    <t>吸尘器</t>
  </si>
  <si>
    <t>宴会高身温车</t>
  </si>
  <si>
    <t>5盘风炉烤箱</t>
  </si>
  <si>
    <t>喷砂机</t>
  </si>
  <si>
    <t>双开门卧式风冷冰箱</t>
  </si>
  <si>
    <t>防火门</t>
  </si>
  <si>
    <t>其他长期</t>
    <phoneticPr fontId="27" type="noConversion"/>
  </si>
  <si>
    <t>客房客控箱更换</t>
  </si>
  <si>
    <t>44</t>
  </si>
  <si>
    <t>宴会厅（瑞和）新风机组更换（变风量）电机</t>
  </si>
  <si>
    <t>1</t>
  </si>
  <si>
    <t>部分客房及竖井空调管道更换</t>
  </si>
  <si>
    <t>161</t>
  </si>
  <si>
    <t>消防应急照明（EPS）恢复改造</t>
  </si>
  <si>
    <t>电梯机房加装5匹空调机组</t>
  </si>
  <si>
    <t>3</t>
  </si>
  <si>
    <t>原布草滑道封堵</t>
  </si>
  <si>
    <t>酒店监控设备系统</t>
  </si>
  <si>
    <t>可燃气体探测器</t>
  </si>
  <si>
    <t>25</t>
  </si>
  <si>
    <t>北京伯豪瑞廷酒店有限责任公司2026年预算执行情况汇总表</t>
    <phoneticPr fontId="27" type="noConversion"/>
  </si>
  <si>
    <t>2026年预算</t>
    <phoneticPr fontId="27" type="noConversion"/>
  </si>
  <si>
    <t>北京伯豪瑞廷酒店有限责任公司2026年经营指标统计表</t>
    <phoneticPr fontId="27" type="noConversion"/>
  </si>
  <si>
    <t>2026年执行情况</t>
    <phoneticPr fontId="27" type="noConversion"/>
  </si>
  <si>
    <t>2026年预算执行情况</t>
    <phoneticPr fontId="27" type="noConversion"/>
  </si>
  <si>
    <t>2026年执行情况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</si>
</sst>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 * #,##0.00_ ;_ * \-#,##0.00_ ;_ 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yyyy&quot;年&quot;m&quot;月&quot;;@"/>
    <numFmt numFmtId="179" formatCode="_ * #,##0.00%_ ;[Red]_ * \-#,##0.00%_ ;_ * &quot;-&quot;??_ ;_ @_ "/>
    <numFmt numFmtId="180" formatCode="_ * #,##0.00_ ;[Red]_ * \-#,##0.00_ ;_ * &quot;-&quot;??_ ;_ @_ "/>
    <numFmt numFmtId="181" formatCode="_ * #,##0.0%_ ;[Red]_ * \-#,##0.0%_ ;_ * &quot;-&quot;??_ ;_ @_ "/>
    <numFmt numFmtId="182" formatCode="0_);[Red]\(0\)"/>
    <numFmt numFmtId="183" formatCode="0.0%"/>
  </numFmts>
  <fonts count="36">
    <font>
      <sz val="11"/>
      <color theme="1"/>
      <name val="宋体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11"/>
      <color indexed="8"/>
      <name val="等线"/>
      <family val="3"/>
      <charset val="134"/>
    </font>
    <font>
      <sz val="12"/>
      <name val="Arial"/>
      <family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0.5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9">
    <xf numFmtId="176" fontId="0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176" fontId="23" fillId="0" borderId="0">
      <alignment vertical="center"/>
    </xf>
    <xf numFmtId="176" fontId="24" fillId="0" borderId="0"/>
    <xf numFmtId="176" fontId="23" fillId="0" borderId="0">
      <alignment vertical="center"/>
    </xf>
    <xf numFmtId="176" fontId="25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177" fontId="23" fillId="0" borderId="0" applyFont="0" applyBorder="0" applyAlignment="0" applyProtection="0">
      <alignment vertical="center"/>
    </xf>
    <xf numFmtId="0" fontId="26" fillId="0" borderId="0">
      <alignment vertical="center"/>
    </xf>
  </cellStyleXfs>
  <cellXfs count="107">
    <xf numFmtId="176" fontId="0" fillId="0" borderId="0" xfId="0">
      <alignment vertical="center"/>
    </xf>
    <xf numFmtId="176" fontId="1" fillId="0" borderId="0" xfId="0" applyFont="1">
      <alignment vertical="center"/>
    </xf>
    <xf numFmtId="43" fontId="5" fillId="3" borderId="1" xfId="6" applyFont="1" applyFill="1" applyBorder="1" applyAlignment="1">
      <alignment horizontal="left" vertical="center"/>
    </xf>
    <xf numFmtId="43" fontId="5" fillId="3" borderId="1" xfId="6" applyFont="1" applyFill="1" applyBorder="1" applyAlignment="1">
      <alignment horizontal="center" vertical="center"/>
    </xf>
    <xf numFmtId="176" fontId="7" fillId="0" borderId="0" xfId="0" applyFont="1">
      <alignment vertical="center"/>
    </xf>
    <xf numFmtId="176" fontId="7" fillId="3" borderId="0" xfId="0" applyFont="1" applyFill="1">
      <alignment vertical="center"/>
    </xf>
    <xf numFmtId="176" fontId="8" fillId="0" borderId="0" xfId="0" applyFont="1">
      <alignment vertical="center"/>
    </xf>
    <xf numFmtId="176" fontId="9" fillId="0" borderId="0" xfId="0" applyFont="1">
      <alignment vertical="center"/>
    </xf>
    <xf numFmtId="176" fontId="10" fillId="0" borderId="0" xfId="0" applyFont="1">
      <alignment vertical="center"/>
    </xf>
    <xf numFmtId="178" fontId="4" fillId="2" borderId="1" xfId="0" applyNumberFormat="1" applyFont="1" applyFill="1" applyBorder="1" applyAlignment="1">
      <alignment horizontal="center" vertical="center"/>
    </xf>
    <xf numFmtId="176" fontId="6" fillId="6" borderId="1" xfId="0" applyFont="1" applyFill="1" applyBorder="1" applyAlignment="1">
      <alignment horizontal="left" vertical="center"/>
    </xf>
    <xf numFmtId="43" fontId="6" fillId="6" borderId="1" xfId="0" applyNumberFormat="1" applyFont="1" applyFill="1" applyBorder="1">
      <alignment vertical="center"/>
    </xf>
    <xf numFmtId="43" fontId="11" fillId="7" borderId="1" xfId="0" applyNumberFormat="1" applyFont="1" applyFill="1" applyBorder="1">
      <alignment vertical="center"/>
    </xf>
    <xf numFmtId="43" fontId="11" fillId="3" borderId="1" xfId="0" applyNumberFormat="1" applyFont="1" applyFill="1" applyBorder="1">
      <alignment vertical="center"/>
    </xf>
    <xf numFmtId="176" fontId="6" fillId="6" borderId="1" xfId="0" applyFont="1" applyFill="1" applyBorder="1">
      <alignment vertical="center"/>
    </xf>
    <xf numFmtId="43" fontId="11" fillId="5" borderId="1" xfId="0" applyNumberFormat="1" applyFont="1" applyFill="1" applyBorder="1">
      <alignment vertical="center"/>
    </xf>
    <xf numFmtId="176" fontId="12" fillId="0" borderId="0" xfId="0" applyFont="1">
      <alignment vertical="center"/>
    </xf>
    <xf numFmtId="176" fontId="13" fillId="0" borderId="0" xfId="0" applyFont="1">
      <alignment vertical="center"/>
    </xf>
    <xf numFmtId="176" fontId="14" fillId="0" borderId="0" xfId="0" applyFont="1">
      <alignment vertical="center"/>
    </xf>
    <xf numFmtId="176" fontId="15" fillId="0" borderId="0" xfId="0" applyFont="1">
      <alignment vertical="center"/>
    </xf>
    <xf numFmtId="10" fontId="0" fillId="0" borderId="0" xfId="1" applyNumberFormat="1" applyFont="1">
      <alignment vertical="center"/>
    </xf>
    <xf numFmtId="43" fontId="6" fillId="3" borderId="1" xfId="0" applyNumberFormat="1" applyFont="1" applyFill="1" applyBorder="1">
      <alignment vertical="center"/>
    </xf>
    <xf numFmtId="176" fontId="11" fillId="5" borderId="1" xfId="0" applyFont="1" applyFill="1" applyBorder="1">
      <alignment vertical="center"/>
    </xf>
    <xf numFmtId="176" fontId="5" fillId="6" borderId="1" xfId="0" applyFont="1" applyFill="1" applyBorder="1">
      <alignment vertical="center"/>
    </xf>
    <xf numFmtId="43" fontId="5" fillId="6" borderId="1" xfId="0" applyNumberFormat="1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176" fontId="11" fillId="0" borderId="1" xfId="0" applyFont="1" applyBorder="1">
      <alignment vertical="center"/>
    </xf>
    <xf numFmtId="176" fontId="7" fillId="0" borderId="0" xfId="0" applyFont="1" applyAlignment="1">
      <alignment horizontal="left" vertical="center"/>
    </xf>
    <xf numFmtId="10" fontId="7" fillId="0" borderId="0" xfId="1" applyNumberFormat="1" applyFont="1">
      <alignment vertical="center"/>
    </xf>
    <xf numFmtId="176" fontId="6" fillId="0" borderId="0" xfId="0" applyFont="1">
      <alignment vertical="center"/>
    </xf>
    <xf numFmtId="176" fontId="16" fillId="0" borderId="0" xfId="0" applyFont="1">
      <alignment vertical="center"/>
    </xf>
    <xf numFmtId="176" fontId="17" fillId="0" borderId="0" xfId="0" applyFont="1">
      <alignment vertical="center"/>
    </xf>
    <xf numFmtId="176" fontId="18" fillId="0" borderId="0" xfId="0" applyFont="1">
      <alignment vertical="center"/>
    </xf>
    <xf numFmtId="176" fontId="19" fillId="0" borderId="0" xfId="0" applyFont="1">
      <alignment vertical="center"/>
    </xf>
    <xf numFmtId="176" fontId="22" fillId="0" borderId="1" xfId="0" applyFont="1" applyBorder="1" applyAlignment="1">
      <alignment vertical="center" wrapText="1"/>
    </xf>
    <xf numFmtId="43" fontId="6" fillId="10" borderId="1" xfId="0" applyNumberFormat="1" applyFont="1" applyFill="1" applyBorder="1">
      <alignment vertical="center"/>
    </xf>
    <xf numFmtId="176" fontId="6" fillId="6" borderId="2" xfId="0" applyFont="1" applyFill="1" applyBorder="1">
      <alignment vertical="center"/>
    </xf>
    <xf numFmtId="43" fontId="6" fillId="5" borderId="1" xfId="0" applyNumberFormat="1" applyFont="1" applyFill="1" applyBorder="1">
      <alignment vertical="center"/>
    </xf>
    <xf numFmtId="182" fontId="5" fillId="3" borderId="1" xfId="6" applyNumberFormat="1" applyFont="1" applyFill="1" applyBorder="1" applyAlignment="1">
      <alignment horizontal="right" vertical="center"/>
    </xf>
    <xf numFmtId="183" fontId="6" fillId="6" borderId="1" xfId="1" applyNumberFormat="1" applyFont="1" applyFill="1" applyBorder="1">
      <alignment vertical="center"/>
    </xf>
    <xf numFmtId="183" fontId="11" fillId="5" borderId="1" xfId="1" applyNumberFormat="1" applyFont="1" applyFill="1" applyBorder="1">
      <alignment vertical="center"/>
    </xf>
    <xf numFmtId="183" fontId="6" fillId="0" borderId="1" xfId="1" applyNumberFormat="1" applyFont="1" applyBorder="1">
      <alignment vertical="center"/>
    </xf>
    <xf numFmtId="176" fontId="29" fillId="8" borderId="1" xfId="0" applyFont="1" applyFill="1" applyBorder="1" applyAlignment="1">
      <alignment horizontal="left" vertical="center" wrapText="1"/>
    </xf>
    <xf numFmtId="176" fontId="29" fillId="8" borderId="1" xfId="0" applyFont="1" applyFill="1" applyBorder="1" applyAlignment="1">
      <alignment horizontal="left" vertical="center" wrapText="1" indent="1"/>
    </xf>
    <xf numFmtId="176" fontId="30" fillId="8" borderId="1" xfId="0" applyFont="1" applyFill="1" applyBorder="1" applyAlignment="1">
      <alignment horizontal="left" vertical="center" wrapText="1" indent="2"/>
    </xf>
    <xf numFmtId="43" fontId="31" fillId="6" borderId="1" xfId="0" applyNumberFormat="1" applyFont="1" applyFill="1" applyBorder="1">
      <alignment vertical="center"/>
    </xf>
    <xf numFmtId="43" fontId="31" fillId="3" borderId="1" xfId="0" applyNumberFormat="1" applyFont="1" applyFill="1" applyBorder="1">
      <alignment vertical="center"/>
    </xf>
    <xf numFmtId="43" fontId="31" fillId="9" borderId="1" xfId="0" applyNumberFormat="1" applyFont="1" applyFill="1" applyBorder="1">
      <alignment vertical="center"/>
    </xf>
    <xf numFmtId="43" fontId="32" fillId="8" borderId="1" xfId="0" applyNumberFormat="1" applyFont="1" applyFill="1" applyBorder="1">
      <alignment vertical="center"/>
    </xf>
    <xf numFmtId="181" fontId="31" fillId="9" borderId="1" xfId="0" applyNumberFormat="1" applyFont="1" applyFill="1" applyBorder="1">
      <alignment vertical="center"/>
    </xf>
    <xf numFmtId="179" fontId="31" fillId="9" borderId="1" xfId="0" applyNumberFormat="1" applyFont="1" applyFill="1" applyBorder="1">
      <alignment vertical="center"/>
    </xf>
    <xf numFmtId="180" fontId="31" fillId="9" borderId="1" xfId="0" applyNumberFormat="1" applyFont="1" applyFill="1" applyBorder="1">
      <alignment vertical="center"/>
    </xf>
    <xf numFmtId="179" fontId="31" fillId="6" borderId="1" xfId="1" applyNumberFormat="1" applyFont="1" applyFill="1" applyBorder="1">
      <alignment vertical="center"/>
    </xf>
    <xf numFmtId="43" fontId="31" fillId="8" borderId="1" xfId="0" applyNumberFormat="1" applyFont="1" applyFill="1" applyBorder="1">
      <alignment vertical="center"/>
    </xf>
    <xf numFmtId="180" fontId="31" fillId="6" borderId="1" xfId="1" applyNumberFormat="1" applyFont="1" applyFill="1" applyBorder="1">
      <alignment vertical="center"/>
    </xf>
    <xf numFmtId="176" fontId="33" fillId="0" borderId="1" xfId="0" applyFont="1" applyBorder="1" applyAlignment="1">
      <alignment vertical="center" wrapText="1" shrinkToFit="1"/>
    </xf>
    <xf numFmtId="176" fontId="20" fillId="0" borderId="1" xfId="0" applyFont="1" applyBorder="1" applyAlignment="1">
      <alignment vertical="center" wrapText="1"/>
    </xf>
    <xf numFmtId="176" fontId="33" fillId="0" borderId="1" xfId="0" applyFont="1" applyBorder="1" applyAlignment="1">
      <alignment vertical="center" wrapText="1"/>
    </xf>
    <xf numFmtId="176" fontId="34" fillId="0" borderId="1" xfId="0" applyFont="1" applyBorder="1" applyAlignment="1">
      <alignment vertical="center" wrapText="1"/>
    </xf>
    <xf numFmtId="183" fontId="10" fillId="0" borderId="0" xfId="1" applyNumberFormat="1" applyFont="1">
      <alignment vertical="center"/>
    </xf>
    <xf numFmtId="181" fontId="31" fillId="6" borderId="1" xfId="1" applyNumberFormat="1" applyFont="1" applyFill="1" applyBorder="1">
      <alignment vertical="center"/>
    </xf>
    <xf numFmtId="178" fontId="4" fillId="2" borderId="1" xfId="0" applyNumberFormat="1" applyFont="1" applyFill="1" applyBorder="1" applyAlignment="1">
      <alignment horizontal="center" vertical="center"/>
    </xf>
    <xf numFmtId="181" fontId="31" fillId="3" borderId="1" xfId="0" applyNumberFormat="1" applyFont="1" applyFill="1" applyBorder="1">
      <alignment vertical="center"/>
    </xf>
    <xf numFmtId="180" fontId="31" fillId="3" borderId="1" xfId="0" applyNumberFormat="1" applyFont="1" applyFill="1" applyBorder="1">
      <alignment vertical="center"/>
    </xf>
    <xf numFmtId="179" fontId="31" fillId="3" borderId="1" xfId="0" applyNumberFormat="1" applyFont="1" applyFill="1" applyBorder="1">
      <alignment vertical="center"/>
    </xf>
    <xf numFmtId="43" fontId="35" fillId="3" borderId="1" xfId="0" applyNumberFormat="1" applyFont="1" applyFill="1" applyBorder="1">
      <alignment vertical="center"/>
    </xf>
    <xf numFmtId="43" fontId="2" fillId="0" borderId="0" xfId="6" applyFont="1">
      <alignment vertical="center"/>
    </xf>
    <xf numFmtId="0" fontId="3" fillId="0" borderId="0" xfId="8" applyFont="1">
      <alignment vertical="center"/>
    </xf>
    <xf numFmtId="43" fontId="3" fillId="0" borderId="0" xfId="6" applyFont="1">
      <alignment vertical="center"/>
    </xf>
    <xf numFmtId="0" fontId="1" fillId="0" borderId="0" xfId="8" applyFont="1">
      <alignment vertical="center"/>
    </xf>
    <xf numFmtId="0" fontId="4" fillId="2" borderId="1" xfId="6" applyNumberFormat="1" applyFont="1" applyFill="1" applyBorder="1" applyAlignment="1">
      <alignment horizontal="center" vertical="center" wrapText="1"/>
    </xf>
    <xf numFmtId="182" fontId="4" fillId="2" borderId="1" xfId="6" applyNumberFormat="1" applyFont="1" applyFill="1" applyBorder="1" applyAlignment="1">
      <alignment horizontal="center" vertical="center" wrapText="1"/>
    </xf>
    <xf numFmtId="0" fontId="4" fillId="2" borderId="1" xfId="6" applyNumberFormat="1" applyFont="1" applyFill="1" applyBorder="1" applyAlignment="1">
      <alignment horizontal="center" vertical="center"/>
    </xf>
    <xf numFmtId="0" fontId="26" fillId="0" borderId="0" xfId="8">
      <alignment vertical="center"/>
    </xf>
    <xf numFmtId="43" fontId="0" fillId="0" borderId="0" xfId="6" applyFont="1">
      <alignment vertical="center"/>
    </xf>
    <xf numFmtId="0" fontId="5" fillId="0" borderId="1" xfId="6" applyNumberFormat="1" applyFont="1" applyFill="1" applyBorder="1" applyAlignment="1">
      <alignment vertical="center" wrapText="1"/>
    </xf>
    <xf numFmtId="0" fontId="2" fillId="0" borderId="0" xfId="8" applyFont="1" applyFill="1">
      <alignment vertical="center"/>
    </xf>
    <xf numFmtId="0" fontId="2" fillId="0" borderId="0" xfId="8" applyFont="1">
      <alignment vertical="center"/>
    </xf>
    <xf numFmtId="43" fontId="2" fillId="0" borderId="0" xfId="8" applyNumberFormat="1" applyFont="1">
      <alignment vertical="center"/>
    </xf>
    <xf numFmtId="43" fontId="6" fillId="11" borderId="1" xfId="6" applyNumberFormat="1" applyFont="1" applyFill="1" applyBorder="1" applyAlignment="1"/>
    <xf numFmtId="0" fontId="7" fillId="0" borderId="0" xfId="8" applyFont="1">
      <alignment vertical="center"/>
    </xf>
    <xf numFmtId="0" fontId="7" fillId="3" borderId="0" xfId="8" applyFont="1" applyFill="1">
      <alignment vertical="center"/>
    </xf>
    <xf numFmtId="182" fontId="26" fillId="0" borderId="0" xfId="8" applyNumberFormat="1" applyAlignment="1">
      <alignment horizontal="right" vertical="center"/>
    </xf>
    <xf numFmtId="10" fontId="21" fillId="2" borderId="1" xfId="1" applyNumberFormat="1" applyFont="1" applyFill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176" fontId="7" fillId="0" borderId="0" xfId="0" applyFont="1" applyAlignment="1">
      <alignment horizontal="left" vertical="center"/>
    </xf>
    <xf numFmtId="176" fontId="4" fillId="2" borderId="1" xfId="0" applyFont="1" applyFill="1" applyBorder="1" applyAlignment="1">
      <alignment horizontal="center" vertical="center"/>
    </xf>
    <xf numFmtId="176" fontId="28" fillId="8" borderId="3" xfId="0" applyFont="1" applyFill="1" applyBorder="1" applyAlignment="1">
      <alignment horizontal="center" vertical="center"/>
    </xf>
    <xf numFmtId="176" fontId="28" fillId="8" borderId="4" xfId="0" applyFont="1" applyFill="1" applyBorder="1" applyAlignment="1">
      <alignment horizontal="center" vertical="center"/>
    </xf>
    <xf numFmtId="176" fontId="28" fillId="8" borderId="5" xfId="0" applyFont="1" applyFill="1" applyBorder="1" applyAlignment="1">
      <alignment horizontal="center" vertical="center"/>
    </xf>
    <xf numFmtId="176" fontId="28" fillId="6" borderId="3" xfId="0" applyFont="1" applyFill="1" applyBorder="1" applyAlignment="1">
      <alignment horizontal="center" vertical="center"/>
    </xf>
    <xf numFmtId="176" fontId="28" fillId="6" borderId="4" xfId="0" applyFont="1" applyFill="1" applyBorder="1" applyAlignment="1">
      <alignment horizontal="center" vertical="center"/>
    </xf>
    <xf numFmtId="176" fontId="28" fillId="6" borderId="5" xfId="0" applyFont="1" applyFill="1" applyBorder="1" applyAlignment="1">
      <alignment horizontal="center" vertical="center"/>
    </xf>
    <xf numFmtId="176" fontId="29" fillId="8" borderId="1" xfId="0" applyFont="1" applyFill="1" applyBorder="1" applyAlignment="1">
      <alignment horizontal="center" vertical="center" wrapText="1"/>
    </xf>
    <xf numFmtId="176" fontId="4" fillId="2" borderId="0" xfId="0" applyFont="1" applyFill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83" fontId="4" fillId="2" borderId="1" xfId="1" applyNumberFormat="1" applyFont="1" applyFill="1" applyBorder="1" applyAlignment="1">
      <alignment horizontal="center" vertical="center"/>
    </xf>
    <xf numFmtId="0" fontId="2" fillId="0" borderId="6" xfId="8" applyFont="1" applyFill="1" applyBorder="1" applyAlignment="1">
      <alignment horizontal="left" vertical="center"/>
    </xf>
    <xf numFmtId="43" fontId="5" fillId="3" borderId="3" xfId="6" applyFont="1" applyFill="1" applyBorder="1" applyAlignment="1">
      <alignment horizontal="center" vertical="center"/>
    </xf>
    <xf numFmtId="43" fontId="5" fillId="3" borderId="5" xfId="6" applyFont="1" applyFill="1" applyBorder="1" applyAlignment="1">
      <alignment horizontal="center" vertical="center"/>
    </xf>
    <xf numFmtId="0" fontId="6" fillId="4" borderId="1" xfId="6" applyNumberFormat="1" applyFont="1" applyFill="1" applyBorder="1" applyAlignment="1">
      <alignment horizontal="center"/>
    </xf>
    <xf numFmtId="0" fontId="3" fillId="0" borderId="0" xfId="8" applyFont="1" applyAlignment="1">
      <alignment horizontal="center" vertical="center"/>
    </xf>
    <xf numFmtId="0" fontId="5" fillId="0" borderId="1" xfId="6" applyNumberFormat="1" applyFont="1" applyFill="1" applyBorder="1" applyAlignment="1">
      <alignment horizontal="center" vertical="center" wrapText="1"/>
    </xf>
    <xf numFmtId="0" fontId="5" fillId="0" borderId="3" xfId="6" applyNumberFormat="1" applyFont="1" applyFill="1" applyBorder="1" applyAlignment="1">
      <alignment horizontal="center" vertical="center" wrapText="1"/>
    </xf>
    <xf numFmtId="0" fontId="5" fillId="0" borderId="4" xfId="6" applyNumberFormat="1" applyFont="1" applyFill="1" applyBorder="1" applyAlignment="1">
      <alignment horizontal="center" vertical="center" wrapText="1"/>
    </xf>
  </cellXfs>
  <cellStyles count="9">
    <cellStyle name="百分比" xfId="1" builtinId="5"/>
    <cellStyle name="常规" xfId="0" builtinId="0"/>
    <cellStyle name="常规 11 2 3" xfId="2"/>
    <cellStyle name="常规 2" xfId="3"/>
    <cellStyle name="常规 2 2 2 5" xfId="4"/>
    <cellStyle name="常规 3" xfId="8"/>
    <cellStyle name="常规 7 3" xfId="5"/>
    <cellStyle name="千位分隔 17" xfId="6"/>
    <cellStyle name="千位分隔 2 2 6" xfId="7"/>
  </cellStyles>
  <dxfs count="0"/>
  <tableStyles count="0" defaultTableStyle="TableStyleMedium2" defaultPivotStyle="PivotStyleLight16"/>
  <colors>
    <mruColors>
      <color rgb="FFFCE4D6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3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Q34" sqref="Q34"/>
    </sheetView>
  </sheetViews>
  <sheetFormatPr defaultColWidth="8.875" defaultRowHeight="15.95" customHeight="1"/>
  <cols>
    <col min="1" max="1" width="8.875" style="4" customWidth="1"/>
    <col min="2" max="2" width="25.5" style="4" customWidth="1"/>
    <col min="3" max="3" width="12.625" style="4" customWidth="1"/>
    <col min="4" max="15" width="10.625" style="4" customWidth="1"/>
    <col min="16" max="16" width="12.625" style="4" customWidth="1"/>
    <col min="17" max="17" width="12.625" style="28" customWidth="1"/>
    <col min="18" max="18" width="33.25" style="4" customWidth="1"/>
    <col min="19" max="16384" width="8.875" style="4"/>
  </cols>
  <sheetData>
    <row r="1" spans="1:18" s="29" customFormat="1" ht="36" customHeight="1">
      <c r="A1" s="84" t="s">
        <v>175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8" s="30" customFormat="1" ht="24.95" customHeight="1">
      <c r="A2" s="87" t="s">
        <v>0</v>
      </c>
      <c r="B2" s="87" t="s">
        <v>1</v>
      </c>
      <c r="C2" s="87" t="s">
        <v>174</v>
      </c>
      <c r="D2" s="85" t="s">
        <v>176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7" t="s">
        <v>132</v>
      </c>
      <c r="Q2" s="96" t="s">
        <v>2</v>
      </c>
      <c r="R2" s="83" t="s">
        <v>3</v>
      </c>
    </row>
    <row r="3" spans="1:18" s="30" customFormat="1" ht="24.95" customHeight="1">
      <c r="A3" s="87"/>
      <c r="B3" s="87"/>
      <c r="C3" s="87"/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87"/>
      <c r="Q3" s="96"/>
      <c r="R3" s="83"/>
    </row>
    <row r="4" spans="1:18" s="31" customFormat="1" ht="24.95" customHeight="1">
      <c r="A4" s="88" t="s">
        <v>16</v>
      </c>
      <c r="B4" s="42" t="s">
        <v>17</v>
      </c>
      <c r="C4" s="45">
        <f>预算执行汇总!B4</f>
        <v>7677.2</v>
      </c>
      <c r="D4" s="45" cm="1">
        <f t="array" ref="D4:O4">预算执行汇总!C4:N4</f>
        <v>557.51</v>
      </c>
      <c r="E4" s="45">
        <v>405.76</v>
      </c>
      <c r="F4" s="45">
        <v>524.09</v>
      </c>
      <c r="G4" s="45">
        <v>614.99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f>SUM(D4:O4)</f>
        <v>2102.3500000000004</v>
      </c>
      <c r="Q4" s="52">
        <f>IFERROR((P4-C4)/ABS(C4)+1,)</f>
        <v>0.27384332829677493</v>
      </c>
      <c r="R4" s="34"/>
    </row>
    <row r="5" spans="1:18" s="31" customFormat="1" ht="24.95" customHeight="1">
      <c r="A5" s="89"/>
      <c r="B5" s="42" t="s">
        <v>18</v>
      </c>
      <c r="C5" s="45">
        <f>预算执行汇总!B19</f>
        <v>3025.1209999999996</v>
      </c>
      <c r="D5" s="45">
        <f>+预算执行汇总!C19</f>
        <v>200.89239999999995</v>
      </c>
      <c r="E5" s="45">
        <f>+预算执行汇总!D19</f>
        <v>69.875</v>
      </c>
      <c r="F5" s="45">
        <f>+预算执行汇总!E19</f>
        <v>196.98400000000001</v>
      </c>
      <c r="G5" s="45">
        <f>+预算执行汇总!F19</f>
        <v>278.19100000000003</v>
      </c>
      <c r="H5" s="45">
        <f>+预算执行汇总!G19</f>
        <v>0</v>
      </c>
      <c r="I5" s="45">
        <f>+预算执行汇总!H19</f>
        <v>0</v>
      </c>
      <c r="J5" s="45">
        <f>+预算执行汇总!I19</f>
        <v>0</v>
      </c>
      <c r="K5" s="45">
        <f>+预算执行汇总!J19</f>
        <v>0</v>
      </c>
      <c r="L5" s="45">
        <f>+预算执行汇总!K19</f>
        <v>0</v>
      </c>
      <c r="M5" s="45">
        <f>+预算执行汇总!L19</f>
        <v>0</v>
      </c>
      <c r="N5" s="45">
        <f>+预算执行汇总!M19</f>
        <v>0</v>
      </c>
      <c r="O5" s="45">
        <f>+预算执行汇总!N19</f>
        <v>0</v>
      </c>
      <c r="P5" s="45">
        <f t="shared" ref="P5:P14" si="0">SUM(D5:O5)</f>
        <v>745.94240000000002</v>
      </c>
      <c r="Q5" s="52">
        <f t="shared" ref="Q5:Q14" si="1">IFERROR(P5/C5,)</f>
        <v>0.24658266561899511</v>
      </c>
      <c r="R5" s="55" t="s">
        <v>19</v>
      </c>
    </row>
    <row r="6" spans="1:18" s="31" customFormat="1" ht="24.95" customHeight="1">
      <c r="A6" s="90"/>
      <c r="B6" s="42" t="s">
        <v>20</v>
      </c>
      <c r="C6" s="46">
        <v>1573.1000000000004</v>
      </c>
      <c r="D6" s="46">
        <v>17.260000000000002</v>
      </c>
      <c r="E6" s="47">
        <v>25.62</v>
      </c>
      <c r="F6" s="46">
        <v>207.69</v>
      </c>
      <c r="G6" s="46">
        <v>-186.61</v>
      </c>
      <c r="H6" s="46"/>
      <c r="I6" s="46"/>
      <c r="J6" s="46"/>
      <c r="K6" s="46"/>
      <c r="L6" s="46"/>
      <c r="M6" s="46"/>
      <c r="N6" s="46"/>
      <c r="O6" s="46"/>
      <c r="P6" s="45">
        <f t="shared" si="0"/>
        <v>63.95999999999998</v>
      </c>
      <c r="Q6" s="52">
        <f t="shared" si="1"/>
        <v>4.0658572245883901E-2</v>
      </c>
      <c r="R6" s="56"/>
    </row>
    <row r="7" spans="1:18" s="31" customFormat="1" ht="24.95" customHeight="1">
      <c r="A7" s="91" t="s">
        <v>21</v>
      </c>
      <c r="B7" s="42" t="s">
        <v>22</v>
      </c>
      <c r="C7" s="45" cm="1">
        <f t="array" ref="C7:C14">预算执行汇总!B5:B12</f>
        <v>4678.4590000000007</v>
      </c>
      <c r="D7" s="45" cm="1">
        <f t="array" ref="D7:O14">预算执行汇总!C5:N12</f>
        <v>359.0376</v>
      </c>
      <c r="E7" s="45">
        <v>338.005</v>
      </c>
      <c r="F7" s="45">
        <v>331.67600000000004</v>
      </c>
      <c r="G7" s="45">
        <v>338.93899999999996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si="0"/>
        <v>1367.6576</v>
      </c>
      <c r="Q7" s="52">
        <f t="shared" si="1"/>
        <v>0.29233078669707263</v>
      </c>
      <c r="R7" s="56"/>
    </row>
    <row r="8" spans="1:18" s="31" customFormat="1" ht="24.95" customHeight="1">
      <c r="A8" s="92"/>
      <c r="B8" s="43" t="s">
        <v>23</v>
      </c>
      <c r="C8" s="45">
        <v>2812.4030000000002</v>
      </c>
      <c r="D8" s="45">
        <v>196.84</v>
      </c>
      <c r="E8" s="45">
        <v>206.45999999999998</v>
      </c>
      <c r="F8" s="45">
        <v>208.23000000000002</v>
      </c>
      <c r="G8" s="45">
        <v>203.96999999999997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f t="shared" si="0"/>
        <v>815.5</v>
      </c>
      <c r="Q8" s="52">
        <f t="shared" si="1"/>
        <v>0.28996555614540304</v>
      </c>
      <c r="R8" s="56"/>
    </row>
    <row r="9" spans="1:18" s="32" customFormat="1" ht="24.95" customHeight="1">
      <c r="A9" s="92"/>
      <c r="B9" s="44" t="s">
        <v>24</v>
      </c>
      <c r="C9" s="48">
        <v>2148.44</v>
      </c>
      <c r="D9" s="48">
        <v>167.97</v>
      </c>
      <c r="E9" s="48">
        <v>178.29999999999998</v>
      </c>
      <c r="F9" s="48">
        <v>163.82000000000002</v>
      </c>
      <c r="G9" s="48">
        <v>164.76999999999998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5">
        <f t="shared" si="0"/>
        <v>674.86</v>
      </c>
      <c r="Q9" s="52">
        <f t="shared" si="1"/>
        <v>0.31411628902831823</v>
      </c>
      <c r="R9" s="57"/>
    </row>
    <row r="10" spans="1:18" s="32" customFormat="1" ht="24.95" customHeight="1">
      <c r="A10" s="92"/>
      <c r="B10" s="44" t="s">
        <v>25</v>
      </c>
      <c r="C10" s="48">
        <v>663.96299999999997</v>
      </c>
      <c r="D10" s="48">
        <v>28.870000000000005</v>
      </c>
      <c r="E10" s="48">
        <v>28.16</v>
      </c>
      <c r="F10" s="48">
        <v>44.410000000000004</v>
      </c>
      <c r="G10" s="48">
        <v>39.200000000000003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8">
        <v>0</v>
      </c>
      <c r="O10" s="48">
        <v>0</v>
      </c>
      <c r="P10" s="45">
        <f t="shared" si="0"/>
        <v>140.63999999999999</v>
      </c>
      <c r="Q10" s="52">
        <f t="shared" si="1"/>
        <v>0.21181903208461916</v>
      </c>
      <c r="R10" s="57"/>
    </row>
    <row r="11" spans="1:18" s="31" customFormat="1" ht="24.95" customHeight="1">
      <c r="A11" s="92"/>
      <c r="B11" s="43" t="s">
        <v>26</v>
      </c>
      <c r="C11" s="45">
        <v>1866.056</v>
      </c>
      <c r="D11" s="45">
        <v>162.19759999999999</v>
      </c>
      <c r="E11" s="45">
        <v>131.54500000000002</v>
      </c>
      <c r="F11" s="45">
        <v>123.446</v>
      </c>
      <c r="G11" s="45">
        <v>134.96899999999999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0"/>
        <v>552.1576</v>
      </c>
      <c r="Q11" s="52">
        <f t="shared" si="1"/>
        <v>0.29589551438970746</v>
      </c>
      <c r="R11" s="57"/>
    </row>
    <row r="12" spans="1:18" s="32" customFormat="1" ht="24.95" customHeight="1">
      <c r="A12" s="92"/>
      <c r="B12" s="44" t="s">
        <v>27</v>
      </c>
      <c r="C12" s="48">
        <v>596.64599999999996</v>
      </c>
      <c r="D12" s="48">
        <v>51.097599999999993</v>
      </c>
      <c r="E12" s="48">
        <v>43.375</v>
      </c>
      <c r="F12" s="48">
        <v>51.276000000000003</v>
      </c>
      <c r="G12" s="48">
        <v>55.939000000000007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53">
        <f t="shared" si="0"/>
        <v>201.68760000000003</v>
      </c>
      <c r="Q12" s="52">
        <f t="shared" si="1"/>
        <v>0.33803561911082963</v>
      </c>
      <c r="R12" s="57"/>
    </row>
    <row r="13" spans="1:18" s="32" customFormat="1" ht="24.95" customHeight="1">
      <c r="A13" s="92"/>
      <c r="B13" s="44" t="s">
        <v>28</v>
      </c>
      <c r="C13" s="48">
        <v>1269.4100000000001</v>
      </c>
      <c r="D13" s="48">
        <v>111.10000000000001</v>
      </c>
      <c r="E13" s="48">
        <v>88.17</v>
      </c>
      <c r="F13" s="48">
        <v>72.17</v>
      </c>
      <c r="G13" s="48">
        <v>79.03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53">
        <f t="shared" si="0"/>
        <v>350.47</v>
      </c>
      <c r="Q13" s="52">
        <f t="shared" si="1"/>
        <v>0.27608889168984019</v>
      </c>
      <c r="R13" s="57"/>
    </row>
    <row r="14" spans="1:18" s="33" customFormat="1" ht="24.95" customHeight="1">
      <c r="A14" s="93"/>
      <c r="B14" s="42" t="s">
        <v>29</v>
      </c>
      <c r="C14" s="45">
        <v>294.5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f t="shared" si="0"/>
        <v>0</v>
      </c>
      <c r="Q14" s="52">
        <f t="shared" si="1"/>
        <v>0</v>
      </c>
      <c r="R14" s="58"/>
    </row>
    <row r="15" spans="1:18" s="33" customFormat="1" ht="24.95" customHeight="1">
      <c r="A15" s="94" t="s">
        <v>30</v>
      </c>
      <c r="B15" s="42" t="s">
        <v>31</v>
      </c>
      <c r="C15" s="62">
        <v>0.82030000000000003</v>
      </c>
      <c r="D15" s="49">
        <v>0.65269999999999995</v>
      </c>
      <c r="E15" s="49">
        <v>0.54930000000000001</v>
      </c>
      <c r="F15" s="49">
        <v>0.70960000000000001</v>
      </c>
      <c r="G15" s="49">
        <v>0.877</v>
      </c>
      <c r="H15" s="49"/>
      <c r="I15" s="49"/>
      <c r="J15" s="49"/>
      <c r="K15" s="49"/>
      <c r="L15" s="49"/>
      <c r="M15" s="49"/>
      <c r="N15" s="49"/>
      <c r="O15" s="49"/>
      <c r="P15" s="60">
        <v>0.69979999999999998</v>
      </c>
      <c r="Q15" s="52">
        <f t="shared" ref="Q15:Q20" si="2">IFERROR(P15/C15,)</f>
        <v>0.8531025234670242</v>
      </c>
      <c r="R15" s="57" t="s">
        <v>32</v>
      </c>
    </row>
    <row r="16" spans="1:18" s="33" customFormat="1" ht="24.95" customHeight="1">
      <c r="A16" s="94"/>
      <c r="B16" s="42" t="s">
        <v>33</v>
      </c>
      <c r="C16" s="62">
        <v>0.84199999999999997</v>
      </c>
      <c r="D16" s="49">
        <v>0.77590000000000003</v>
      </c>
      <c r="E16" s="49">
        <v>0.72789999999999999</v>
      </c>
      <c r="F16" s="49">
        <v>0.77010000000000001</v>
      </c>
      <c r="G16" s="49">
        <v>0.99350000000000005</v>
      </c>
      <c r="H16" s="49"/>
      <c r="I16" s="49"/>
      <c r="J16" s="49"/>
      <c r="K16" s="49"/>
      <c r="L16" s="49"/>
      <c r="M16" s="49"/>
      <c r="N16" s="49"/>
      <c r="O16" s="49"/>
      <c r="P16" s="60">
        <f>IFERROR(AVERAGE(D16:O16),)</f>
        <v>0.81685000000000008</v>
      </c>
      <c r="Q16" s="52">
        <f t="shared" si="2"/>
        <v>0.97013064133016635</v>
      </c>
      <c r="R16" s="57" t="s">
        <v>34</v>
      </c>
    </row>
    <row r="17" spans="1:18" s="33" customFormat="1" ht="24.95" customHeight="1">
      <c r="A17" s="94"/>
      <c r="B17" s="42" t="s">
        <v>35</v>
      </c>
      <c r="C17" s="63">
        <v>4.7</v>
      </c>
      <c r="D17" s="51">
        <v>4.68</v>
      </c>
      <c r="E17" s="51">
        <v>4.67</v>
      </c>
      <c r="F17" s="51">
        <v>4.6900000000000004</v>
      </c>
      <c r="G17" s="51">
        <v>4.67</v>
      </c>
      <c r="H17" s="51"/>
      <c r="I17" s="51"/>
      <c r="J17" s="51"/>
      <c r="K17" s="51"/>
      <c r="L17" s="51"/>
      <c r="M17" s="51"/>
      <c r="N17" s="51"/>
      <c r="O17" s="51"/>
      <c r="P17" s="54" cm="1">
        <f t="array" ref="P17">IFERROR(INDEX(D17:O17,0,MATCH(9.99999999999999E+307,D17:O17)),)</f>
        <v>4.67</v>
      </c>
      <c r="Q17" s="52">
        <f t="shared" si="2"/>
        <v>0.99361702127659568</v>
      </c>
      <c r="R17" s="57" t="s">
        <v>36</v>
      </c>
    </row>
    <row r="18" spans="1:18" s="33" customFormat="1" ht="24.95" customHeight="1">
      <c r="A18" s="94"/>
      <c r="B18" s="42" t="s">
        <v>37</v>
      </c>
      <c r="C18" s="63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4" cm="1">
        <f t="array" ref="P18">IFERROR(INDEX(D18:O18,0,MATCH(9.99999999999999E+307,D18:O18)),)</f>
        <v>0</v>
      </c>
      <c r="Q18" s="52">
        <f t="shared" si="2"/>
        <v>0</v>
      </c>
      <c r="R18" s="57" t="s">
        <v>38</v>
      </c>
    </row>
    <row r="19" spans="1:18" s="33" customFormat="1" ht="24.95" customHeight="1">
      <c r="A19" s="94"/>
      <c r="B19" s="42" t="s">
        <v>39</v>
      </c>
      <c r="C19" s="64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4" cm="1">
        <f t="array" ref="P19">IFERROR(INDEX(D19:O19,0,MATCH(9.99999999999999E+307,D19:O19)),)</f>
        <v>0</v>
      </c>
      <c r="Q19" s="52">
        <f t="shared" si="2"/>
        <v>0</v>
      </c>
      <c r="R19" s="57" t="s">
        <v>38</v>
      </c>
    </row>
    <row r="20" spans="1:18" ht="24.95" customHeight="1">
      <c r="A20" s="94"/>
      <c r="B20" s="42" t="s">
        <v>40</v>
      </c>
      <c r="C20" s="64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4" cm="1">
        <f t="array" ref="P20">IFERROR(INDEX(D20:O20,0,MATCH(9.99999999999999E+307,D20:O20)),)</f>
        <v>0</v>
      </c>
      <c r="Q20" s="52">
        <f t="shared" si="2"/>
        <v>0</v>
      </c>
      <c r="R20" s="57" t="s">
        <v>38</v>
      </c>
    </row>
    <row r="21" spans="1:18" ht="15.95" customHeight="1">
      <c r="A21" s="95" t="s">
        <v>41</v>
      </c>
      <c r="B21" s="86" t="s">
        <v>42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Q21" s="4"/>
    </row>
    <row r="22" spans="1:18" ht="15.95" customHeight="1">
      <c r="A22" s="95"/>
      <c r="B22" s="86" t="s">
        <v>43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Q22" s="4"/>
    </row>
    <row r="23" spans="1:18" ht="15.95" customHeight="1">
      <c r="A23" s="95"/>
      <c r="B23" s="27" t="s">
        <v>44</v>
      </c>
      <c r="C23" s="5"/>
    </row>
  </sheetData>
  <mergeCells count="14">
    <mergeCell ref="R2:R3"/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</mergeCells>
  <phoneticPr fontId="27" type="noConversion"/>
  <pageMargins left="0.75" right="0.75" top="1" bottom="1" header="0.5" footer="0.5"/>
  <pageSetup paperSize="9" orientation="portrait" verticalDpi="0" r:id="rId1"/>
  <ignoredErrors>
    <ignoredError sqref="P6 P16:P1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3"/>
  <sheetViews>
    <sheetView workbookViewId="0">
      <pane xSplit="2" ySplit="3" topLeftCell="C4" activePane="bottomRight" state="frozen"/>
      <selection activeCell="H54" sqref="H54"/>
      <selection pane="topRight" activeCell="H54" sqref="H54"/>
      <selection pane="bottomLeft" activeCell="H54" sqref="H54"/>
      <selection pane="bottomRight" activeCell="P45" sqref="P45"/>
    </sheetView>
  </sheetViews>
  <sheetFormatPr defaultColWidth="8.875" defaultRowHeight="15.95" customHeight="1"/>
  <cols>
    <col min="1" max="1" width="15.625" customWidth="1"/>
    <col min="2" max="2" width="11.625" customWidth="1"/>
    <col min="3" max="14" width="10.125" customWidth="1"/>
    <col min="15" max="15" width="11.625" customWidth="1"/>
    <col min="16" max="16" width="11.625" style="20" customWidth="1"/>
  </cols>
  <sheetData>
    <row r="1" spans="1:16" s="1" customFormat="1" ht="32.1" customHeight="1">
      <c r="A1" s="84" t="s">
        <v>173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16" s="16" customFormat="1" ht="18" customHeight="1">
      <c r="A2" s="87" t="s">
        <v>1</v>
      </c>
      <c r="B2" s="87" t="s">
        <v>174</v>
      </c>
      <c r="C2" s="85" t="s">
        <v>178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7" t="s">
        <v>132</v>
      </c>
      <c r="P2" s="96" t="s">
        <v>2</v>
      </c>
    </row>
    <row r="3" spans="1:16" s="16" customFormat="1" ht="18" customHeight="1">
      <c r="A3" s="87"/>
      <c r="B3" s="87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87"/>
      <c r="P3" s="96"/>
    </row>
    <row r="4" spans="1:16" s="17" customFormat="1" ht="18" customHeight="1">
      <c r="A4" s="14" t="s">
        <v>17</v>
      </c>
      <c r="B4" s="21">
        <v>7677.2</v>
      </c>
      <c r="C4" s="21">
        <v>557.51</v>
      </c>
      <c r="D4" s="21">
        <v>405.76</v>
      </c>
      <c r="E4" s="21">
        <v>524.09</v>
      </c>
      <c r="F4" s="21">
        <v>614.99</v>
      </c>
      <c r="G4" s="21"/>
      <c r="H4" s="21"/>
      <c r="I4" s="21"/>
      <c r="J4" s="21"/>
      <c r="K4" s="21"/>
      <c r="L4" s="21"/>
      <c r="M4" s="21"/>
      <c r="N4" s="21"/>
      <c r="O4" s="11">
        <f>SUM(C4:N4)</f>
        <v>2102.3500000000004</v>
      </c>
      <c r="P4" s="39">
        <f t="shared" ref="P4:P9" si="0">IFERROR(O4/B4,)</f>
        <v>0.27384332829677493</v>
      </c>
    </row>
    <row r="5" spans="1:16" s="17" customFormat="1" ht="18" customHeight="1">
      <c r="A5" s="14" t="s">
        <v>22</v>
      </c>
      <c r="B5" s="11">
        <f>+B6+B9</f>
        <v>4678.4590000000007</v>
      </c>
      <c r="C5" s="11">
        <f t="shared" ref="C5:N5" si="1">C6+C9</f>
        <v>359.0376</v>
      </c>
      <c r="D5" s="11">
        <f t="shared" si="1"/>
        <v>338.005</v>
      </c>
      <c r="E5" s="11">
        <f t="shared" si="1"/>
        <v>331.67600000000004</v>
      </c>
      <c r="F5" s="11">
        <f t="shared" si="1"/>
        <v>338.93899999999996</v>
      </c>
      <c r="G5" s="11">
        <f t="shared" si="1"/>
        <v>0</v>
      </c>
      <c r="H5" s="11">
        <f t="shared" si="1"/>
        <v>0</v>
      </c>
      <c r="I5" s="11">
        <f t="shared" si="1"/>
        <v>0</v>
      </c>
      <c r="J5" s="11">
        <f t="shared" si="1"/>
        <v>0</v>
      </c>
      <c r="K5" s="11">
        <f t="shared" si="1"/>
        <v>0</v>
      </c>
      <c r="L5" s="11">
        <f t="shared" si="1"/>
        <v>0</v>
      </c>
      <c r="M5" s="11">
        <f t="shared" si="1"/>
        <v>0</v>
      </c>
      <c r="N5" s="11">
        <f t="shared" si="1"/>
        <v>0</v>
      </c>
      <c r="O5" s="11">
        <f t="shared" ref="O5:O15" si="2">SUM(C5:N5)</f>
        <v>1367.6576</v>
      </c>
      <c r="P5" s="39">
        <f t="shared" si="0"/>
        <v>0.29233078669707263</v>
      </c>
    </row>
    <row r="6" spans="1:16" s="17" customFormat="1" ht="18" customHeight="1">
      <c r="A6" s="14" t="s">
        <v>45</v>
      </c>
      <c r="B6" s="11">
        <f>费用预算执行明细!B4</f>
        <v>2812.4030000000002</v>
      </c>
      <c r="C6" s="11">
        <f>费用预算执行明细!C4</f>
        <v>196.84</v>
      </c>
      <c r="D6" s="11">
        <f>费用预算执行明细!D4</f>
        <v>206.45999999999998</v>
      </c>
      <c r="E6" s="11">
        <f>费用预算执行明细!E4</f>
        <v>208.23000000000002</v>
      </c>
      <c r="F6" s="11">
        <f>费用预算执行明细!F4</f>
        <v>203.96999999999997</v>
      </c>
      <c r="G6" s="11">
        <f>费用预算执行明细!G4</f>
        <v>0</v>
      </c>
      <c r="H6" s="11">
        <f>费用预算执行明细!H4</f>
        <v>0</v>
      </c>
      <c r="I6" s="11">
        <f>费用预算执行明细!I4</f>
        <v>0</v>
      </c>
      <c r="J6" s="11">
        <f>费用预算执行明细!J4</f>
        <v>0</v>
      </c>
      <c r="K6" s="11">
        <f>费用预算执行明细!K4</f>
        <v>0</v>
      </c>
      <c r="L6" s="11">
        <f>费用预算执行明细!L4</f>
        <v>0</v>
      </c>
      <c r="M6" s="11">
        <f>费用预算执行明细!M4</f>
        <v>0</v>
      </c>
      <c r="N6" s="11">
        <f>费用预算执行明细!N4</f>
        <v>0</v>
      </c>
      <c r="O6" s="11">
        <f t="shared" si="2"/>
        <v>815.5</v>
      </c>
      <c r="P6" s="39">
        <f t="shared" si="0"/>
        <v>0.28996555614540304</v>
      </c>
    </row>
    <row r="7" spans="1:16" s="18" customFormat="1" ht="18" customHeight="1">
      <c r="A7" s="22" t="s">
        <v>46</v>
      </c>
      <c r="B7" s="15">
        <f>费用预算执行明细!B5</f>
        <v>2148.44</v>
      </c>
      <c r="C7" s="15">
        <f>费用预算执行明细!C5</f>
        <v>167.97</v>
      </c>
      <c r="D7" s="15">
        <f>费用预算执行明细!D5</f>
        <v>178.29999999999998</v>
      </c>
      <c r="E7" s="15">
        <f>费用预算执行明细!E5</f>
        <v>163.82000000000002</v>
      </c>
      <c r="F7" s="15">
        <f>费用预算执行明细!F5</f>
        <v>164.76999999999998</v>
      </c>
      <c r="G7" s="15">
        <f>费用预算执行明细!G5</f>
        <v>0</v>
      </c>
      <c r="H7" s="15">
        <f>费用预算执行明细!H5</f>
        <v>0</v>
      </c>
      <c r="I7" s="15">
        <f>费用预算执行明细!I5</f>
        <v>0</v>
      </c>
      <c r="J7" s="15">
        <f>费用预算执行明细!J5</f>
        <v>0</v>
      </c>
      <c r="K7" s="15">
        <f>费用预算执行明细!K5</f>
        <v>0</v>
      </c>
      <c r="L7" s="15">
        <f>费用预算执行明细!L5</f>
        <v>0</v>
      </c>
      <c r="M7" s="15">
        <f>费用预算执行明细!M5</f>
        <v>0</v>
      </c>
      <c r="N7" s="15">
        <f>费用预算执行明细!N5</f>
        <v>0</v>
      </c>
      <c r="O7" s="15">
        <f t="shared" si="2"/>
        <v>674.86</v>
      </c>
      <c r="P7" s="40">
        <f t="shared" si="0"/>
        <v>0.31411628902831823</v>
      </c>
    </row>
    <row r="8" spans="1:16" s="18" customFormat="1" ht="18" customHeight="1">
      <c r="A8" s="22" t="s">
        <v>47</v>
      </c>
      <c r="B8" s="15">
        <f>费用预算执行明细!B15</f>
        <v>663.96299999999997</v>
      </c>
      <c r="C8" s="15">
        <f>费用预算执行明细!C15</f>
        <v>28.870000000000005</v>
      </c>
      <c r="D8" s="15">
        <f>费用预算执行明细!D15</f>
        <v>28.16</v>
      </c>
      <c r="E8" s="15">
        <f>费用预算执行明细!E15</f>
        <v>44.410000000000004</v>
      </c>
      <c r="F8" s="15">
        <f>费用预算执行明细!F15</f>
        <v>39.200000000000003</v>
      </c>
      <c r="G8" s="15">
        <f>费用预算执行明细!G15</f>
        <v>0</v>
      </c>
      <c r="H8" s="15">
        <f>费用预算执行明细!H15</f>
        <v>0</v>
      </c>
      <c r="I8" s="15">
        <f>费用预算执行明细!I15</f>
        <v>0</v>
      </c>
      <c r="J8" s="15">
        <f>费用预算执行明细!J15</f>
        <v>0</v>
      </c>
      <c r="K8" s="15">
        <f>费用预算执行明细!K15</f>
        <v>0</v>
      </c>
      <c r="L8" s="15">
        <f>费用预算执行明细!L15</f>
        <v>0</v>
      </c>
      <c r="M8" s="15">
        <f>费用预算执行明细!M15</f>
        <v>0</v>
      </c>
      <c r="N8" s="15">
        <f>费用预算执行明细!N15</f>
        <v>0</v>
      </c>
      <c r="O8" s="15">
        <f t="shared" si="2"/>
        <v>140.63999999999999</v>
      </c>
      <c r="P8" s="40">
        <f t="shared" si="0"/>
        <v>0.21181903208461916</v>
      </c>
    </row>
    <row r="9" spans="1:16" s="17" customFormat="1" ht="18" customHeight="1">
      <c r="A9" s="14" t="s">
        <v>26</v>
      </c>
      <c r="B9" s="11">
        <f>费用预算执行明细!B43</f>
        <v>1866.056</v>
      </c>
      <c r="C9" s="11">
        <f>费用预算执行明细!C43</f>
        <v>162.19759999999999</v>
      </c>
      <c r="D9" s="11">
        <f>费用预算执行明细!D43</f>
        <v>131.54500000000002</v>
      </c>
      <c r="E9" s="11">
        <f>费用预算执行明细!E43</f>
        <v>123.446</v>
      </c>
      <c r="F9" s="11">
        <f>费用预算执行明细!F43</f>
        <v>134.96899999999999</v>
      </c>
      <c r="G9" s="11">
        <f>费用预算执行明细!G43</f>
        <v>0</v>
      </c>
      <c r="H9" s="11">
        <f>费用预算执行明细!H43</f>
        <v>0</v>
      </c>
      <c r="I9" s="11">
        <f>费用预算执行明细!I43</f>
        <v>0</v>
      </c>
      <c r="J9" s="11">
        <f>费用预算执行明细!J43</f>
        <v>0</v>
      </c>
      <c r="K9" s="11">
        <f>费用预算执行明细!K43</f>
        <v>0</v>
      </c>
      <c r="L9" s="11">
        <f>费用预算执行明细!L43</f>
        <v>0</v>
      </c>
      <c r="M9" s="11">
        <f>费用预算执行明细!M43</f>
        <v>0</v>
      </c>
      <c r="N9" s="11">
        <f>费用预算执行明细!N43</f>
        <v>0</v>
      </c>
      <c r="O9" s="11">
        <f t="shared" si="2"/>
        <v>552.1576</v>
      </c>
      <c r="P9" s="39">
        <f t="shared" si="0"/>
        <v>0.29589551438970746</v>
      </c>
    </row>
    <row r="10" spans="1:16" s="18" customFormat="1" ht="18" customHeight="1">
      <c r="A10" s="22" t="s">
        <v>48</v>
      </c>
      <c r="B10" s="15">
        <f>费用预算执行明细!B44</f>
        <v>596.64599999999996</v>
      </c>
      <c r="C10" s="15">
        <f>费用预算执行明细!C44</f>
        <v>51.097599999999993</v>
      </c>
      <c r="D10" s="15">
        <f>费用预算执行明细!D44</f>
        <v>43.375</v>
      </c>
      <c r="E10" s="15">
        <f>费用预算执行明细!E44</f>
        <v>51.276000000000003</v>
      </c>
      <c r="F10" s="15">
        <f>费用预算执行明细!F44</f>
        <v>55.939000000000007</v>
      </c>
      <c r="G10" s="15">
        <f>费用预算执行明细!G44</f>
        <v>0</v>
      </c>
      <c r="H10" s="15">
        <f>费用预算执行明细!H44</f>
        <v>0</v>
      </c>
      <c r="I10" s="15">
        <f>费用预算执行明细!I44</f>
        <v>0</v>
      </c>
      <c r="J10" s="15">
        <f>费用预算执行明细!J44</f>
        <v>0</v>
      </c>
      <c r="K10" s="15">
        <f>费用预算执行明细!K44</f>
        <v>0</v>
      </c>
      <c r="L10" s="15">
        <f>费用预算执行明细!L44</f>
        <v>0</v>
      </c>
      <c r="M10" s="15">
        <f>费用预算执行明细!M44</f>
        <v>0</v>
      </c>
      <c r="N10" s="15">
        <f>费用预算执行明细!N44</f>
        <v>0</v>
      </c>
      <c r="O10" s="15">
        <f t="shared" si="2"/>
        <v>201.68760000000003</v>
      </c>
      <c r="P10" s="40">
        <f t="shared" ref="P10:P15" si="3">IFERROR(O10/B10,)</f>
        <v>0.33803561911082963</v>
      </c>
    </row>
    <row r="11" spans="1:16" s="18" customFormat="1" ht="18" customHeight="1">
      <c r="A11" s="22" t="s">
        <v>49</v>
      </c>
      <c r="B11" s="15">
        <f>费用预算执行明细!B69</f>
        <v>1269.4100000000001</v>
      </c>
      <c r="C11" s="15">
        <f>费用预算执行明细!C69</f>
        <v>111.10000000000001</v>
      </c>
      <c r="D11" s="15">
        <f>费用预算执行明细!D69</f>
        <v>88.17</v>
      </c>
      <c r="E11" s="15">
        <f>费用预算执行明细!E69</f>
        <v>72.17</v>
      </c>
      <c r="F11" s="15">
        <f>费用预算执行明细!F69</f>
        <v>79.03</v>
      </c>
      <c r="G11" s="15">
        <f>费用预算执行明细!G69</f>
        <v>0</v>
      </c>
      <c r="H11" s="15">
        <f>费用预算执行明细!H69</f>
        <v>0</v>
      </c>
      <c r="I11" s="15">
        <f>费用预算执行明细!I69</f>
        <v>0</v>
      </c>
      <c r="J11" s="15">
        <f>费用预算执行明细!J69</f>
        <v>0</v>
      </c>
      <c r="K11" s="15">
        <f>费用预算执行明细!K69</f>
        <v>0</v>
      </c>
      <c r="L11" s="15">
        <f>费用预算执行明细!L69</f>
        <v>0</v>
      </c>
      <c r="M11" s="15">
        <f>费用预算执行明细!M69</f>
        <v>0</v>
      </c>
      <c r="N11" s="15">
        <f>费用预算执行明细!N69</f>
        <v>0</v>
      </c>
      <c r="O11" s="15">
        <f t="shared" si="2"/>
        <v>350.47</v>
      </c>
      <c r="P11" s="40">
        <f t="shared" si="3"/>
        <v>0.27608889168984019</v>
      </c>
    </row>
    <row r="12" spans="1:16" s="19" customFormat="1" ht="18" customHeight="1">
      <c r="A12" s="23" t="s">
        <v>29</v>
      </c>
      <c r="B12" s="24">
        <f>资本性支出计划与执行!G37/10000</f>
        <v>294.5</v>
      </c>
      <c r="C12" s="25">
        <v>0</v>
      </c>
      <c r="D12" s="25">
        <v>0</v>
      </c>
      <c r="E12" s="25">
        <v>0</v>
      </c>
      <c r="F12" s="25">
        <v>0</v>
      </c>
      <c r="G12" s="25"/>
      <c r="H12" s="25"/>
      <c r="I12" s="25"/>
      <c r="J12" s="25"/>
      <c r="K12" s="25"/>
      <c r="L12" s="25"/>
      <c r="M12" s="25"/>
      <c r="N12" s="25"/>
      <c r="O12" s="24">
        <f t="shared" si="2"/>
        <v>0</v>
      </c>
      <c r="P12" s="39">
        <f t="shared" si="3"/>
        <v>0</v>
      </c>
    </row>
    <row r="13" spans="1:16" s="17" customFormat="1" ht="18" customHeight="1">
      <c r="A13" s="14" t="s">
        <v>50</v>
      </c>
      <c r="B13" s="21">
        <v>2917.5</v>
      </c>
      <c r="C13" s="21">
        <v>240.74</v>
      </c>
      <c r="D13" s="21">
        <v>240.73</v>
      </c>
      <c r="E13" s="21">
        <v>240.73</v>
      </c>
      <c r="F13" s="21">
        <v>240.74</v>
      </c>
      <c r="G13" s="21"/>
      <c r="H13" s="21"/>
      <c r="I13" s="21"/>
      <c r="J13" s="21"/>
      <c r="K13" s="21"/>
      <c r="L13" s="21"/>
      <c r="M13" s="21"/>
      <c r="N13" s="21"/>
      <c r="O13" s="11">
        <f>SUM(C13:N13)</f>
        <v>962.94</v>
      </c>
      <c r="P13" s="39">
        <f t="shared" si="3"/>
        <v>0.33005655526992289</v>
      </c>
    </row>
    <row r="14" spans="1:16" s="17" customFormat="1" ht="18" customHeight="1">
      <c r="A14" s="14" t="s">
        <v>51</v>
      </c>
      <c r="B14" s="21">
        <v>-26.38</v>
      </c>
      <c r="C14" s="21">
        <v>-2.42</v>
      </c>
      <c r="D14" s="21">
        <v>-2.12</v>
      </c>
      <c r="E14" s="21">
        <v>-4.57</v>
      </c>
      <c r="F14" s="21">
        <v>-2.14</v>
      </c>
      <c r="G14" s="21"/>
      <c r="H14" s="21"/>
      <c r="I14" s="21"/>
      <c r="J14" s="21"/>
      <c r="K14" s="21"/>
      <c r="L14" s="21"/>
      <c r="M14" s="21"/>
      <c r="N14" s="21"/>
      <c r="O14" s="11">
        <f t="shared" si="2"/>
        <v>-11.25</v>
      </c>
      <c r="P14" s="39">
        <f t="shared" si="3"/>
        <v>0.42645943896891586</v>
      </c>
    </row>
    <row r="15" spans="1:16" s="17" customFormat="1" ht="18" customHeight="1">
      <c r="A15" s="14" t="s">
        <v>52</v>
      </c>
      <c r="B15" s="21">
        <v>1005.19</v>
      </c>
      <c r="C15" s="21">
        <v>83.27</v>
      </c>
      <c r="D15" s="21">
        <v>82.37</v>
      </c>
      <c r="E15" s="21">
        <v>83.38</v>
      </c>
      <c r="F15" s="21">
        <v>83.98</v>
      </c>
      <c r="G15" s="21"/>
      <c r="H15" s="21"/>
      <c r="I15" s="21"/>
      <c r="J15" s="21"/>
      <c r="K15" s="21"/>
      <c r="L15" s="21"/>
      <c r="M15" s="21"/>
      <c r="N15" s="21"/>
      <c r="O15" s="11">
        <f t="shared" si="2"/>
        <v>333</v>
      </c>
      <c r="P15" s="39">
        <f t="shared" si="3"/>
        <v>0.33128065340880825</v>
      </c>
    </row>
    <row r="16" spans="1:16" s="17" customFormat="1" ht="18" customHeight="1">
      <c r="A16" s="14" t="s">
        <v>53</v>
      </c>
      <c r="B16" s="39">
        <f>IFERROR(B9/B4,)</f>
        <v>0.24306465899025687</v>
      </c>
      <c r="C16" s="39">
        <f>IFERROR(C9/C4,)</f>
        <v>0.29093218058868897</v>
      </c>
      <c r="D16" s="39">
        <f t="shared" ref="D16:O16" si="4">IFERROR(D9/D4,)</f>
        <v>0.32419410488958994</v>
      </c>
      <c r="E16" s="39">
        <f t="shared" si="4"/>
        <v>0.23554351351867045</v>
      </c>
      <c r="F16" s="39">
        <f t="shared" si="4"/>
        <v>0.21946535716027901</v>
      </c>
      <c r="G16" s="39">
        <f t="shared" si="4"/>
        <v>0</v>
      </c>
      <c r="H16" s="39">
        <f t="shared" si="4"/>
        <v>0</v>
      </c>
      <c r="I16" s="39">
        <f t="shared" si="4"/>
        <v>0</v>
      </c>
      <c r="J16" s="39">
        <f t="shared" si="4"/>
        <v>0</v>
      </c>
      <c r="K16" s="39">
        <f t="shared" si="4"/>
        <v>0</v>
      </c>
      <c r="L16" s="39">
        <f t="shared" si="4"/>
        <v>0</v>
      </c>
      <c r="M16" s="39">
        <f t="shared" si="4"/>
        <v>0</v>
      </c>
      <c r="N16" s="39">
        <f t="shared" si="4"/>
        <v>0</v>
      </c>
      <c r="O16" s="39">
        <f t="shared" si="4"/>
        <v>0.2626382857278759</v>
      </c>
      <c r="P16" s="39"/>
    </row>
    <row r="17" spans="1:16" ht="32.1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41"/>
    </row>
    <row r="18" spans="1:16" s="17" customFormat="1" ht="18" customHeight="1">
      <c r="A18" s="14" t="s">
        <v>54</v>
      </c>
      <c r="B18" s="11">
        <f>B4-B6-B9-B15</f>
        <v>1993.5509999999995</v>
      </c>
      <c r="C18" s="11">
        <f>C4-C6-C9-C15</f>
        <v>115.20239999999997</v>
      </c>
      <c r="D18" s="11">
        <f t="shared" ref="D18:N18" si="5">D4-D6-D9-D15</f>
        <v>-14.615000000000009</v>
      </c>
      <c r="E18" s="11">
        <f t="shared" si="5"/>
        <v>109.03400000000002</v>
      </c>
      <c r="F18" s="11">
        <f>F4-F6-F9-F15</f>
        <v>192.07100000000003</v>
      </c>
      <c r="G18" s="11">
        <f>G4-G6-G9-G15</f>
        <v>0</v>
      </c>
      <c r="H18" s="11">
        <f t="shared" si="5"/>
        <v>0</v>
      </c>
      <c r="I18" s="11">
        <f>I4-I6-I9-I15</f>
        <v>0</v>
      </c>
      <c r="J18" s="11">
        <f t="shared" si="5"/>
        <v>0</v>
      </c>
      <c r="K18" s="11">
        <f t="shared" si="5"/>
        <v>0</v>
      </c>
      <c r="L18" s="11">
        <f t="shared" si="5"/>
        <v>0</v>
      </c>
      <c r="M18" s="11">
        <f t="shared" si="5"/>
        <v>0</v>
      </c>
      <c r="N18" s="11">
        <f t="shared" si="5"/>
        <v>0</v>
      </c>
      <c r="O18" s="11">
        <f>O4-O6-O9-O15</f>
        <v>401.69240000000036</v>
      </c>
      <c r="P18" s="39">
        <f>IFERROR(O18/B18,)</f>
        <v>0.2014959236056667</v>
      </c>
    </row>
    <row r="19" spans="1:16" ht="18" customHeight="1">
      <c r="A19" s="36" t="s">
        <v>55</v>
      </c>
      <c r="B19" s="35">
        <f>B4-B6-B9-B14</f>
        <v>3025.1209999999996</v>
      </c>
      <c r="C19" s="35">
        <f>C4-C6-C9-C14</f>
        <v>200.89239999999995</v>
      </c>
      <c r="D19" s="35">
        <f t="shared" ref="D19:O19" si="6">D4-D6-D9-D14</f>
        <v>69.875</v>
      </c>
      <c r="E19" s="35">
        <f>E4-E6-E9-E14</f>
        <v>196.98400000000001</v>
      </c>
      <c r="F19" s="35">
        <f>F4-F6-F9-F14</f>
        <v>278.19100000000003</v>
      </c>
      <c r="G19" s="35">
        <f t="shared" si="6"/>
        <v>0</v>
      </c>
      <c r="H19" s="35">
        <f t="shared" si="6"/>
        <v>0</v>
      </c>
      <c r="I19" s="35">
        <f>I4-I6-I9-I14</f>
        <v>0</v>
      </c>
      <c r="J19" s="35">
        <f t="shared" si="6"/>
        <v>0</v>
      </c>
      <c r="K19" s="35">
        <f t="shared" si="6"/>
        <v>0</v>
      </c>
      <c r="L19" s="35">
        <f t="shared" si="6"/>
        <v>0</v>
      </c>
      <c r="M19" s="35">
        <f t="shared" si="6"/>
        <v>0</v>
      </c>
      <c r="N19" s="35">
        <f t="shared" si="6"/>
        <v>0</v>
      </c>
      <c r="O19" s="35">
        <f t="shared" si="6"/>
        <v>745.94240000000036</v>
      </c>
      <c r="P19" s="39">
        <f>IFERROR(O19/B19,)</f>
        <v>0.24658266561899522</v>
      </c>
    </row>
    <row r="20" spans="1:16" ht="32.1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8"/>
    </row>
    <row r="21" spans="1:16" ht="18" customHeight="1">
      <c r="A21" s="95" t="s">
        <v>41</v>
      </c>
      <c r="B21" s="86" t="s">
        <v>42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28"/>
    </row>
    <row r="22" spans="1:16" ht="18" customHeight="1">
      <c r="A22" s="95"/>
      <c r="B22" s="86" t="s">
        <v>43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28"/>
    </row>
    <row r="23" spans="1:16" ht="18" customHeight="1">
      <c r="A23" s="95"/>
      <c r="B23" s="27" t="s">
        <v>44</v>
      </c>
      <c r="C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</sheetData>
  <mergeCells count="9">
    <mergeCell ref="A1:P1"/>
    <mergeCell ref="C2:N2"/>
    <mergeCell ref="B21:O21"/>
    <mergeCell ref="B22:O22"/>
    <mergeCell ref="A2:A3"/>
    <mergeCell ref="A21:A23"/>
    <mergeCell ref="B2:B3"/>
    <mergeCell ref="O2:O3"/>
    <mergeCell ref="P2:P3"/>
  </mergeCells>
  <phoneticPr fontId="27" type="noConversion"/>
  <pageMargins left="0.75" right="0.75" top="1" bottom="1" header="0.5" footer="0.5"/>
  <ignoredErrors>
    <ignoredError sqref="O4:O1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P85"/>
  <sheetViews>
    <sheetView workbookViewId="0">
      <pane xSplit="2" ySplit="3" topLeftCell="C4" activePane="bottomRight" state="frozen"/>
      <selection activeCell="H54" sqref="H54"/>
      <selection pane="topRight" activeCell="H54" sqref="H54"/>
      <selection pane="bottomLeft" activeCell="H54" sqref="H54"/>
      <selection pane="bottomRight" activeCell="P93" sqref="P93"/>
    </sheetView>
  </sheetViews>
  <sheetFormatPr defaultColWidth="8.875" defaultRowHeight="15.95" customHeight="1"/>
  <cols>
    <col min="1" max="1" width="22.625" style="8" customWidth="1"/>
    <col min="2" max="2" width="12.125" style="8" customWidth="1"/>
    <col min="3" max="14" width="8.625" customWidth="1"/>
    <col min="15" max="15" width="12.125" style="8" customWidth="1"/>
    <col min="16" max="16" width="9.125" style="59" customWidth="1"/>
    <col min="17" max="16384" width="8.875" style="8"/>
  </cols>
  <sheetData>
    <row r="1" spans="1:16" s="1" customFormat="1" ht="32.1" customHeight="1">
      <c r="A1" s="84" t="s">
        <v>131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16" s="6" customFormat="1" ht="15.95" customHeight="1">
      <c r="A2" s="87" t="s">
        <v>1</v>
      </c>
      <c r="B2" s="87" t="s">
        <v>174</v>
      </c>
      <c r="C2" s="85" t="s">
        <v>177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97" t="s">
        <v>132</v>
      </c>
      <c r="P2" s="98" t="s">
        <v>2</v>
      </c>
    </row>
    <row r="3" spans="1:16" s="7" customFormat="1" ht="15.95" customHeight="1">
      <c r="A3" s="87"/>
      <c r="B3" s="87"/>
      <c r="C3" s="61" t="s">
        <v>4</v>
      </c>
      <c r="D3" s="61" t="s">
        <v>5</v>
      </c>
      <c r="E3" s="61" t="s">
        <v>6</v>
      </c>
      <c r="F3" s="61" t="s">
        <v>7</v>
      </c>
      <c r="G3" s="61" t="s">
        <v>8</v>
      </c>
      <c r="H3" s="61" t="s">
        <v>9</v>
      </c>
      <c r="I3" s="61" t="s">
        <v>10</v>
      </c>
      <c r="J3" s="61" t="s">
        <v>11</v>
      </c>
      <c r="K3" s="61" t="s">
        <v>12</v>
      </c>
      <c r="L3" s="61" t="s">
        <v>13</v>
      </c>
      <c r="M3" s="61" t="s">
        <v>14</v>
      </c>
      <c r="N3" s="61" t="s">
        <v>15</v>
      </c>
      <c r="O3" s="97"/>
      <c r="P3" s="98"/>
    </row>
    <row r="4" spans="1:16" ht="15.95" customHeight="1">
      <c r="A4" s="10" t="s">
        <v>23</v>
      </c>
      <c r="B4" s="11">
        <f>+B5+B15</f>
        <v>2812.4030000000002</v>
      </c>
      <c r="C4" s="11">
        <f t="shared" ref="C4:N4" si="0">+C5+C15</f>
        <v>196.84</v>
      </c>
      <c r="D4" s="11">
        <f t="shared" si="0"/>
        <v>206.45999999999998</v>
      </c>
      <c r="E4" s="11">
        <f t="shared" si="0"/>
        <v>208.23000000000002</v>
      </c>
      <c r="F4" s="11">
        <f t="shared" si="0"/>
        <v>203.96999999999997</v>
      </c>
      <c r="G4" s="11">
        <f t="shared" si="0"/>
        <v>0</v>
      </c>
      <c r="H4" s="11">
        <f t="shared" si="0"/>
        <v>0</v>
      </c>
      <c r="I4" s="11">
        <f t="shared" si="0"/>
        <v>0</v>
      </c>
      <c r="J4" s="11">
        <f t="shared" si="0"/>
        <v>0</v>
      </c>
      <c r="K4" s="11">
        <f t="shared" si="0"/>
        <v>0</v>
      </c>
      <c r="L4" s="11">
        <f t="shared" si="0"/>
        <v>0</v>
      </c>
      <c r="M4" s="11">
        <f t="shared" si="0"/>
        <v>0</v>
      </c>
      <c r="N4" s="11">
        <f t="shared" si="0"/>
        <v>0</v>
      </c>
      <c r="O4" s="11">
        <f>SUM(C4:N4)</f>
        <v>815.5</v>
      </c>
      <c r="P4" s="39">
        <f>IFERROR(O4/B4,)</f>
        <v>0.28996555614540304</v>
      </c>
    </row>
    <row r="5" spans="1:16" ht="15.95" customHeight="1">
      <c r="A5" s="11" t="s">
        <v>89</v>
      </c>
      <c r="B5" s="11">
        <f>SUM(B6:B14)</f>
        <v>2148.44</v>
      </c>
      <c r="C5" s="11">
        <f t="shared" ref="C5:N5" si="1">SUM(C6:C14)</f>
        <v>167.97</v>
      </c>
      <c r="D5" s="11">
        <f t="shared" si="1"/>
        <v>178.29999999999998</v>
      </c>
      <c r="E5" s="11">
        <f t="shared" si="1"/>
        <v>163.82000000000002</v>
      </c>
      <c r="F5" s="11">
        <f t="shared" si="1"/>
        <v>164.76999999999998</v>
      </c>
      <c r="G5" s="11">
        <f t="shared" si="1"/>
        <v>0</v>
      </c>
      <c r="H5" s="11">
        <f t="shared" si="1"/>
        <v>0</v>
      </c>
      <c r="I5" s="11">
        <f t="shared" si="1"/>
        <v>0</v>
      </c>
      <c r="J5" s="11">
        <f t="shared" si="1"/>
        <v>0</v>
      </c>
      <c r="K5" s="11">
        <f t="shared" si="1"/>
        <v>0</v>
      </c>
      <c r="L5" s="11">
        <f t="shared" si="1"/>
        <v>0</v>
      </c>
      <c r="M5" s="11">
        <f t="shared" si="1"/>
        <v>0</v>
      </c>
      <c r="N5" s="11">
        <f t="shared" si="1"/>
        <v>0</v>
      </c>
      <c r="O5" s="11">
        <f>SUM(C5:N5)</f>
        <v>674.86</v>
      </c>
      <c r="P5" s="39">
        <f>IFERROR(O5/B5,)</f>
        <v>0.31411628902831823</v>
      </c>
    </row>
    <row r="6" spans="1:16" ht="15.95" customHeight="1">
      <c r="A6" s="12" t="s">
        <v>56</v>
      </c>
      <c r="B6" s="13">
        <v>1455.1599999999999</v>
      </c>
      <c r="C6" s="13">
        <v>114.53</v>
      </c>
      <c r="D6" s="13">
        <v>126.6</v>
      </c>
      <c r="E6" s="13">
        <v>109.93</v>
      </c>
      <c r="F6" s="13">
        <v>112.9</v>
      </c>
      <c r="G6" s="13"/>
      <c r="H6" s="13"/>
      <c r="I6" s="13"/>
      <c r="J6" s="65"/>
      <c r="K6" s="13"/>
      <c r="L6" s="65"/>
      <c r="M6" s="13"/>
      <c r="N6" s="13"/>
      <c r="O6" s="15">
        <f>SUM(C6:N6)</f>
        <v>463.96000000000004</v>
      </c>
      <c r="P6" s="40">
        <f t="shared" ref="P6:P55" si="2">IFERROR(O6/B6,)</f>
        <v>0.31883779103328852</v>
      </c>
    </row>
    <row r="7" spans="1:16" ht="15.95" customHeight="1">
      <c r="A7" s="12" t="s">
        <v>57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/>
      <c r="H7" s="13"/>
      <c r="I7" s="13"/>
      <c r="J7" s="13"/>
      <c r="K7" s="13"/>
      <c r="L7" s="13"/>
      <c r="M7" s="13"/>
      <c r="N7" s="13"/>
      <c r="O7" s="15">
        <f t="shared" ref="O7:O10" si="3">SUM(C7:N7)</f>
        <v>0</v>
      </c>
      <c r="P7" s="40">
        <f t="shared" ref="P7:P10" si="4">IFERROR(O7/B7,)</f>
        <v>0</v>
      </c>
    </row>
    <row r="8" spans="1:16" ht="15.95" customHeight="1">
      <c r="A8" s="12" t="s">
        <v>58</v>
      </c>
      <c r="B8" s="13">
        <v>21.490000000000002</v>
      </c>
      <c r="C8" s="13">
        <v>0.8</v>
      </c>
      <c r="D8" s="13">
        <v>0.87</v>
      </c>
      <c r="E8" s="13">
        <v>0.74</v>
      </c>
      <c r="F8" s="13">
        <v>0.86</v>
      </c>
      <c r="G8" s="13"/>
      <c r="H8" s="13"/>
      <c r="I8" s="13"/>
      <c r="J8" s="13"/>
      <c r="K8" s="13"/>
      <c r="L8" s="13"/>
      <c r="M8" s="13"/>
      <c r="N8" s="13"/>
      <c r="O8" s="15">
        <f t="shared" si="3"/>
        <v>3.27</v>
      </c>
      <c r="P8" s="40">
        <f t="shared" si="4"/>
        <v>0.15216379711493716</v>
      </c>
    </row>
    <row r="9" spans="1:16" ht="15.95" customHeight="1">
      <c r="A9" s="12" t="s">
        <v>90</v>
      </c>
      <c r="B9" s="13">
        <v>552.13</v>
      </c>
      <c r="C9" s="13">
        <v>44.85</v>
      </c>
      <c r="D9" s="13">
        <v>44.85</v>
      </c>
      <c r="E9" s="13">
        <v>45.07</v>
      </c>
      <c r="F9" s="13">
        <v>44.25</v>
      </c>
      <c r="G9" s="13"/>
      <c r="H9" s="13"/>
      <c r="I9" s="13"/>
      <c r="J9" s="13"/>
      <c r="K9" s="13"/>
      <c r="L9" s="13"/>
      <c r="M9" s="13"/>
      <c r="N9" s="13"/>
      <c r="O9" s="15">
        <f t="shared" si="3"/>
        <v>179.02</v>
      </c>
      <c r="P9" s="40">
        <f>IFERROR(O9/B9,)</f>
        <v>0.32423523445565355</v>
      </c>
    </row>
    <row r="10" spans="1:16" ht="15.95" customHeight="1">
      <c r="A10" s="12" t="s">
        <v>74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/>
      <c r="H10" s="13"/>
      <c r="I10" s="13"/>
      <c r="J10" s="13"/>
      <c r="K10" s="13"/>
      <c r="L10" s="13"/>
      <c r="M10" s="13"/>
      <c r="N10" s="13"/>
      <c r="O10" s="15">
        <f t="shared" si="3"/>
        <v>0</v>
      </c>
      <c r="P10" s="40">
        <f t="shared" si="4"/>
        <v>0</v>
      </c>
    </row>
    <row r="11" spans="1:16" ht="15.95" customHeight="1">
      <c r="A11" s="12" t="s">
        <v>91</v>
      </c>
      <c r="B11" s="13">
        <v>28.8</v>
      </c>
      <c r="C11" s="13">
        <v>2.4</v>
      </c>
      <c r="D11" s="13">
        <v>2.91</v>
      </c>
      <c r="E11" s="13">
        <v>2.4</v>
      </c>
      <c r="F11" s="13">
        <v>1.51</v>
      </c>
      <c r="G11" s="13"/>
      <c r="H11" s="13"/>
      <c r="I11" s="13"/>
      <c r="J11" s="13"/>
      <c r="K11" s="13"/>
      <c r="L11" s="13"/>
      <c r="M11" s="13"/>
      <c r="N11" s="13"/>
      <c r="O11" s="15">
        <f t="shared" ref="O11:O42" si="5">SUM(C11:N11)</f>
        <v>9.2200000000000006</v>
      </c>
      <c r="P11" s="40">
        <f t="shared" si="2"/>
        <v>0.32013888888888892</v>
      </c>
    </row>
    <row r="12" spans="1:16" ht="15.95" customHeight="1">
      <c r="A12" s="12" t="s">
        <v>92</v>
      </c>
      <c r="B12" s="13">
        <v>16.899999999999999</v>
      </c>
      <c r="C12" s="13">
        <v>0</v>
      </c>
      <c r="D12" s="13">
        <v>0</v>
      </c>
      <c r="E12" s="13">
        <v>0</v>
      </c>
      <c r="F12" s="13">
        <v>0</v>
      </c>
      <c r="G12" s="13"/>
      <c r="H12" s="13"/>
      <c r="I12" s="13"/>
      <c r="J12" s="13"/>
      <c r="K12" s="13"/>
      <c r="L12" s="13"/>
      <c r="M12" s="13"/>
      <c r="N12" s="13"/>
      <c r="O12" s="15">
        <f t="shared" si="5"/>
        <v>0</v>
      </c>
      <c r="P12" s="40">
        <f t="shared" si="2"/>
        <v>0</v>
      </c>
    </row>
    <row r="13" spans="1:16" ht="15.95" customHeight="1">
      <c r="A13" s="12" t="s">
        <v>67</v>
      </c>
      <c r="B13" s="13">
        <v>0.76</v>
      </c>
      <c r="C13" s="13">
        <v>0</v>
      </c>
      <c r="D13" s="13">
        <v>0</v>
      </c>
      <c r="E13" s="13">
        <v>0</v>
      </c>
      <c r="F13" s="13">
        <v>0</v>
      </c>
      <c r="G13" s="13"/>
      <c r="H13" s="13"/>
      <c r="I13" s="13"/>
      <c r="J13" s="13"/>
      <c r="K13" s="13"/>
      <c r="L13" s="13"/>
      <c r="M13" s="13"/>
      <c r="N13" s="13"/>
      <c r="O13" s="15">
        <f t="shared" si="5"/>
        <v>0</v>
      </c>
      <c r="P13" s="40">
        <f t="shared" si="2"/>
        <v>0</v>
      </c>
    </row>
    <row r="14" spans="1:16" ht="15.95" customHeight="1">
      <c r="A14" s="12" t="s">
        <v>93</v>
      </c>
      <c r="B14" s="13">
        <v>73.2</v>
      </c>
      <c r="C14" s="13">
        <v>5.39</v>
      </c>
      <c r="D14" s="13">
        <v>3.07</v>
      </c>
      <c r="E14" s="13">
        <v>5.68</v>
      </c>
      <c r="F14" s="13">
        <v>5.25</v>
      </c>
      <c r="G14" s="13"/>
      <c r="H14" s="13"/>
      <c r="I14" s="13"/>
      <c r="J14" s="13"/>
      <c r="K14" s="13"/>
      <c r="L14" s="13"/>
      <c r="M14" s="13"/>
      <c r="N14" s="13"/>
      <c r="O14" s="15">
        <f t="shared" si="5"/>
        <v>19.39</v>
      </c>
      <c r="P14" s="40">
        <f t="shared" si="2"/>
        <v>0.26489071038251366</v>
      </c>
    </row>
    <row r="15" spans="1:16" ht="15.95" customHeight="1">
      <c r="A15" s="11" t="s">
        <v>94</v>
      </c>
      <c r="B15" s="11">
        <f>B16+B22</f>
        <v>663.96299999999997</v>
      </c>
      <c r="C15" s="11">
        <f t="shared" ref="C15:N15" si="6">C16+C22</f>
        <v>28.870000000000005</v>
      </c>
      <c r="D15" s="11">
        <f t="shared" si="6"/>
        <v>28.16</v>
      </c>
      <c r="E15" s="11">
        <f t="shared" si="6"/>
        <v>44.410000000000004</v>
      </c>
      <c r="F15" s="11">
        <f t="shared" si="6"/>
        <v>39.200000000000003</v>
      </c>
      <c r="G15" s="11">
        <f t="shared" si="6"/>
        <v>0</v>
      </c>
      <c r="H15" s="11">
        <f t="shared" si="6"/>
        <v>0</v>
      </c>
      <c r="I15" s="11">
        <f t="shared" si="6"/>
        <v>0</v>
      </c>
      <c r="J15" s="11">
        <f t="shared" si="6"/>
        <v>0</v>
      </c>
      <c r="K15" s="11">
        <f t="shared" si="6"/>
        <v>0</v>
      </c>
      <c r="L15" s="11">
        <f t="shared" si="6"/>
        <v>0</v>
      </c>
      <c r="M15" s="11">
        <f t="shared" si="6"/>
        <v>0</v>
      </c>
      <c r="N15" s="11">
        <f t="shared" si="6"/>
        <v>0</v>
      </c>
      <c r="O15" s="11">
        <f t="shared" si="5"/>
        <v>140.63999999999999</v>
      </c>
      <c r="P15" s="39">
        <f t="shared" si="2"/>
        <v>0.21181903208461916</v>
      </c>
    </row>
    <row r="16" spans="1:16" ht="15.95" customHeight="1">
      <c r="A16" s="37" t="s">
        <v>95</v>
      </c>
      <c r="B16" s="15">
        <f>SUM(B17:B21)</f>
        <v>99.25</v>
      </c>
      <c r="C16" s="15">
        <f t="shared" ref="C16:N16" si="7">SUM(C17:C21)</f>
        <v>9.3800000000000008</v>
      </c>
      <c r="D16" s="15">
        <f t="shared" si="7"/>
        <v>10.45</v>
      </c>
      <c r="E16" s="15">
        <f t="shared" si="7"/>
        <v>6.8800000000000008</v>
      </c>
      <c r="F16" s="15">
        <f t="shared" si="7"/>
        <v>5.3100000000000005</v>
      </c>
      <c r="G16" s="15">
        <f t="shared" si="7"/>
        <v>0</v>
      </c>
      <c r="H16" s="15">
        <f t="shared" si="7"/>
        <v>0</v>
      </c>
      <c r="I16" s="15">
        <f t="shared" si="7"/>
        <v>0</v>
      </c>
      <c r="J16" s="15">
        <f t="shared" si="7"/>
        <v>0</v>
      </c>
      <c r="K16" s="15">
        <f t="shared" si="7"/>
        <v>0</v>
      </c>
      <c r="L16" s="15">
        <f t="shared" si="7"/>
        <v>0</v>
      </c>
      <c r="M16" s="15">
        <f t="shared" si="7"/>
        <v>0</v>
      </c>
      <c r="N16" s="15">
        <f t="shared" si="7"/>
        <v>0</v>
      </c>
      <c r="O16" s="15">
        <f t="shared" si="5"/>
        <v>32.020000000000003</v>
      </c>
      <c r="P16" s="40">
        <f t="shared" si="2"/>
        <v>0.32261964735516374</v>
      </c>
    </row>
    <row r="17" spans="1:16" ht="15.95" customHeight="1">
      <c r="A17" s="12" t="s">
        <v>96</v>
      </c>
      <c r="B17" s="13">
        <v>19.239999999999998</v>
      </c>
      <c r="C17" s="13">
        <v>1.6</v>
      </c>
      <c r="D17" s="13">
        <v>1.61</v>
      </c>
      <c r="E17" s="13">
        <v>1.6</v>
      </c>
      <c r="F17" s="13">
        <v>1.6</v>
      </c>
      <c r="G17" s="13"/>
      <c r="H17" s="13"/>
      <c r="I17" s="13"/>
      <c r="J17" s="13"/>
      <c r="K17" s="13"/>
      <c r="L17" s="13"/>
      <c r="M17" s="13"/>
      <c r="N17" s="13"/>
      <c r="O17" s="15">
        <f t="shared" si="5"/>
        <v>6.41</v>
      </c>
      <c r="P17" s="40">
        <f t="shared" si="2"/>
        <v>0.33316008316008322</v>
      </c>
    </row>
    <row r="18" spans="1:16" ht="15.95" customHeight="1">
      <c r="A18" s="12" t="s">
        <v>97</v>
      </c>
      <c r="B18" s="13">
        <v>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5">
        <f t="shared" si="5"/>
        <v>0</v>
      </c>
      <c r="P18" s="40">
        <f t="shared" si="2"/>
        <v>0</v>
      </c>
    </row>
    <row r="19" spans="1:16" ht="15.95" customHeight="1">
      <c r="A19" s="12" t="s">
        <v>98</v>
      </c>
      <c r="B19" s="13">
        <v>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5">
        <f t="shared" ref="O19:O29" si="8">SUM(C19:N19)</f>
        <v>0</v>
      </c>
      <c r="P19" s="40">
        <f t="shared" ref="P19:P29" si="9">IFERROR(O19/B19,)</f>
        <v>0</v>
      </c>
    </row>
    <row r="20" spans="1:16" ht="15.95" customHeight="1">
      <c r="A20" s="12" t="s">
        <v>66</v>
      </c>
      <c r="B20" s="13">
        <v>70.23</v>
      </c>
      <c r="C20" s="13">
        <v>6.97</v>
      </c>
      <c r="D20" s="13">
        <v>8.0299999999999994</v>
      </c>
      <c r="E20" s="13">
        <v>4.47</v>
      </c>
      <c r="F20" s="13">
        <v>2.9</v>
      </c>
      <c r="G20" s="13"/>
      <c r="H20" s="13"/>
      <c r="I20" s="13"/>
      <c r="J20" s="13"/>
      <c r="K20" s="13"/>
      <c r="L20" s="13"/>
      <c r="M20" s="13"/>
      <c r="N20" s="13"/>
      <c r="O20" s="15">
        <f t="shared" si="8"/>
        <v>22.369999999999997</v>
      </c>
      <c r="P20" s="40">
        <f t="shared" si="9"/>
        <v>0.31852484693151067</v>
      </c>
    </row>
    <row r="21" spans="1:16" ht="15.95" customHeight="1">
      <c r="A21" s="12" t="s">
        <v>75</v>
      </c>
      <c r="B21" s="13">
        <v>9.7800000000000011</v>
      </c>
      <c r="C21" s="13">
        <v>0.81</v>
      </c>
      <c r="D21" s="13">
        <v>0.81</v>
      </c>
      <c r="E21" s="13">
        <v>0.81</v>
      </c>
      <c r="F21" s="13">
        <v>0.81</v>
      </c>
      <c r="G21" s="13"/>
      <c r="H21" s="13"/>
      <c r="I21" s="13"/>
      <c r="J21" s="13"/>
      <c r="K21" s="13"/>
      <c r="L21" s="13"/>
      <c r="M21" s="13"/>
      <c r="N21" s="13"/>
      <c r="O21" s="15">
        <f t="shared" si="8"/>
        <v>3.24</v>
      </c>
      <c r="P21" s="40">
        <f t="shared" si="9"/>
        <v>0.33128834355828218</v>
      </c>
    </row>
    <row r="22" spans="1:16" ht="15.95" customHeight="1">
      <c r="A22" s="37" t="s">
        <v>99</v>
      </c>
      <c r="B22" s="15">
        <f>SUM(B23:B42)</f>
        <v>564.71299999999997</v>
      </c>
      <c r="C22" s="15">
        <f t="shared" ref="C22:N22" si="10">SUM(C23:C42)</f>
        <v>19.490000000000002</v>
      </c>
      <c r="D22" s="15">
        <f t="shared" si="10"/>
        <v>17.71</v>
      </c>
      <c r="E22" s="15">
        <f t="shared" si="10"/>
        <v>37.53</v>
      </c>
      <c r="F22" s="15">
        <f t="shared" si="10"/>
        <v>33.89</v>
      </c>
      <c r="G22" s="15">
        <f t="shared" si="10"/>
        <v>0</v>
      </c>
      <c r="H22" s="15">
        <f t="shared" si="10"/>
        <v>0</v>
      </c>
      <c r="I22" s="15">
        <f t="shared" si="10"/>
        <v>0</v>
      </c>
      <c r="J22" s="15">
        <f t="shared" si="10"/>
        <v>0</v>
      </c>
      <c r="K22" s="15">
        <f t="shared" si="10"/>
        <v>0</v>
      </c>
      <c r="L22" s="15">
        <f t="shared" si="10"/>
        <v>0</v>
      </c>
      <c r="M22" s="15">
        <f t="shared" si="10"/>
        <v>0</v>
      </c>
      <c r="N22" s="15">
        <f t="shared" si="10"/>
        <v>0</v>
      </c>
      <c r="O22" s="15">
        <f t="shared" si="8"/>
        <v>108.62</v>
      </c>
      <c r="P22" s="40">
        <f t="shared" si="9"/>
        <v>0.192345492312024</v>
      </c>
    </row>
    <row r="23" spans="1:16" ht="15.95" customHeight="1">
      <c r="A23" s="12" t="s">
        <v>60</v>
      </c>
      <c r="B23" s="13">
        <v>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5">
        <f t="shared" si="8"/>
        <v>0</v>
      </c>
      <c r="P23" s="40">
        <f t="shared" si="9"/>
        <v>0</v>
      </c>
    </row>
    <row r="24" spans="1:16" ht="15.95" customHeight="1">
      <c r="A24" s="12" t="s">
        <v>61</v>
      </c>
      <c r="B24" s="13">
        <v>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5">
        <f t="shared" si="8"/>
        <v>0</v>
      </c>
      <c r="P24" s="40">
        <f t="shared" si="9"/>
        <v>0</v>
      </c>
    </row>
    <row r="25" spans="1:16" ht="15.95" customHeight="1">
      <c r="A25" s="12" t="s">
        <v>59</v>
      </c>
      <c r="B25" s="13">
        <v>1.0899999999999999</v>
      </c>
      <c r="C25" s="13">
        <v>0.08</v>
      </c>
      <c r="D25" s="13">
        <v>0.02</v>
      </c>
      <c r="E25" s="13">
        <v>0.05</v>
      </c>
      <c r="F25" s="13">
        <v>0.03</v>
      </c>
      <c r="G25" s="13"/>
      <c r="H25" s="13"/>
      <c r="I25" s="13"/>
      <c r="J25" s="13"/>
      <c r="K25" s="13"/>
      <c r="L25" s="13"/>
      <c r="M25" s="13"/>
      <c r="N25" s="13"/>
      <c r="O25" s="15">
        <f t="shared" si="8"/>
        <v>0.18000000000000002</v>
      </c>
      <c r="P25" s="40">
        <f t="shared" si="9"/>
        <v>0.16513761467889912</v>
      </c>
    </row>
    <row r="26" spans="1:16" ht="15.95" customHeight="1">
      <c r="A26" s="12" t="s">
        <v>62</v>
      </c>
      <c r="B26" s="13">
        <v>3.9000000000000004</v>
      </c>
      <c r="C26" s="13">
        <v>0.17</v>
      </c>
      <c r="D26" s="13">
        <v>0.17</v>
      </c>
      <c r="E26" s="13">
        <v>0.25</v>
      </c>
      <c r="F26" s="13">
        <v>0.28999999999999998</v>
      </c>
      <c r="G26" s="13"/>
      <c r="H26" s="13"/>
      <c r="I26" s="13"/>
      <c r="J26" s="13"/>
      <c r="K26" s="13"/>
      <c r="L26" s="13"/>
      <c r="M26" s="13"/>
      <c r="N26" s="13"/>
      <c r="O26" s="15">
        <f t="shared" si="8"/>
        <v>0.88000000000000012</v>
      </c>
      <c r="P26" s="40">
        <f t="shared" si="9"/>
        <v>0.22564102564102564</v>
      </c>
    </row>
    <row r="27" spans="1:16" ht="15.95" customHeight="1">
      <c r="A27" s="12" t="s">
        <v>100</v>
      </c>
      <c r="B27" s="13">
        <v>0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5">
        <f t="shared" si="8"/>
        <v>0</v>
      </c>
      <c r="P27" s="40">
        <f t="shared" si="9"/>
        <v>0</v>
      </c>
    </row>
    <row r="28" spans="1:16" ht="15.95" customHeight="1">
      <c r="A28" s="12" t="s">
        <v>101</v>
      </c>
      <c r="B28" s="13">
        <v>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5">
        <f t="shared" si="8"/>
        <v>0</v>
      </c>
      <c r="P28" s="40">
        <f t="shared" si="9"/>
        <v>0</v>
      </c>
    </row>
    <row r="29" spans="1:16" ht="15.95" customHeight="1">
      <c r="A29" s="12" t="s">
        <v>64</v>
      </c>
      <c r="B29" s="13">
        <v>6.3E-2</v>
      </c>
      <c r="C29" s="13"/>
      <c r="D29" s="13"/>
      <c r="E29" s="13"/>
      <c r="F29" s="13">
        <v>0.1</v>
      </c>
      <c r="G29" s="13"/>
      <c r="H29" s="13"/>
      <c r="I29" s="13"/>
      <c r="J29" s="13"/>
      <c r="K29" s="13"/>
      <c r="L29" s="13"/>
      <c r="M29" s="13"/>
      <c r="N29" s="13"/>
      <c r="O29" s="15">
        <f t="shared" si="8"/>
        <v>0.1</v>
      </c>
      <c r="P29" s="40">
        <f t="shared" si="9"/>
        <v>1.5873015873015874</v>
      </c>
    </row>
    <row r="30" spans="1:16" ht="15.95" customHeight="1">
      <c r="A30" s="12" t="s">
        <v>102</v>
      </c>
      <c r="B30" s="13">
        <v>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5">
        <f t="shared" si="5"/>
        <v>0</v>
      </c>
      <c r="P30" s="40">
        <f t="shared" si="2"/>
        <v>0</v>
      </c>
    </row>
    <row r="31" spans="1:16" ht="15.95" customHeight="1">
      <c r="A31" s="12" t="s">
        <v>103</v>
      </c>
      <c r="B31" s="13">
        <v>4.99</v>
      </c>
      <c r="C31" s="13">
        <v>0.16</v>
      </c>
      <c r="D31" s="13">
        <v>0.11</v>
      </c>
      <c r="E31" s="13">
        <v>0.27</v>
      </c>
      <c r="F31" s="13">
        <v>0.24</v>
      </c>
      <c r="G31" s="13"/>
      <c r="H31" s="13"/>
      <c r="I31" s="13"/>
      <c r="J31" s="13"/>
      <c r="K31" s="13"/>
      <c r="L31" s="13"/>
      <c r="M31" s="13"/>
      <c r="N31" s="13"/>
      <c r="O31" s="15">
        <f t="shared" si="5"/>
        <v>0.78</v>
      </c>
      <c r="P31" s="40">
        <f t="shared" si="2"/>
        <v>0.15631262525050099</v>
      </c>
    </row>
    <row r="32" spans="1:16" ht="15.95" customHeight="1">
      <c r="A32" s="12" t="s">
        <v>65</v>
      </c>
      <c r="B32" s="13">
        <v>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5">
        <f t="shared" si="5"/>
        <v>0</v>
      </c>
      <c r="P32" s="40">
        <f t="shared" si="2"/>
        <v>0</v>
      </c>
    </row>
    <row r="33" spans="1:16" ht="15.95" customHeight="1">
      <c r="A33" s="12" t="s">
        <v>104</v>
      </c>
      <c r="B33" s="13">
        <v>0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5">
        <f t="shared" si="5"/>
        <v>0</v>
      </c>
      <c r="P33" s="40">
        <f t="shared" si="2"/>
        <v>0</v>
      </c>
    </row>
    <row r="34" spans="1:16" ht="15.95" customHeight="1">
      <c r="A34" s="12" t="s">
        <v>68</v>
      </c>
      <c r="B34" s="13">
        <v>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5">
        <f t="shared" si="5"/>
        <v>0</v>
      </c>
      <c r="P34" s="40">
        <f t="shared" si="2"/>
        <v>0</v>
      </c>
    </row>
    <row r="35" spans="1:16" ht="15.95" customHeight="1">
      <c r="A35" s="12" t="s">
        <v>69</v>
      </c>
      <c r="B35" s="13">
        <v>16.2</v>
      </c>
      <c r="C35" s="13">
        <v>1.51</v>
      </c>
      <c r="D35" s="13">
        <v>0.91</v>
      </c>
      <c r="E35" s="13">
        <v>0.67</v>
      </c>
      <c r="F35" s="13">
        <f>0.67+5.66</f>
        <v>6.33</v>
      </c>
      <c r="G35" s="13"/>
      <c r="H35" s="13"/>
      <c r="I35" s="13"/>
      <c r="J35" s="13"/>
      <c r="K35" s="13"/>
      <c r="L35" s="13"/>
      <c r="M35" s="13"/>
      <c r="N35" s="13"/>
      <c r="O35" s="15">
        <f t="shared" si="5"/>
        <v>9.42</v>
      </c>
      <c r="P35" s="40">
        <f t="shared" si="2"/>
        <v>0.58148148148148149</v>
      </c>
    </row>
    <row r="36" spans="1:16" ht="15.95" customHeight="1">
      <c r="A36" s="12" t="s">
        <v>70</v>
      </c>
      <c r="B36" s="13">
        <v>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5">
        <f t="shared" si="5"/>
        <v>0</v>
      </c>
      <c r="P36" s="40">
        <f t="shared" si="2"/>
        <v>0</v>
      </c>
    </row>
    <row r="37" spans="1:16" ht="15.95" customHeight="1">
      <c r="A37" s="12" t="s">
        <v>71</v>
      </c>
      <c r="B37" s="13">
        <v>0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5">
        <f t="shared" si="5"/>
        <v>0</v>
      </c>
      <c r="P37" s="40">
        <f t="shared" si="2"/>
        <v>0</v>
      </c>
    </row>
    <row r="38" spans="1:16" ht="15.95" customHeight="1">
      <c r="A38" s="12" t="s">
        <v>72</v>
      </c>
      <c r="B38" s="13">
        <v>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5">
        <f t="shared" si="5"/>
        <v>0</v>
      </c>
      <c r="P38" s="40">
        <f t="shared" si="2"/>
        <v>0</v>
      </c>
    </row>
    <row r="39" spans="1:16" ht="15.95" customHeight="1">
      <c r="A39" s="12" t="s">
        <v>73</v>
      </c>
      <c r="B39" s="13">
        <v>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5">
        <f t="shared" si="5"/>
        <v>0</v>
      </c>
      <c r="P39" s="40">
        <f t="shared" si="2"/>
        <v>0</v>
      </c>
    </row>
    <row r="40" spans="1:16" ht="15.95" customHeight="1">
      <c r="A40" s="12" t="s">
        <v>63</v>
      </c>
      <c r="B40" s="13">
        <v>76.64</v>
      </c>
      <c r="C40" s="13">
        <v>6.2</v>
      </c>
      <c r="D40" s="13">
        <v>6.19</v>
      </c>
      <c r="E40" s="13">
        <v>6.2</v>
      </c>
      <c r="F40" s="13">
        <v>6.2</v>
      </c>
      <c r="G40" s="13"/>
      <c r="H40" s="13"/>
      <c r="I40" s="13"/>
      <c r="J40" s="13"/>
      <c r="K40" s="13"/>
      <c r="L40" s="13"/>
      <c r="M40" s="13"/>
      <c r="N40" s="13"/>
      <c r="O40" s="15">
        <f t="shared" si="5"/>
        <v>24.79</v>
      </c>
      <c r="P40" s="40">
        <f t="shared" si="2"/>
        <v>0.32346033402922753</v>
      </c>
    </row>
    <row r="41" spans="1:16" ht="15.95" customHeight="1">
      <c r="A41" s="12" t="s">
        <v>76</v>
      </c>
      <c r="B41" s="13">
        <v>0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5">
        <f t="shared" si="5"/>
        <v>0</v>
      </c>
      <c r="P41" s="40">
        <f t="shared" si="2"/>
        <v>0</v>
      </c>
    </row>
    <row r="42" spans="1:16" ht="15.95" customHeight="1">
      <c r="A42" s="12" t="s">
        <v>79</v>
      </c>
      <c r="B42" s="13">
        <v>461.83</v>
      </c>
      <c r="C42" s="13">
        <v>11.37</v>
      </c>
      <c r="D42" s="13">
        <v>10.31</v>
      </c>
      <c r="E42" s="13">
        <f>11.13+18.96</f>
        <v>30.090000000000003</v>
      </c>
      <c r="F42" s="13">
        <f>12.65+8.05</f>
        <v>20.700000000000003</v>
      </c>
      <c r="G42" s="13"/>
      <c r="H42" s="13"/>
      <c r="I42" s="13"/>
      <c r="J42" s="13"/>
      <c r="K42" s="13"/>
      <c r="L42" s="13"/>
      <c r="M42" s="13"/>
      <c r="N42" s="13"/>
      <c r="O42" s="15">
        <f t="shared" si="5"/>
        <v>72.47</v>
      </c>
      <c r="P42" s="40">
        <f t="shared" si="2"/>
        <v>0.15691921269731288</v>
      </c>
    </row>
    <row r="43" spans="1:16" ht="15.95" customHeight="1">
      <c r="A43" s="14" t="s">
        <v>26</v>
      </c>
      <c r="B43" s="11">
        <f t="shared" ref="B43:N43" si="11">B44+B69</f>
        <v>1866.056</v>
      </c>
      <c r="C43" s="11">
        <f>C44+C69</f>
        <v>162.19759999999999</v>
      </c>
      <c r="D43" s="11">
        <f t="shared" si="11"/>
        <v>131.54500000000002</v>
      </c>
      <c r="E43" s="11">
        <f>E44+E69</f>
        <v>123.446</v>
      </c>
      <c r="F43" s="11">
        <f t="shared" si="11"/>
        <v>134.96899999999999</v>
      </c>
      <c r="G43" s="11">
        <f t="shared" si="11"/>
        <v>0</v>
      </c>
      <c r="H43" s="11">
        <f t="shared" si="11"/>
        <v>0</v>
      </c>
      <c r="I43" s="11">
        <f t="shared" si="11"/>
        <v>0</v>
      </c>
      <c r="J43" s="11">
        <f t="shared" si="11"/>
        <v>0</v>
      </c>
      <c r="K43" s="11">
        <f t="shared" si="11"/>
        <v>0</v>
      </c>
      <c r="L43" s="11">
        <f t="shared" si="11"/>
        <v>0</v>
      </c>
      <c r="M43" s="11">
        <f t="shared" si="11"/>
        <v>0</v>
      </c>
      <c r="N43" s="11">
        <f t="shared" si="11"/>
        <v>0</v>
      </c>
      <c r="O43" s="11">
        <f t="shared" ref="O43:O82" si="12">SUM(C43:N43)</f>
        <v>552.1576</v>
      </c>
      <c r="P43" s="39">
        <f t="shared" si="2"/>
        <v>0.29589551438970746</v>
      </c>
    </row>
    <row r="44" spans="1:16" ht="15.95" customHeight="1">
      <c r="A44" s="11" t="s">
        <v>105</v>
      </c>
      <c r="B44" s="11">
        <f>+B45+B66</f>
        <v>596.64599999999996</v>
      </c>
      <c r="C44" s="11">
        <f t="shared" ref="C44:N44" si="13">+C45+C66</f>
        <v>51.097599999999993</v>
      </c>
      <c r="D44" s="11">
        <f t="shared" si="13"/>
        <v>43.375</v>
      </c>
      <c r="E44" s="11">
        <f t="shared" si="13"/>
        <v>51.276000000000003</v>
      </c>
      <c r="F44" s="11">
        <f t="shared" si="13"/>
        <v>55.939000000000007</v>
      </c>
      <c r="G44" s="11">
        <f t="shared" si="13"/>
        <v>0</v>
      </c>
      <c r="H44" s="11">
        <f t="shared" si="13"/>
        <v>0</v>
      </c>
      <c r="I44" s="11">
        <f t="shared" si="13"/>
        <v>0</v>
      </c>
      <c r="J44" s="11">
        <f t="shared" si="13"/>
        <v>0</v>
      </c>
      <c r="K44" s="11">
        <f t="shared" si="13"/>
        <v>0</v>
      </c>
      <c r="L44" s="11">
        <f t="shared" si="13"/>
        <v>0</v>
      </c>
      <c r="M44" s="11">
        <f t="shared" si="13"/>
        <v>0</v>
      </c>
      <c r="N44" s="11">
        <f t="shared" si="13"/>
        <v>0</v>
      </c>
      <c r="O44" s="11">
        <f t="shared" si="12"/>
        <v>201.68760000000003</v>
      </c>
      <c r="P44" s="39">
        <f t="shared" si="2"/>
        <v>0.33803561911082963</v>
      </c>
    </row>
    <row r="45" spans="1:16" ht="15.95" customHeight="1">
      <c r="A45" s="37" t="s">
        <v>106</v>
      </c>
      <c r="B45" s="15">
        <f>SUM(B46:B65)</f>
        <v>532.36599999999999</v>
      </c>
      <c r="C45" s="15">
        <f t="shared" ref="C45:N45" si="14">SUM(C46:C65)</f>
        <v>42.977599999999995</v>
      </c>
      <c r="D45" s="15">
        <f t="shared" si="14"/>
        <v>28.595000000000002</v>
      </c>
      <c r="E45" s="15">
        <f t="shared" si="14"/>
        <v>42.696000000000005</v>
      </c>
      <c r="F45" s="15">
        <f t="shared" si="14"/>
        <v>46.239000000000004</v>
      </c>
      <c r="G45" s="15">
        <f t="shared" si="14"/>
        <v>0</v>
      </c>
      <c r="H45" s="15">
        <f t="shared" si="14"/>
        <v>0</v>
      </c>
      <c r="I45" s="15">
        <f t="shared" si="14"/>
        <v>0</v>
      </c>
      <c r="J45" s="15">
        <f t="shared" si="14"/>
        <v>0</v>
      </c>
      <c r="K45" s="15">
        <f t="shared" si="14"/>
        <v>0</v>
      </c>
      <c r="L45" s="15">
        <f t="shared" si="14"/>
        <v>0</v>
      </c>
      <c r="M45" s="15">
        <f t="shared" si="14"/>
        <v>0</v>
      </c>
      <c r="N45" s="15">
        <f t="shared" si="14"/>
        <v>0</v>
      </c>
      <c r="O45" s="15">
        <f t="shared" si="12"/>
        <v>160.5076</v>
      </c>
      <c r="P45" s="40">
        <f t="shared" si="2"/>
        <v>0.30149859307318649</v>
      </c>
    </row>
    <row r="46" spans="1:16" ht="15.95" customHeight="1">
      <c r="A46" s="12" t="s">
        <v>60</v>
      </c>
      <c r="B46" s="13">
        <v>2.1</v>
      </c>
      <c r="C46" s="13">
        <v>0</v>
      </c>
      <c r="D46" s="13">
        <v>0</v>
      </c>
      <c r="E46" s="13">
        <v>0</v>
      </c>
      <c r="F46" s="13">
        <v>0</v>
      </c>
      <c r="G46" s="13"/>
      <c r="H46" s="13"/>
      <c r="I46" s="13"/>
      <c r="J46" s="13"/>
      <c r="K46" s="13"/>
      <c r="L46" s="13"/>
      <c r="M46" s="13"/>
      <c r="N46" s="13"/>
      <c r="O46" s="15">
        <f t="shared" si="12"/>
        <v>0</v>
      </c>
      <c r="P46" s="40">
        <f t="shared" si="2"/>
        <v>0</v>
      </c>
    </row>
    <row r="47" spans="1:16" ht="15.95" customHeight="1">
      <c r="A47" s="12" t="s">
        <v>61</v>
      </c>
      <c r="B47" s="13">
        <v>25.589999999999996</v>
      </c>
      <c r="C47" s="13">
        <v>1.28</v>
      </c>
      <c r="D47" s="13">
        <v>0.56000000000000005</v>
      </c>
      <c r="E47" s="13">
        <v>1.68</v>
      </c>
      <c r="F47" s="13">
        <v>1.47</v>
      </c>
      <c r="G47" s="13"/>
      <c r="H47" s="13"/>
      <c r="I47" s="13"/>
      <c r="J47" s="13"/>
      <c r="K47" s="13"/>
      <c r="L47" s="13"/>
      <c r="M47" s="13"/>
      <c r="N47" s="13"/>
      <c r="O47" s="15">
        <f t="shared" si="12"/>
        <v>4.99</v>
      </c>
      <c r="P47" s="40">
        <f t="shared" si="2"/>
        <v>0.19499804611176244</v>
      </c>
    </row>
    <row r="48" spans="1:16" ht="15.95" customHeight="1">
      <c r="A48" s="12" t="s">
        <v>59</v>
      </c>
      <c r="B48" s="13">
        <v>0.15</v>
      </c>
      <c r="C48" s="13">
        <v>-2.3999999999999998E-3</v>
      </c>
      <c r="D48" s="13">
        <v>1.4999999999999999E-2</v>
      </c>
      <c r="E48" s="13">
        <v>-4.0000000000000001E-3</v>
      </c>
      <c r="F48" s="13">
        <v>-1E-3</v>
      </c>
      <c r="G48" s="13"/>
      <c r="H48" s="13"/>
      <c r="I48" s="13"/>
      <c r="J48" s="13"/>
      <c r="K48" s="13"/>
      <c r="L48" s="13"/>
      <c r="M48" s="13"/>
      <c r="N48" s="13"/>
      <c r="O48" s="15">
        <f t="shared" si="12"/>
        <v>7.6E-3</v>
      </c>
      <c r="P48" s="40">
        <f t="shared" si="2"/>
        <v>5.0666666666666665E-2</v>
      </c>
    </row>
    <row r="49" spans="1:16" ht="15.95" customHeight="1">
      <c r="A49" s="12" t="s">
        <v>62</v>
      </c>
      <c r="B49" s="13">
        <v>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5">
        <f t="shared" si="12"/>
        <v>0</v>
      </c>
      <c r="P49" s="40">
        <f t="shared" si="2"/>
        <v>0</v>
      </c>
    </row>
    <row r="50" spans="1:16" ht="15.95" customHeight="1">
      <c r="A50" s="12" t="s">
        <v>64</v>
      </c>
      <c r="B50" s="13">
        <v>5.1360000000000001</v>
      </c>
      <c r="C50" s="13">
        <v>0.35</v>
      </c>
      <c r="D50" s="13">
        <v>0.37</v>
      </c>
      <c r="E50" s="13">
        <v>0.34</v>
      </c>
      <c r="F50" s="13">
        <v>1.27</v>
      </c>
      <c r="G50" s="13"/>
      <c r="H50" s="13"/>
      <c r="I50" s="13"/>
      <c r="J50" s="13"/>
      <c r="K50" s="13"/>
      <c r="L50" s="13"/>
      <c r="M50" s="13"/>
      <c r="N50" s="13"/>
      <c r="O50" s="15">
        <f t="shared" si="12"/>
        <v>2.33</v>
      </c>
      <c r="P50" s="40">
        <f t="shared" si="2"/>
        <v>0.45366043613707163</v>
      </c>
    </row>
    <row r="51" spans="1:16" ht="15.95" customHeight="1">
      <c r="A51" s="12" t="s">
        <v>102</v>
      </c>
      <c r="B51" s="13">
        <v>0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5">
        <f t="shared" si="12"/>
        <v>0</v>
      </c>
      <c r="P51" s="40">
        <f t="shared" si="2"/>
        <v>0</v>
      </c>
    </row>
    <row r="52" spans="1:16" ht="15.95" customHeight="1">
      <c r="A52" s="12" t="s">
        <v>103</v>
      </c>
      <c r="B52" s="13">
        <v>0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5">
        <f t="shared" si="12"/>
        <v>0</v>
      </c>
      <c r="P52" s="40">
        <f t="shared" si="2"/>
        <v>0</v>
      </c>
    </row>
    <row r="53" spans="1:16" ht="15.95" customHeight="1">
      <c r="A53" s="12" t="s">
        <v>65</v>
      </c>
      <c r="B53" s="13">
        <v>0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5">
        <f t="shared" si="12"/>
        <v>0</v>
      </c>
      <c r="P53" s="40">
        <f t="shared" si="2"/>
        <v>0</v>
      </c>
    </row>
    <row r="54" spans="1:16" ht="15.95" customHeight="1">
      <c r="A54" s="12" t="s">
        <v>104</v>
      </c>
      <c r="B54" s="13">
        <v>0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5">
        <f t="shared" si="12"/>
        <v>0</v>
      </c>
      <c r="P54" s="40">
        <f t="shared" si="2"/>
        <v>0</v>
      </c>
    </row>
    <row r="55" spans="1:16" ht="15.95" customHeight="1">
      <c r="A55" s="12" t="s">
        <v>68</v>
      </c>
      <c r="B55" s="13">
        <v>8.5</v>
      </c>
      <c r="C55" s="13">
        <v>0.32</v>
      </c>
      <c r="D55" s="13">
        <v>0.32</v>
      </c>
      <c r="E55" s="13">
        <v>0.32</v>
      </c>
      <c r="F55" s="13">
        <v>0.33</v>
      </c>
      <c r="G55" s="13"/>
      <c r="H55" s="13"/>
      <c r="I55" s="13"/>
      <c r="J55" s="13"/>
      <c r="K55" s="13"/>
      <c r="L55" s="13"/>
      <c r="M55" s="13"/>
      <c r="N55" s="13"/>
      <c r="O55" s="15">
        <f t="shared" si="12"/>
        <v>1.29</v>
      </c>
      <c r="P55" s="40">
        <f t="shared" si="2"/>
        <v>0.15176470588235294</v>
      </c>
    </row>
    <row r="56" spans="1:16" ht="15.95" customHeight="1">
      <c r="A56" s="12" t="s">
        <v>69</v>
      </c>
      <c r="B56" s="13">
        <v>0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5">
        <f t="shared" ref="O56:O68" si="15">SUM(C56:N56)</f>
        <v>0</v>
      </c>
      <c r="P56" s="40">
        <f t="shared" ref="P56:P68" si="16">IFERROR(O56/B56,)</f>
        <v>0</v>
      </c>
    </row>
    <row r="57" spans="1:16" ht="15.95" customHeight="1">
      <c r="A57" s="12" t="s">
        <v>70</v>
      </c>
      <c r="B57" s="13">
        <v>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5">
        <f t="shared" si="15"/>
        <v>0</v>
      </c>
      <c r="P57" s="40">
        <f t="shared" si="16"/>
        <v>0</v>
      </c>
    </row>
    <row r="58" spans="1:16" ht="15.95" customHeight="1">
      <c r="A58" s="12" t="s">
        <v>71</v>
      </c>
      <c r="B58" s="13">
        <v>0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5">
        <f t="shared" si="15"/>
        <v>0</v>
      </c>
      <c r="P58" s="40">
        <f t="shared" si="16"/>
        <v>0</v>
      </c>
    </row>
    <row r="59" spans="1:16" ht="15.95" customHeight="1">
      <c r="A59" s="12" t="s">
        <v>72</v>
      </c>
      <c r="B59" s="13">
        <v>0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5">
        <f t="shared" si="15"/>
        <v>0</v>
      </c>
      <c r="P59" s="40">
        <f t="shared" si="16"/>
        <v>0</v>
      </c>
    </row>
    <row r="60" spans="1:16" ht="15.95" customHeight="1">
      <c r="A60" s="12" t="s">
        <v>73</v>
      </c>
      <c r="B60" s="13">
        <v>0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5">
        <f t="shared" si="15"/>
        <v>0</v>
      </c>
      <c r="P60" s="40">
        <f t="shared" si="16"/>
        <v>0</v>
      </c>
    </row>
    <row r="61" spans="1:16" ht="15.95" customHeight="1">
      <c r="A61" s="12" t="s">
        <v>96</v>
      </c>
      <c r="B61" s="13">
        <v>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5">
        <f t="shared" si="15"/>
        <v>0</v>
      </c>
      <c r="P61" s="40">
        <f t="shared" si="16"/>
        <v>0</v>
      </c>
    </row>
    <row r="62" spans="1:16" ht="15.95" customHeight="1">
      <c r="A62" s="12" t="s">
        <v>97</v>
      </c>
      <c r="B62" s="13">
        <v>122.41999999999999</v>
      </c>
      <c r="C62" s="13">
        <v>10.86</v>
      </c>
      <c r="D62" s="13">
        <v>6.32</v>
      </c>
      <c r="E62" s="13">
        <v>11.41</v>
      </c>
      <c r="F62" s="13">
        <v>10.69</v>
      </c>
      <c r="G62" s="13"/>
      <c r="H62" s="13"/>
      <c r="I62" s="13"/>
      <c r="J62" s="13"/>
      <c r="K62" s="13"/>
      <c r="L62" s="13"/>
      <c r="M62" s="13"/>
      <c r="N62" s="13"/>
      <c r="O62" s="15">
        <f t="shared" si="15"/>
        <v>39.28</v>
      </c>
      <c r="P62" s="40">
        <f t="shared" si="16"/>
        <v>0.32086260414964879</v>
      </c>
    </row>
    <row r="63" spans="1:16" ht="15.95" customHeight="1">
      <c r="A63" s="12" t="s">
        <v>107</v>
      </c>
      <c r="B63" s="13">
        <v>329.07</v>
      </c>
      <c r="C63" s="13">
        <v>28.48</v>
      </c>
      <c r="D63" s="13">
        <v>20.76</v>
      </c>
      <c r="E63" s="13">
        <v>27.07</v>
      </c>
      <c r="F63" s="13">
        <v>32.31</v>
      </c>
      <c r="G63" s="13"/>
      <c r="H63" s="13"/>
      <c r="I63" s="13"/>
      <c r="J63" s="13"/>
      <c r="K63" s="13"/>
      <c r="L63" s="13"/>
      <c r="M63" s="13"/>
      <c r="N63" s="13"/>
      <c r="O63" s="15">
        <f t="shared" si="15"/>
        <v>108.62</v>
      </c>
      <c r="P63" s="40">
        <f t="shared" si="16"/>
        <v>0.3300817455252682</v>
      </c>
    </row>
    <row r="64" spans="1:16" ht="15.95" customHeight="1">
      <c r="A64" s="12" t="s">
        <v>108</v>
      </c>
      <c r="B64" s="13">
        <v>0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5">
        <f t="shared" si="15"/>
        <v>0</v>
      </c>
      <c r="P64" s="40">
        <f t="shared" si="16"/>
        <v>0</v>
      </c>
    </row>
    <row r="65" spans="1:16" ht="15.95" customHeight="1">
      <c r="A65" s="12" t="s">
        <v>79</v>
      </c>
      <c r="B65" s="13">
        <v>39.4</v>
      </c>
      <c r="C65" s="13">
        <v>1.69</v>
      </c>
      <c r="D65" s="13">
        <v>0.25</v>
      </c>
      <c r="E65" s="13">
        <v>1.88</v>
      </c>
      <c r="F65" s="13">
        <v>0.17</v>
      </c>
      <c r="G65" s="13"/>
      <c r="H65" s="13"/>
      <c r="I65" s="13"/>
      <c r="J65" s="13"/>
      <c r="K65" s="13"/>
      <c r="L65" s="13"/>
      <c r="M65" s="13"/>
      <c r="N65" s="13"/>
      <c r="O65" s="15">
        <f>SUM(C65:N65)</f>
        <v>3.9899999999999998</v>
      </c>
      <c r="P65" s="40">
        <f t="shared" si="16"/>
        <v>0.10126903553299492</v>
      </c>
    </row>
    <row r="66" spans="1:16" ht="15.95" customHeight="1">
      <c r="A66" s="37" t="s">
        <v>109</v>
      </c>
      <c r="B66" s="15">
        <f>SUM(B67:B68)</f>
        <v>64.28</v>
      </c>
      <c r="C66" s="15">
        <f t="shared" ref="C66:N66" si="17">SUM(C67:C68)</f>
        <v>8.1199999999999992</v>
      </c>
      <c r="D66" s="15">
        <f t="shared" si="17"/>
        <v>14.78</v>
      </c>
      <c r="E66" s="15">
        <f t="shared" si="17"/>
        <v>8.58</v>
      </c>
      <c r="F66" s="15">
        <f t="shared" si="17"/>
        <v>9.6999999999999993</v>
      </c>
      <c r="G66" s="15">
        <f t="shared" si="17"/>
        <v>0</v>
      </c>
      <c r="H66" s="15">
        <f t="shared" si="17"/>
        <v>0</v>
      </c>
      <c r="I66" s="15">
        <f t="shared" si="17"/>
        <v>0</v>
      </c>
      <c r="J66" s="15">
        <f t="shared" si="17"/>
        <v>0</v>
      </c>
      <c r="K66" s="15">
        <f t="shared" si="17"/>
        <v>0</v>
      </c>
      <c r="L66" s="15">
        <f t="shared" si="17"/>
        <v>0</v>
      </c>
      <c r="M66" s="15">
        <f t="shared" si="17"/>
        <v>0</v>
      </c>
      <c r="N66" s="15">
        <f t="shared" si="17"/>
        <v>0</v>
      </c>
      <c r="O66" s="15">
        <f t="shared" si="15"/>
        <v>41.179999999999993</v>
      </c>
      <c r="P66" s="40">
        <f t="shared" si="16"/>
        <v>0.64063472308649649</v>
      </c>
    </row>
    <row r="67" spans="1:16" ht="15.95" customHeight="1">
      <c r="A67" s="12" t="s">
        <v>77</v>
      </c>
      <c r="B67" s="13">
        <v>0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5">
        <f t="shared" si="15"/>
        <v>0</v>
      </c>
      <c r="P67" s="40">
        <f t="shared" si="16"/>
        <v>0</v>
      </c>
    </row>
    <row r="68" spans="1:16" ht="15.95" customHeight="1">
      <c r="A68" s="12" t="s">
        <v>78</v>
      </c>
      <c r="B68" s="13">
        <v>64.28</v>
      </c>
      <c r="C68" s="13">
        <v>8.1199999999999992</v>
      </c>
      <c r="D68" s="13">
        <v>14.78</v>
      </c>
      <c r="E68" s="13">
        <v>8.58</v>
      </c>
      <c r="F68" s="13">
        <v>9.6999999999999993</v>
      </c>
      <c r="G68" s="13"/>
      <c r="H68" s="13"/>
      <c r="I68" s="13"/>
      <c r="J68" s="13"/>
      <c r="K68" s="13"/>
      <c r="L68" s="13"/>
      <c r="M68" s="13"/>
      <c r="N68" s="13"/>
      <c r="O68" s="15">
        <f t="shared" si="15"/>
        <v>41.179999999999993</v>
      </c>
      <c r="P68" s="40">
        <f t="shared" si="16"/>
        <v>0.64063472308649649</v>
      </c>
    </row>
    <row r="69" spans="1:16" ht="15.95" customHeight="1">
      <c r="A69" s="11" t="s">
        <v>80</v>
      </c>
      <c r="B69" s="11">
        <f>+B70+B76+B81</f>
        <v>1269.4100000000001</v>
      </c>
      <c r="C69" s="11">
        <f t="shared" ref="C69:N69" si="18">+C70+C76+C81</f>
        <v>111.10000000000001</v>
      </c>
      <c r="D69" s="11">
        <f t="shared" si="18"/>
        <v>88.17</v>
      </c>
      <c r="E69" s="11">
        <f t="shared" si="18"/>
        <v>72.17</v>
      </c>
      <c r="F69" s="11">
        <f t="shared" si="18"/>
        <v>79.03</v>
      </c>
      <c r="G69" s="11">
        <f t="shared" si="18"/>
        <v>0</v>
      </c>
      <c r="H69" s="11">
        <f t="shared" si="18"/>
        <v>0</v>
      </c>
      <c r="I69" s="11">
        <f t="shared" si="18"/>
        <v>0</v>
      </c>
      <c r="J69" s="11">
        <f t="shared" si="18"/>
        <v>0</v>
      </c>
      <c r="K69" s="11">
        <f t="shared" si="18"/>
        <v>0</v>
      </c>
      <c r="L69" s="11">
        <f t="shared" si="18"/>
        <v>0</v>
      </c>
      <c r="M69" s="11">
        <f t="shared" si="18"/>
        <v>0</v>
      </c>
      <c r="N69" s="11">
        <f t="shared" si="18"/>
        <v>0</v>
      </c>
      <c r="O69" s="11">
        <f>SUM(C69:N69)</f>
        <v>350.47</v>
      </c>
      <c r="P69" s="39">
        <f t="shared" ref="P69" si="19">IFERROR(O69/B69,)</f>
        <v>0.27608889168984019</v>
      </c>
    </row>
    <row r="70" spans="1:16" ht="15.95" customHeight="1">
      <c r="A70" s="37" t="s">
        <v>110</v>
      </c>
      <c r="B70" s="15">
        <f>SUM(B71:B75)</f>
        <v>692.81</v>
      </c>
      <c r="C70" s="15">
        <f t="shared" ref="C70:N70" si="20">SUM(C71:C75)</f>
        <v>58.13</v>
      </c>
      <c r="D70" s="15">
        <f t="shared" si="20"/>
        <v>47.13</v>
      </c>
      <c r="E70" s="15">
        <f t="shared" si="20"/>
        <v>38.54</v>
      </c>
      <c r="F70" s="15">
        <f t="shared" si="20"/>
        <v>38.19</v>
      </c>
      <c r="G70" s="15">
        <f t="shared" si="20"/>
        <v>0</v>
      </c>
      <c r="H70" s="15">
        <f t="shared" si="20"/>
        <v>0</v>
      </c>
      <c r="I70" s="15">
        <f t="shared" si="20"/>
        <v>0</v>
      </c>
      <c r="J70" s="15">
        <f t="shared" si="20"/>
        <v>0</v>
      </c>
      <c r="K70" s="15">
        <f t="shared" si="20"/>
        <v>0</v>
      </c>
      <c r="L70" s="15">
        <f t="shared" si="20"/>
        <v>0</v>
      </c>
      <c r="M70" s="15">
        <f t="shared" si="20"/>
        <v>0</v>
      </c>
      <c r="N70" s="15">
        <f t="shared" si="20"/>
        <v>0</v>
      </c>
      <c r="O70" s="15">
        <f t="shared" si="12"/>
        <v>181.99</v>
      </c>
      <c r="P70" s="40">
        <f>IFERROR(O70/B70,)</f>
        <v>0.26268385271575184</v>
      </c>
    </row>
    <row r="71" spans="1:16" ht="15.95" customHeight="1">
      <c r="A71" s="12" t="s">
        <v>111</v>
      </c>
      <c r="B71" s="13">
        <v>124.2</v>
      </c>
      <c r="C71" s="13">
        <v>6.66</v>
      </c>
      <c r="D71" s="13">
        <v>6.59</v>
      </c>
      <c r="E71" s="13">
        <v>7.1</v>
      </c>
      <c r="F71" s="13">
        <v>6.57</v>
      </c>
      <c r="G71" s="13"/>
      <c r="H71" s="13"/>
      <c r="I71" s="13"/>
      <c r="J71" s="13"/>
      <c r="K71" s="13"/>
      <c r="L71" s="13"/>
      <c r="M71" s="13"/>
      <c r="N71" s="13"/>
      <c r="O71" s="15">
        <f t="shared" ref="O71:O78" si="21">SUM(C71:N71)</f>
        <v>26.92</v>
      </c>
      <c r="P71" s="40">
        <f t="shared" ref="P71:P78" si="22">IFERROR(O71/B71,)</f>
        <v>0.21674718196457327</v>
      </c>
    </row>
    <row r="72" spans="1:16" ht="15.95" customHeight="1">
      <c r="A72" s="12" t="s">
        <v>112</v>
      </c>
      <c r="B72" s="13">
        <v>285.30999999999995</v>
      </c>
      <c r="C72" s="13">
        <v>37.56</v>
      </c>
      <c r="D72" s="13">
        <v>24.7</v>
      </c>
      <c r="E72" s="13">
        <v>15.63</v>
      </c>
      <c r="F72" s="13">
        <v>10.72</v>
      </c>
      <c r="G72" s="13"/>
      <c r="H72" s="13"/>
      <c r="I72" s="13"/>
      <c r="J72" s="13"/>
      <c r="K72" s="13"/>
      <c r="L72" s="13"/>
      <c r="M72" s="13"/>
      <c r="N72" s="13"/>
      <c r="O72" s="15">
        <f t="shared" si="21"/>
        <v>88.61</v>
      </c>
      <c r="P72" s="40">
        <f t="shared" si="22"/>
        <v>0.31057446286495399</v>
      </c>
    </row>
    <row r="73" spans="1:16" ht="15.95" customHeight="1">
      <c r="A73" s="12" t="s">
        <v>113</v>
      </c>
      <c r="B73" s="13">
        <v>91.22</v>
      </c>
      <c r="C73" s="13">
        <v>5.56</v>
      </c>
      <c r="D73" s="13">
        <v>4.8899999999999997</v>
      </c>
      <c r="E73" s="13">
        <v>5.41</v>
      </c>
      <c r="F73" s="13">
        <v>6.75</v>
      </c>
      <c r="G73" s="13"/>
      <c r="H73" s="13"/>
      <c r="I73" s="13"/>
      <c r="J73" s="13"/>
      <c r="K73" s="13"/>
      <c r="L73" s="13"/>
      <c r="M73" s="13"/>
      <c r="N73" s="13"/>
      <c r="O73" s="15">
        <f t="shared" si="21"/>
        <v>22.61</v>
      </c>
      <c r="P73" s="40">
        <f t="shared" si="22"/>
        <v>0.24786231089673316</v>
      </c>
    </row>
    <row r="74" spans="1:16" ht="15.95" customHeight="1">
      <c r="A74" s="12" t="s">
        <v>114</v>
      </c>
      <c r="B74" s="13">
        <v>124.82000000000001</v>
      </c>
      <c r="C74" s="13">
        <v>5.97</v>
      </c>
      <c r="D74" s="13">
        <v>8.32</v>
      </c>
      <c r="E74" s="13">
        <v>8.0399999999999991</v>
      </c>
      <c r="F74" s="13">
        <v>10.96</v>
      </c>
      <c r="G74" s="13"/>
      <c r="H74" s="13"/>
      <c r="I74" s="13"/>
      <c r="J74" s="13"/>
      <c r="K74" s="13"/>
      <c r="L74" s="13"/>
      <c r="M74" s="13"/>
      <c r="N74" s="13"/>
      <c r="O74" s="15">
        <f t="shared" si="21"/>
        <v>33.29</v>
      </c>
      <c r="P74" s="40">
        <f t="shared" si="22"/>
        <v>0.26670405383752599</v>
      </c>
    </row>
    <row r="75" spans="1:16" ht="15.95" customHeight="1">
      <c r="A75" s="12" t="s">
        <v>115</v>
      </c>
      <c r="B75" s="13">
        <v>67.260000000000005</v>
      </c>
      <c r="C75" s="13">
        <v>2.38</v>
      </c>
      <c r="D75" s="13">
        <v>2.63</v>
      </c>
      <c r="E75" s="13">
        <v>2.36</v>
      </c>
      <c r="F75" s="13">
        <v>3.19</v>
      </c>
      <c r="G75" s="13"/>
      <c r="H75" s="13"/>
      <c r="I75" s="13"/>
      <c r="J75" s="13"/>
      <c r="K75" s="13"/>
      <c r="L75" s="13"/>
      <c r="M75" s="13"/>
      <c r="N75" s="13"/>
      <c r="O75" s="15">
        <f t="shared" si="21"/>
        <v>10.559999999999999</v>
      </c>
      <c r="P75" s="40">
        <f t="shared" si="22"/>
        <v>0.15700267618198036</v>
      </c>
    </row>
    <row r="76" spans="1:16" ht="15.95" customHeight="1">
      <c r="A76" s="37" t="s">
        <v>116</v>
      </c>
      <c r="B76" s="15">
        <f>SUM(B77:B80)</f>
        <v>537.96</v>
      </c>
      <c r="C76" s="15">
        <f t="shared" ref="C76:N76" si="23">SUM(C77:C80)</f>
        <v>48.269999999999996</v>
      </c>
      <c r="D76" s="15">
        <f t="shared" si="23"/>
        <v>39.239999999999995</v>
      </c>
      <c r="E76" s="15">
        <f t="shared" si="23"/>
        <v>30.119999999999997</v>
      </c>
      <c r="F76" s="15">
        <f t="shared" si="23"/>
        <v>38.370000000000005</v>
      </c>
      <c r="G76" s="15">
        <f t="shared" si="23"/>
        <v>0</v>
      </c>
      <c r="H76" s="15">
        <f t="shared" si="23"/>
        <v>0</v>
      </c>
      <c r="I76" s="15">
        <f t="shared" si="23"/>
        <v>0</v>
      </c>
      <c r="J76" s="15">
        <f t="shared" si="23"/>
        <v>0</v>
      </c>
      <c r="K76" s="15">
        <f t="shared" si="23"/>
        <v>0</v>
      </c>
      <c r="L76" s="15">
        <f t="shared" si="23"/>
        <v>0</v>
      </c>
      <c r="M76" s="15">
        <f t="shared" si="23"/>
        <v>0</v>
      </c>
      <c r="N76" s="15">
        <f t="shared" si="23"/>
        <v>0</v>
      </c>
      <c r="O76" s="15">
        <f t="shared" si="21"/>
        <v>156</v>
      </c>
      <c r="P76" s="40">
        <f t="shared" si="22"/>
        <v>0.28998438545616773</v>
      </c>
    </row>
    <row r="77" spans="1:16" ht="15.95" customHeight="1">
      <c r="A77" s="12" t="s">
        <v>117</v>
      </c>
      <c r="B77" s="13">
        <v>338.98</v>
      </c>
      <c r="C77" s="13">
        <v>26.41</v>
      </c>
      <c r="D77" s="13">
        <v>24.07</v>
      </c>
      <c r="E77" s="13">
        <v>19.62</v>
      </c>
      <c r="F77" s="13">
        <v>28.3</v>
      </c>
      <c r="G77" s="13"/>
      <c r="H77" s="13"/>
      <c r="I77" s="13"/>
      <c r="J77" s="13"/>
      <c r="K77" s="13"/>
      <c r="L77" s="13"/>
      <c r="M77" s="13"/>
      <c r="N77" s="13"/>
      <c r="O77" s="15">
        <f t="shared" si="21"/>
        <v>98.4</v>
      </c>
      <c r="P77" s="40">
        <f t="shared" si="22"/>
        <v>0.2902826125435129</v>
      </c>
    </row>
    <row r="78" spans="1:16" ht="15.95" customHeight="1">
      <c r="A78" s="12" t="s">
        <v>118</v>
      </c>
      <c r="B78" s="13">
        <v>114.75</v>
      </c>
      <c r="C78" s="13">
        <v>15.11</v>
      </c>
      <c r="D78" s="13">
        <v>9.94</v>
      </c>
      <c r="E78" s="13">
        <v>6.29</v>
      </c>
      <c r="F78" s="13">
        <v>4.3099999999999996</v>
      </c>
      <c r="G78" s="13"/>
      <c r="H78" s="13"/>
      <c r="I78" s="13"/>
      <c r="J78" s="13"/>
      <c r="K78" s="13"/>
      <c r="L78" s="13"/>
      <c r="M78" s="13"/>
      <c r="N78" s="13"/>
      <c r="O78" s="15">
        <f t="shared" si="21"/>
        <v>35.65</v>
      </c>
      <c r="P78" s="40">
        <f t="shared" si="22"/>
        <v>0.31067538126361655</v>
      </c>
    </row>
    <row r="79" spans="1:16" ht="15.95" customHeight="1">
      <c r="A79" s="12" t="s">
        <v>119</v>
      </c>
      <c r="B79" s="13">
        <v>29.909999999999997</v>
      </c>
      <c r="C79" s="13">
        <v>1.78</v>
      </c>
      <c r="D79" s="13">
        <v>2.23</v>
      </c>
      <c r="E79" s="13">
        <v>1.54</v>
      </c>
      <c r="F79" s="13">
        <v>2.35</v>
      </c>
      <c r="G79" s="13"/>
      <c r="H79" s="13"/>
      <c r="I79" s="13"/>
      <c r="J79" s="13"/>
      <c r="K79" s="13"/>
      <c r="L79" s="13"/>
      <c r="M79" s="13"/>
      <c r="N79" s="13"/>
      <c r="O79" s="15">
        <f t="shared" si="12"/>
        <v>7.9</v>
      </c>
      <c r="P79" s="40">
        <f t="shared" ref="P79:P83" si="24">IFERROR(O79/B79,)</f>
        <v>0.26412571046472755</v>
      </c>
    </row>
    <row r="80" spans="1:16" ht="15.95" customHeight="1">
      <c r="A80" s="12" t="s">
        <v>120</v>
      </c>
      <c r="B80" s="13">
        <v>54.32</v>
      </c>
      <c r="C80" s="13">
        <v>4.97</v>
      </c>
      <c r="D80" s="13">
        <v>3</v>
      </c>
      <c r="E80" s="13">
        <v>2.67</v>
      </c>
      <c r="F80" s="13">
        <v>3.41</v>
      </c>
      <c r="G80" s="13"/>
      <c r="H80" s="13"/>
      <c r="I80" s="13"/>
      <c r="J80" s="13"/>
      <c r="K80" s="13"/>
      <c r="L80" s="13"/>
      <c r="M80" s="13"/>
      <c r="N80" s="13"/>
      <c r="O80" s="15">
        <f t="shared" si="12"/>
        <v>14.05</v>
      </c>
      <c r="P80" s="40">
        <f t="shared" si="24"/>
        <v>0.25865243004418265</v>
      </c>
    </row>
    <row r="81" spans="1:16" ht="15.95" customHeight="1">
      <c r="A81" s="37" t="s">
        <v>121</v>
      </c>
      <c r="B81" s="15">
        <f>SUM(B82:B83)</f>
        <v>38.64</v>
      </c>
      <c r="C81" s="15">
        <f t="shared" ref="C81:N81" si="25">SUM(C82:C83)</f>
        <v>4.7</v>
      </c>
      <c r="D81" s="15">
        <f t="shared" si="25"/>
        <v>1.8</v>
      </c>
      <c r="E81" s="15">
        <f t="shared" si="25"/>
        <v>3.51</v>
      </c>
      <c r="F81" s="15">
        <f t="shared" si="25"/>
        <v>2.4699999999999998</v>
      </c>
      <c r="G81" s="15">
        <f t="shared" si="25"/>
        <v>0</v>
      </c>
      <c r="H81" s="15">
        <f t="shared" si="25"/>
        <v>0</v>
      </c>
      <c r="I81" s="15">
        <f t="shared" si="25"/>
        <v>0</v>
      </c>
      <c r="J81" s="15">
        <f t="shared" si="25"/>
        <v>0</v>
      </c>
      <c r="K81" s="15">
        <f t="shared" si="25"/>
        <v>0</v>
      </c>
      <c r="L81" s="15">
        <f t="shared" si="25"/>
        <v>0</v>
      </c>
      <c r="M81" s="15">
        <f t="shared" si="25"/>
        <v>0</v>
      </c>
      <c r="N81" s="15">
        <f t="shared" si="25"/>
        <v>0</v>
      </c>
      <c r="O81" s="15">
        <f t="shared" si="12"/>
        <v>12.48</v>
      </c>
      <c r="P81" s="40">
        <f t="shared" si="24"/>
        <v>0.32298136645962733</v>
      </c>
    </row>
    <row r="82" spans="1:16" ht="15.95" customHeight="1">
      <c r="A82" s="12" t="s">
        <v>122</v>
      </c>
      <c r="B82" s="13">
        <v>30.240000000000002</v>
      </c>
      <c r="C82" s="13">
        <v>4</v>
      </c>
      <c r="D82" s="13">
        <v>1.1000000000000001</v>
      </c>
      <c r="E82" s="13">
        <v>2.81</v>
      </c>
      <c r="F82" s="13">
        <v>1.77</v>
      </c>
      <c r="G82" s="13"/>
      <c r="H82" s="13"/>
      <c r="I82" s="13"/>
      <c r="J82" s="13"/>
      <c r="K82" s="13"/>
      <c r="L82" s="13"/>
      <c r="M82" s="13"/>
      <c r="N82" s="13"/>
      <c r="O82" s="15">
        <f t="shared" si="12"/>
        <v>9.68</v>
      </c>
      <c r="P82" s="40">
        <f t="shared" si="24"/>
        <v>0.32010582010582006</v>
      </c>
    </row>
    <row r="83" spans="1:16" ht="15.95" customHeight="1">
      <c r="A83" s="12" t="s">
        <v>123</v>
      </c>
      <c r="B83" s="13">
        <v>8.4</v>
      </c>
      <c r="C83" s="13">
        <v>0.7</v>
      </c>
      <c r="D83" s="13">
        <v>0.7</v>
      </c>
      <c r="E83" s="13">
        <v>0.7</v>
      </c>
      <c r="F83" s="13">
        <v>0.7</v>
      </c>
      <c r="G83" s="13"/>
      <c r="H83" s="13"/>
      <c r="I83" s="13"/>
      <c r="J83" s="13"/>
      <c r="K83" s="13"/>
      <c r="L83" s="13"/>
      <c r="M83" s="13"/>
      <c r="N83" s="13"/>
      <c r="O83" s="15">
        <f t="shared" ref="O83" si="26">SUM(C83:N83)</f>
        <v>2.8</v>
      </c>
      <c r="P83" s="40">
        <f t="shared" si="24"/>
        <v>0.33333333333333331</v>
      </c>
    </row>
    <row r="85" spans="1:16" ht="15.95" customHeight="1">
      <c r="A85" s="4" t="s">
        <v>81</v>
      </c>
      <c r="B85" s="5"/>
    </row>
  </sheetData>
  <mergeCells count="6">
    <mergeCell ref="A1:P1"/>
    <mergeCell ref="C2:N2"/>
    <mergeCell ref="A2:A3"/>
    <mergeCell ref="B2:B3"/>
    <mergeCell ref="O2:O3"/>
    <mergeCell ref="P2:P3"/>
  </mergeCells>
  <phoneticPr fontId="27" type="noConversion"/>
  <dataValidations count="9">
    <dataValidation type="textLength" errorStyle="information" allowBlank="1" showInputMessage="1" showErrorMessage="1" error="XLBVal:6=5414.76_x000d__x000a_" sqref="C18">
      <formula1>0</formula1>
      <formula2>300</formula2>
    </dataValidation>
    <dataValidation type="textLength" errorStyle="information" allowBlank="1" showInputMessage="1" showErrorMessage="1" error="XLBVal:6=1638225.77_x000d__x000a_" sqref="C8">
      <formula1>0</formula1>
      <formula2>300</formula2>
    </dataValidation>
    <dataValidation type="textLength" errorStyle="information" allowBlank="1" showInputMessage="1" showErrorMessage="1" error="XLBVal:6=165.94_x000d__x000a_" sqref="C17">
      <formula1>0</formula1>
      <formula2>300</formula2>
    </dataValidation>
    <dataValidation type="textLength" errorStyle="information" allowBlank="1" showInputMessage="1" showErrorMessage="1" error="XLBVal:6=837064.91_x000d__x000a_" sqref="C7">
      <formula1>0</formula1>
      <formula2>300</formula2>
    </dataValidation>
    <dataValidation type="textLength" errorStyle="information" allowBlank="1" showInputMessage="1" showErrorMessage="1" error="XLBVal:6=4407087.3_x000d__x000a_" sqref="C10">
      <formula1>0</formula1>
      <formula2>300</formula2>
    </dataValidation>
    <dataValidation type="textLength" errorStyle="information" allowBlank="1" showInputMessage="1" showErrorMessage="1" error="XLBVal:2=0_x000d__x000a_" sqref="C14">
      <formula1>0</formula1>
      <formula2>300</formula2>
    </dataValidation>
    <dataValidation type="textLength" errorStyle="information" allowBlank="1" showInputMessage="1" showErrorMessage="1" error="XLBVal:6=199945.61_x000d__x000a_" sqref="C6">
      <formula1>0</formula1>
      <formula2>300</formula2>
    </dataValidation>
    <dataValidation type="textLength" errorStyle="information" allowBlank="1" showInputMessage="1" showErrorMessage="1" error="XLBVal:2=0_x000d__x000a_" sqref="C11">
      <formula1>0</formula1>
      <formula2>300</formula2>
    </dataValidation>
    <dataValidation type="textLength" errorStyle="information" allowBlank="1" showInputMessage="1" showErrorMessage="1" error="XLBVal:6=5836639.66_x000d__x000a_" sqref="C5">
      <formula1>0</formula1>
      <formula2>300</formula2>
    </dataValidation>
  </dataValidations>
  <pageMargins left="0.74803149606299202" right="0.74803149606299202" top="0.98425196850393704" bottom="0.98425196850393704" header="0.511811023622047" footer="0.511811023622047"/>
  <pageSetup paperSize="9" scale="91" fitToHeight="0" orientation="landscape" r:id="rId1"/>
  <ignoredErrors>
    <ignoredError sqref="O4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39"/>
  <sheetViews>
    <sheetView workbookViewId="0">
      <pane xSplit="2" ySplit="2" topLeftCell="C3" activePane="bottomRight" state="frozen"/>
      <selection pane="topRight"/>
      <selection pane="bottomLeft"/>
      <selection pane="bottomRight" activeCell="H60" sqref="H60"/>
    </sheetView>
  </sheetViews>
  <sheetFormatPr defaultColWidth="8.875" defaultRowHeight="15.95" customHeight="1"/>
  <cols>
    <col min="1" max="1" width="12.75" style="73" customWidth="1"/>
    <col min="2" max="2" width="21.125" style="73" customWidth="1"/>
    <col min="3" max="3" width="33.75" style="73" customWidth="1"/>
    <col min="4" max="4" width="6.875" style="82" customWidth="1"/>
    <col min="5" max="8" width="15.5" style="73" customWidth="1"/>
    <col min="9" max="9" width="8.875" style="73"/>
    <col min="10" max="10" width="15.75" style="74" customWidth="1"/>
    <col min="11" max="11" width="8.875" style="73"/>
    <col min="12" max="12" width="9.5" style="73" bestFit="1" customWidth="1"/>
    <col min="13" max="15" width="8.875" style="73"/>
    <col min="16" max="16" width="16.125" style="73" bestFit="1" customWidth="1"/>
    <col min="17" max="16384" width="8.875" style="73"/>
  </cols>
  <sheetData>
    <row r="1" spans="1:16" s="69" customFormat="1" ht="32.1" customHeight="1">
      <c r="A1" s="103" t="s">
        <v>133</v>
      </c>
      <c r="B1" s="103"/>
      <c r="C1" s="103"/>
      <c r="D1" s="103"/>
      <c r="E1" s="103"/>
      <c r="F1" s="103"/>
      <c r="G1" s="103"/>
      <c r="H1" s="103"/>
      <c r="I1" s="67"/>
      <c r="J1" s="68"/>
      <c r="K1" s="67"/>
      <c r="L1" s="67"/>
      <c r="M1" s="67"/>
      <c r="N1" s="67"/>
      <c r="O1" s="67"/>
      <c r="P1" s="67"/>
    </row>
    <row r="2" spans="1:16" ht="15.95" customHeight="1">
      <c r="A2" s="70" t="s">
        <v>82</v>
      </c>
      <c r="B2" s="70" t="s">
        <v>83</v>
      </c>
      <c r="C2" s="70" t="s">
        <v>84</v>
      </c>
      <c r="D2" s="71" t="s">
        <v>85</v>
      </c>
      <c r="E2" s="70" t="s">
        <v>86</v>
      </c>
      <c r="F2" s="70" t="s">
        <v>87</v>
      </c>
      <c r="G2" s="72" t="s">
        <v>134</v>
      </c>
      <c r="H2" s="72" t="s">
        <v>135</v>
      </c>
    </row>
    <row r="3" spans="1:16" s="77" customFormat="1" ht="15.95" customHeight="1">
      <c r="A3" s="104" t="s">
        <v>130</v>
      </c>
      <c r="B3" s="75" t="s">
        <v>124</v>
      </c>
      <c r="C3" s="2" t="s">
        <v>136</v>
      </c>
      <c r="D3" s="38">
        <v>300</v>
      </c>
      <c r="E3" s="3">
        <v>700.66666666666663</v>
      </c>
      <c r="F3" s="3">
        <f>D3*E3</f>
        <v>210200</v>
      </c>
      <c r="G3" s="3">
        <f>F3</f>
        <v>210200</v>
      </c>
      <c r="H3" s="3"/>
      <c r="I3" s="76"/>
      <c r="J3" s="66"/>
      <c r="L3" s="78"/>
      <c r="P3" s="66"/>
    </row>
    <row r="4" spans="1:16" s="77" customFormat="1" ht="15.95" customHeight="1">
      <c r="A4" s="104"/>
      <c r="B4" s="75" t="s">
        <v>137</v>
      </c>
      <c r="C4" s="2" t="s">
        <v>127</v>
      </c>
      <c r="D4" s="38">
        <v>40</v>
      </c>
      <c r="E4" s="3">
        <v>615</v>
      </c>
      <c r="F4" s="3">
        <f t="shared" ref="F4:F36" si="0">D4*E4</f>
        <v>24600</v>
      </c>
      <c r="G4" s="3">
        <f t="shared" ref="G4:G36" si="1">F4</f>
        <v>24600</v>
      </c>
      <c r="H4" s="3"/>
      <c r="I4" s="76"/>
      <c r="J4" s="66"/>
      <c r="L4" s="78"/>
      <c r="P4" s="66"/>
    </row>
    <row r="5" spans="1:16" s="77" customFormat="1" ht="15.95" customHeight="1">
      <c r="A5" s="104"/>
      <c r="B5" s="75" t="s">
        <v>124</v>
      </c>
      <c r="C5" s="2" t="s">
        <v>128</v>
      </c>
      <c r="D5" s="38">
        <v>40</v>
      </c>
      <c r="E5" s="3">
        <v>530</v>
      </c>
      <c r="F5" s="3">
        <f t="shared" si="0"/>
        <v>21200</v>
      </c>
      <c r="G5" s="3">
        <f t="shared" si="1"/>
        <v>21200</v>
      </c>
      <c r="H5" s="3"/>
      <c r="I5" s="76"/>
      <c r="J5" s="66"/>
      <c r="L5" s="78"/>
      <c r="P5" s="66"/>
    </row>
    <row r="6" spans="1:16" s="77" customFormat="1" ht="15.95" customHeight="1">
      <c r="A6" s="104"/>
      <c r="B6" s="75" t="s">
        <v>137</v>
      </c>
      <c r="C6" s="2" t="s">
        <v>138</v>
      </c>
      <c r="D6" s="38">
        <v>5</v>
      </c>
      <c r="E6" s="3">
        <v>1400</v>
      </c>
      <c r="F6" s="3">
        <f t="shared" si="0"/>
        <v>7000</v>
      </c>
      <c r="G6" s="3">
        <f t="shared" si="1"/>
        <v>7000</v>
      </c>
      <c r="H6" s="3"/>
      <c r="I6" s="76"/>
      <c r="J6" s="66"/>
      <c r="L6" s="78"/>
      <c r="P6" s="66"/>
    </row>
    <row r="7" spans="1:16" s="77" customFormat="1" ht="15.95" customHeight="1">
      <c r="A7" s="104"/>
      <c r="B7" s="75" t="s">
        <v>137</v>
      </c>
      <c r="C7" s="2" t="s">
        <v>139</v>
      </c>
      <c r="D7" s="38">
        <v>5</v>
      </c>
      <c r="E7" s="3">
        <v>2660</v>
      </c>
      <c r="F7" s="3">
        <f t="shared" si="0"/>
        <v>13300</v>
      </c>
      <c r="G7" s="3">
        <f t="shared" si="1"/>
        <v>13300</v>
      </c>
      <c r="H7" s="3"/>
      <c r="I7" s="76"/>
      <c r="J7" s="66"/>
      <c r="L7" s="78"/>
      <c r="P7" s="66"/>
    </row>
    <row r="8" spans="1:16" s="77" customFormat="1" ht="15.95" customHeight="1">
      <c r="A8" s="104"/>
      <c r="B8" s="75" t="s">
        <v>124</v>
      </c>
      <c r="C8" s="2" t="s">
        <v>140</v>
      </c>
      <c r="D8" s="38">
        <v>3</v>
      </c>
      <c r="E8" s="3">
        <v>4300</v>
      </c>
      <c r="F8" s="3">
        <f t="shared" si="0"/>
        <v>12900</v>
      </c>
      <c r="G8" s="3">
        <f t="shared" si="1"/>
        <v>12900</v>
      </c>
      <c r="H8" s="3"/>
      <c r="I8" s="76"/>
      <c r="J8" s="66"/>
      <c r="L8" s="78"/>
      <c r="P8" s="66"/>
    </row>
    <row r="9" spans="1:16" s="77" customFormat="1" ht="15.95" customHeight="1">
      <c r="A9" s="104"/>
      <c r="B9" s="75" t="s">
        <v>124</v>
      </c>
      <c r="C9" s="2" t="s">
        <v>141</v>
      </c>
      <c r="D9" s="38">
        <v>1</v>
      </c>
      <c r="E9" s="3">
        <v>4000</v>
      </c>
      <c r="F9" s="3">
        <f t="shared" si="0"/>
        <v>4000</v>
      </c>
      <c r="G9" s="3">
        <f t="shared" si="1"/>
        <v>4000</v>
      </c>
      <c r="H9" s="3"/>
      <c r="I9" s="76"/>
      <c r="J9" s="66"/>
      <c r="L9" s="78"/>
      <c r="P9" s="66"/>
    </row>
    <row r="10" spans="1:16" s="77" customFormat="1" ht="15.95" customHeight="1">
      <c r="A10" s="104"/>
      <c r="B10" s="75" t="s">
        <v>124</v>
      </c>
      <c r="C10" s="2" t="s">
        <v>142</v>
      </c>
      <c r="D10" s="38">
        <v>1</v>
      </c>
      <c r="E10" s="3">
        <v>3500</v>
      </c>
      <c r="F10" s="3">
        <f t="shared" si="0"/>
        <v>3500</v>
      </c>
      <c r="G10" s="3">
        <f t="shared" si="1"/>
        <v>3500</v>
      </c>
      <c r="H10" s="3"/>
      <c r="I10" s="76"/>
      <c r="J10" s="66"/>
      <c r="L10" s="78"/>
      <c r="P10" s="66"/>
    </row>
    <row r="11" spans="1:16" s="77" customFormat="1" ht="15.95" customHeight="1">
      <c r="A11" s="104"/>
      <c r="B11" s="75" t="s">
        <v>124</v>
      </c>
      <c r="C11" s="2" t="s">
        <v>143</v>
      </c>
      <c r="D11" s="38">
        <v>2</v>
      </c>
      <c r="E11" s="3">
        <v>3500</v>
      </c>
      <c r="F11" s="3">
        <f t="shared" si="0"/>
        <v>7000</v>
      </c>
      <c r="G11" s="3">
        <f t="shared" si="1"/>
        <v>7000</v>
      </c>
      <c r="H11" s="3"/>
      <c r="I11" s="76"/>
      <c r="J11" s="66"/>
      <c r="L11" s="78"/>
      <c r="P11" s="66"/>
    </row>
    <row r="12" spans="1:16" s="77" customFormat="1" ht="15.95" customHeight="1">
      <c r="A12" s="104"/>
      <c r="B12" s="75" t="s">
        <v>137</v>
      </c>
      <c r="C12" s="2" t="s">
        <v>144</v>
      </c>
      <c r="D12" s="38">
        <v>1</v>
      </c>
      <c r="E12" s="3">
        <v>10000</v>
      </c>
      <c r="F12" s="3">
        <f t="shared" si="0"/>
        <v>10000</v>
      </c>
      <c r="G12" s="3">
        <f t="shared" si="1"/>
        <v>10000</v>
      </c>
      <c r="H12" s="3"/>
      <c r="I12" s="76"/>
      <c r="J12" s="66"/>
      <c r="L12" s="78"/>
      <c r="P12" s="66"/>
    </row>
    <row r="13" spans="1:16" s="77" customFormat="1" ht="15.95" customHeight="1">
      <c r="A13" s="104"/>
      <c r="B13" s="75" t="s">
        <v>137</v>
      </c>
      <c r="C13" s="2" t="s">
        <v>145</v>
      </c>
      <c r="D13" s="38">
        <v>1</v>
      </c>
      <c r="E13" s="3">
        <v>20000</v>
      </c>
      <c r="F13" s="3">
        <f t="shared" si="0"/>
        <v>20000</v>
      </c>
      <c r="G13" s="3">
        <f>F13</f>
        <v>20000</v>
      </c>
      <c r="H13" s="3"/>
      <c r="I13" s="76"/>
      <c r="J13" s="66"/>
      <c r="L13" s="78"/>
      <c r="P13" s="66"/>
    </row>
    <row r="14" spans="1:16" s="77" customFormat="1" ht="15.95" customHeight="1">
      <c r="A14" s="104"/>
      <c r="B14" s="75" t="s">
        <v>124</v>
      </c>
      <c r="C14" s="2" t="s">
        <v>146</v>
      </c>
      <c r="D14" s="38">
        <v>4</v>
      </c>
      <c r="E14" s="3">
        <v>4300</v>
      </c>
      <c r="F14" s="3">
        <f t="shared" si="0"/>
        <v>17200</v>
      </c>
      <c r="G14" s="3">
        <f>F14</f>
        <v>17200</v>
      </c>
      <c r="H14" s="3"/>
      <c r="I14" s="76"/>
      <c r="J14" s="66"/>
      <c r="L14" s="78"/>
      <c r="P14" s="66"/>
    </row>
    <row r="15" spans="1:16" s="77" customFormat="1" ht="15.95" customHeight="1">
      <c r="A15" s="104"/>
      <c r="B15" s="75" t="s">
        <v>124</v>
      </c>
      <c r="C15" s="2" t="s">
        <v>147</v>
      </c>
      <c r="D15" s="38">
        <v>2</v>
      </c>
      <c r="E15" s="3">
        <v>3500</v>
      </c>
      <c r="F15" s="3">
        <f t="shared" si="0"/>
        <v>7000</v>
      </c>
      <c r="G15" s="3">
        <f>F15</f>
        <v>7000</v>
      </c>
      <c r="H15" s="3"/>
      <c r="I15" s="76"/>
      <c r="J15" s="66"/>
      <c r="L15" s="78"/>
      <c r="P15" s="66"/>
    </row>
    <row r="16" spans="1:16" s="77" customFormat="1" ht="15.95" customHeight="1">
      <c r="A16" s="104"/>
      <c r="B16" s="75" t="s">
        <v>124</v>
      </c>
      <c r="C16" s="2" t="s">
        <v>125</v>
      </c>
      <c r="D16" s="38">
        <v>5</v>
      </c>
      <c r="E16" s="3">
        <v>3900</v>
      </c>
      <c r="F16" s="3">
        <f t="shared" si="0"/>
        <v>19500</v>
      </c>
      <c r="G16" s="3">
        <f t="shared" si="1"/>
        <v>19500</v>
      </c>
      <c r="H16" s="3"/>
      <c r="I16" s="76"/>
      <c r="J16" s="66"/>
      <c r="L16" s="78"/>
      <c r="P16" s="66"/>
    </row>
    <row r="17" spans="1:16" s="77" customFormat="1" ht="15.95" customHeight="1">
      <c r="A17" s="104"/>
      <c r="B17" s="75" t="s">
        <v>137</v>
      </c>
      <c r="C17" s="2" t="s">
        <v>148</v>
      </c>
      <c r="D17" s="38">
        <v>1</v>
      </c>
      <c r="E17" s="3">
        <v>2800.0000000000005</v>
      </c>
      <c r="F17" s="3">
        <f t="shared" si="0"/>
        <v>2800.0000000000005</v>
      </c>
      <c r="G17" s="3">
        <f t="shared" si="1"/>
        <v>2800.0000000000005</v>
      </c>
      <c r="H17" s="3"/>
      <c r="I17" s="76"/>
      <c r="J17" s="66"/>
      <c r="L17" s="78"/>
      <c r="P17" s="66"/>
    </row>
    <row r="18" spans="1:16" s="77" customFormat="1" ht="15.95" customHeight="1">
      <c r="A18" s="104"/>
      <c r="B18" s="75" t="s">
        <v>137</v>
      </c>
      <c r="C18" s="2" t="s">
        <v>149</v>
      </c>
      <c r="D18" s="38">
        <v>1</v>
      </c>
      <c r="E18" s="3">
        <v>15000</v>
      </c>
      <c r="F18" s="3">
        <f t="shared" si="0"/>
        <v>15000</v>
      </c>
      <c r="G18" s="3">
        <f t="shared" si="1"/>
        <v>15000</v>
      </c>
      <c r="H18" s="3"/>
      <c r="I18" s="76"/>
      <c r="J18" s="66"/>
      <c r="L18" s="78"/>
      <c r="P18" s="66"/>
    </row>
    <row r="19" spans="1:16" s="77" customFormat="1" ht="15.95" customHeight="1">
      <c r="A19" s="104"/>
      <c r="B19" s="75" t="s">
        <v>137</v>
      </c>
      <c r="C19" s="2" t="s">
        <v>150</v>
      </c>
      <c r="D19" s="38">
        <v>1</v>
      </c>
      <c r="E19" s="3">
        <v>6500</v>
      </c>
      <c r="F19" s="3">
        <f t="shared" si="0"/>
        <v>6500</v>
      </c>
      <c r="G19" s="3">
        <f t="shared" si="1"/>
        <v>6500</v>
      </c>
      <c r="H19" s="3"/>
      <c r="I19" s="76"/>
      <c r="J19" s="66"/>
      <c r="L19" s="78"/>
      <c r="P19" s="66"/>
    </row>
    <row r="20" spans="1:16" s="77" customFormat="1" ht="15.95" customHeight="1">
      <c r="A20" s="104"/>
      <c r="B20" s="75" t="s">
        <v>124</v>
      </c>
      <c r="C20" s="2" t="s">
        <v>151</v>
      </c>
      <c r="D20" s="38">
        <v>9</v>
      </c>
      <c r="E20" s="3">
        <v>8000</v>
      </c>
      <c r="F20" s="3">
        <f t="shared" si="0"/>
        <v>72000</v>
      </c>
      <c r="G20" s="3">
        <f t="shared" si="1"/>
        <v>72000</v>
      </c>
      <c r="H20" s="3"/>
      <c r="I20" s="76"/>
      <c r="J20" s="66"/>
      <c r="L20" s="78"/>
      <c r="P20" s="66"/>
    </row>
    <row r="21" spans="1:16" s="77" customFormat="1" ht="15.95" customHeight="1">
      <c r="A21" s="104"/>
      <c r="B21" s="75" t="s">
        <v>124</v>
      </c>
      <c r="C21" s="2" t="s">
        <v>152</v>
      </c>
      <c r="D21" s="38">
        <v>1</v>
      </c>
      <c r="E21" s="3">
        <v>4300</v>
      </c>
      <c r="F21" s="3">
        <f t="shared" si="0"/>
        <v>4300</v>
      </c>
      <c r="G21" s="3">
        <f t="shared" si="1"/>
        <v>4300</v>
      </c>
      <c r="H21" s="3"/>
      <c r="I21" s="76"/>
      <c r="J21" s="66"/>
      <c r="L21" s="78"/>
      <c r="P21" s="66"/>
    </row>
    <row r="22" spans="1:16" s="77" customFormat="1" ht="15.95" customHeight="1">
      <c r="A22" s="104"/>
      <c r="B22" s="75" t="s">
        <v>124</v>
      </c>
      <c r="C22" s="2" t="s">
        <v>152</v>
      </c>
      <c r="D22" s="38">
        <v>1</v>
      </c>
      <c r="E22" s="3">
        <v>4300</v>
      </c>
      <c r="F22" s="3">
        <f t="shared" si="0"/>
        <v>4300</v>
      </c>
      <c r="G22" s="3">
        <f t="shared" si="1"/>
        <v>4300</v>
      </c>
      <c r="H22" s="3"/>
      <c r="I22" s="76"/>
      <c r="J22" s="66"/>
      <c r="L22" s="78"/>
      <c r="P22" s="66"/>
    </row>
    <row r="23" spans="1:16" s="77" customFormat="1" ht="15.95" customHeight="1">
      <c r="A23" s="104"/>
      <c r="B23" s="75" t="s">
        <v>137</v>
      </c>
      <c r="C23" s="2" t="s">
        <v>153</v>
      </c>
      <c r="D23" s="38">
        <v>1</v>
      </c>
      <c r="E23" s="3">
        <v>2300</v>
      </c>
      <c r="F23" s="3">
        <f t="shared" si="0"/>
        <v>2300</v>
      </c>
      <c r="G23" s="3">
        <f t="shared" si="1"/>
        <v>2300</v>
      </c>
      <c r="H23" s="3"/>
      <c r="I23" s="76"/>
      <c r="J23" s="66"/>
      <c r="L23" s="78"/>
      <c r="P23" s="66"/>
    </row>
    <row r="24" spans="1:16" s="77" customFormat="1" ht="15.95" customHeight="1">
      <c r="A24" s="104"/>
      <c r="B24" s="75" t="s">
        <v>137</v>
      </c>
      <c r="C24" s="2" t="s">
        <v>154</v>
      </c>
      <c r="D24" s="38">
        <v>2</v>
      </c>
      <c r="E24" s="3">
        <v>9000</v>
      </c>
      <c r="F24" s="3">
        <f t="shared" si="0"/>
        <v>18000</v>
      </c>
      <c r="G24" s="3">
        <f t="shared" si="1"/>
        <v>18000</v>
      </c>
      <c r="H24" s="3"/>
      <c r="I24" s="76"/>
      <c r="J24" s="66"/>
      <c r="L24" s="78"/>
      <c r="P24" s="66"/>
    </row>
    <row r="25" spans="1:16" s="77" customFormat="1" ht="15.95" customHeight="1">
      <c r="A25" s="104"/>
      <c r="B25" s="75" t="s">
        <v>137</v>
      </c>
      <c r="C25" s="2" t="s">
        <v>155</v>
      </c>
      <c r="D25" s="38">
        <v>1</v>
      </c>
      <c r="E25" s="3">
        <v>40000</v>
      </c>
      <c r="F25" s="3">
        <f t="shared" si="0"/>
        <v>40000</v>
      </c>
      <c r="G25" s="3">
        <f t="shared" si="1"/>
        <v>40000</v>
      </c>
      <c r="H25" s="3"/>
      <c r="I25" s="76"/>
      <c r="J25" s="66"/>
      <c r="L25" s="78"/>
      <c r="P25" s="66"/>
    </row>
    <row r="26" spans="1:16" s="77" customFormat="1" ht="15.95" customHeight="1">
      <c r="A26" s="104"/>
      <c r="B26" s="75" t="s">
        <v>137</v>
      </c>
      <c r="C26" s="2" t="s">
        <v>156</v>
      </c>
      <c r="D26" s="38">
        <v>1</v>
      </c>
      <c r="E26" s="3">
        <v>5000</v>
      </c>
      <c r="F26" s="3">
        <f t="shared" si="0"/>
        <v>5000</v>
      </c>
      <c r="G26" s="3">
        <f t="shared" si="1"/>
        <v>5000</v>
      </c>
      <c r="H26" s="3"/>
      <c r="I26" s="76"/>
      <c r="J26" s="66"/>
      <c r="L26" s="78"/>
      <c r="P26" s="66"/>
    </row>
    <row r="27" spans="1:16" s="77" customFormat="1" ht="15.95" customHeight="1">
      <c r="A27" s="104"/>
      <c r="B27" s="75" t="s">
        <v>137</v>
      </c>
      <c r="C27" s="2" t="s">
        <v>157</v>
      </c>
      <c r="D27" s="38">
        <v>1</v>
      </c>
      <c r="E27" s="3">
        <v>8000</v>
      </c>
      <c r="F27" s="3">
        <f t="shared" si="0"/>
        <v>8000</v>
      </c>
      <c r="G27" s="3">
        <f t="shared" si="1"/>
        <v>8000</v>
      </c>
      <c r="H27" s="3"/>
      <c r="I27" s="76"/>
      <c r="J27" s="66"/>
      <c r="L27" s="78"/>
      <c r="P27" s="66"/>
    </row>
    <row r="28" spans="1:16" s="77" customFormat="1" ht="15.95" customHeight="1">
      <c r="A28" s="104"/>
      <c r="B28" s="75" t="s">
        <v>129</v>
      </c>
      <c r="C28" s="2" t="s">
        <v>158</v>
      </c>
      <c r="D28" s="38">
        <v>1</v>
      </c>
      <c r="E28" s="3">
        <v>6000</v>
      </c>
      <c r="F28" s="3">
        <f>D28*E28</f>
        <v>6000</v>
      </c>
      <c r="G28" s="3">
        <f t="shared" si="1"/>
        <v>6000</v>
      </c>
      <c r="H28" s="3"/>
      <c r="I28" s="76"/>
      <c r="J28" s="66"/>
      <c r="L28" s="78"/>
      <c r="P28" s="66"/>
    </row>
    <row r="29" spans="1:16" s="77" customFormat="1" ht="15.95" customHeight="1">
      <c r="A29" s="105" t="s">
        <v>159</v>
      </c>
      <c r="B29" s="75" t="s">
        <v>126</v>
      </c>
      <c r="C29" s="2" t="s">
        <v>160</v>
      </c>
      <c r="D29" s="38" t="s">
        <v>161</v>
      </c>
      <c r="E29" s="3">
        <v>4599.9999999999991</v>
      </c>
      <c r="F29" s="3">
        <f t="shared" si="0"/>
        <v>202399.99999999997</v>
      </c>
      <c r="G29" s="3">
        <f t="shared" si="1"/>
        <v>202399.99999999997</v>
      </c>
      <c r="H29" s="3"/>
      <c r="I29" s="76"/>
      <c r="J29" s="66"/>
      <c r="L29" s="78"/>
      <c r="P29" s="66"/>
    </row>
    <row r="30" spans="1:16" s="77" customFormat="1" ht="15.95" customHeight="1">
      <c r="A30" s="106"/>
      <c r="B30" s="75" t="s">
        <v>126</v>
      </c>
      <c r="C30" s="2" t="s">
        <v>162</v>
      </c>
      <c r="D30" s="38" t="s">
        <v>163</v>
      </c>
      <c r="E30" s="3">
        <v>32000</v>
      </c>
      <c r="F30" s="3">
        <f t="shared" si="0"/>
        <v>32000</v>
      </c>
      <c r="G30" s="3">
        <f t="shared" si="1"/>
        <v>32000</v>
      </c>
      <c r="H30" s="100"/>
      <c r="I30" s="99"/>
      <c r="J30" s="66"/>
      <c r="L30" s="78"/>
      <c r="P30" s="66"/>
    </row>
    <row r="31" spans="1:16" s="77" customFormat="1" ht="15.95" customHeight="1">
      <c r="A31" s="106"/>
      <c r="B31" s="75" t="s">
        <v>126</v>
      </c>
      <c r="C31" s="2" t="s">
        <v>164</v>
      </c>
      <c r="D31" s="38" t="s">
        <v>165</v>
      </c>
      <c r="E31" s="3">
        <v>9068.3229813664602</v>
      </c>
      <c r="F31" s="3">
        <f t="shared" si="0"/>
        <v>1460000</v>
      </c>
      <c r="G31" s="3">
        <f>F31</f>
        <v>1460000</v>
      </c>
      <c r="H31" s="101"/>
      <c r="I31" s="99"/>
      <c r="J31" s="66"/>
      <c r="L31" s="78"/>
      <c r="P31" s="66"/>
    </row>
    <row r="32" spans="1:16" s="77" customFormat="1" ht="15.95" customHeight="1">
      <c r="A32" s="106"/>
      <c r="B32" s="75" t="s">
        <v>126</v>
      </c>
      <c r="C32" s="2" t="s">
        <v>166</v>
      </c>
      <c r="D32" s="38" t="s">
        <v>163</v>
      </c>
      <c r="E32" s="3">
        <v>100000</v>
      </c>
      <c r="F32" s="3">
        <f t="shared" si="0"/>
        <v>100000</v>
      </c>
      <c r="G32" s="3">
        <f t="shared" si="1"/>
        <v>100000</v>
      </c>
      <c r="H32" s="100"/>
      <c r="I32" s="99"/>
      <c r="J32" s="66"/>
      <c r="L32" s="78"/>
      <c r="P32" s="66"/>
    </row>
    <row r="33" spans="1:16" s="77" customFormat="1" ht="15.95" customHeight="1">
      <c r="A33" s="106"/>
      <c r="B33" s="75" t="s">
        <v>126</v>
      </c>
      <c r="C33" s="2" t="s">
        <v>167</v>
      </c>
      <c r="D33" s="38" t="s">
        <v>168</v>
      </c>
      <c r="E33" s="3">
        <v>8000</v>
      </c>
      <c r="F33" s="3">
        <f t="shared" si="0"/>
        <v>24000</v>
      </c>
      <c r="G33" s="3">
        <f>F33</f>
        <v>24000</v>
      </c>
      <c r="H33" s="101"/>
      <c r="I33" s="99"/>
      <c r="J33" s="66"/>
      <c r="L33" s="78"/>
      <c r="P33" s="66"/>
    </row>
    <row r="34" spans="1:16" s="77" customFormat="1" ht="15.95" customHeight="1">
      <c r="A34" s="106"/>
      <c r="B34" s="75" t="s">
        <v>126</v>
      </c>
      <c r="C34" s="2" t="s">
        <v>169</v>
      </c>
      <c r="D34" s="38" t="s">
        <v>163</v>
      </c>
      <c r="E34" s="3">
        <v>90000</v>
      </c>
      <c r="F34" s="3">
        <f t="shared" si="0"/>
        <v>90000</v>
      </c>
      <c r="G34" s="3">
        <f t="shared" si="1"/>
        <v>90000</v>
      </c>
      <c r="H34" s="3"/>
      <c r="I34" s="76"/>
      <c r="J34" s="66"/>
      <c r="L34" s="78"/>
      <c r="P34" s="66"/>
    </row>
    <row r="35" spans="1:16" s="77" customFormat="1" ht="15.95" customHeight="1">
      <c r="A35" s="106"/>
      <c r="B35" s="75" t="s">
        <v>126</v>
      </c>
      <c r="C35" s="2" t="s">
        <v>170</v>
      </c>
      <c r="D35" s="38" t="s">
        <v>163</v>
      </c>
      <c r="E35" s="3">
        <v>450000</v>
      </c>
      <c r="F35" s="3">
        <f t="shared" si="0"/>
        <v>450000</v>
      </c>
      <c r="G35" s="3">
        <f t="shared" si="1"/>
        <v>450000</v>
      </c>
      <c r="H35" s="3"/>
      <c r="I35" s="76"/>
      <c r="J35" s="66"/>
      <c r="L35" s="78"/>
      <c r="P35" s="66"/>
    </row>
    <row r="36" spans="1:16" s="77" customFormat="1" ht="15.95" customHeight="1">
      <c r="A36" s="106"/>
      <c r="B36" s="75" t="s">
        <v>126</v>
      </c>
      <c r="C36" s="2" t="s">
        <v>171</v>
      </c>
      <c r="D36" s="38" t="s">
        <v>172</v>
      </c>
      <c r="E36" s="3">
        <v>1000</v>
      </c>
      <c r="F36" s="3">
        <f t="shared" si="0"/>
        <v>25000</v>
      </c>
      <c r="G36" s="3">
        <f t="shared" si="1"/>
        <v>25000</v>
      </c>
      <c r="H36" s="3"/>
      <c r="I36" s="76"/>
      <c r="J36" s="66"/>
      <c r="L36" s="78"/>
      <c r="P36" s="66"/>
    </row>
    <row r="37" spans="1:16" ht="15.95" customHeight="1">
      <c r="A37" s="102" t="s">
        <v>88</v>
      </c>
      <c r="B37" s="102"/>
      <c r="C37" s="102"/>
      <c r="D37" s="102"/>
      <c r="E37" s="102"/>
      <c r="F37" s="102"/>
      <c r="G37" s="79">
        <f>SUM(G3:G36)</f>
        <v>2945000</v>
      </c>
      <c r="H37" s="79">
        <f>SUM(H3:H36)</f>
        <v>0</v>
      </c>
    </row>
    <row r="39" spans="1:16" ht="15.95" customHeight="1">
      <c r="A39" s="80" t="s">
        <v>81</v>
      </c>
      <c r="B39" s="81"/>
    </row>
  </sheetData>
  <mergeCells count="8">
    <mergeCell ref="I30:I31"/>
    <mergeCell ref="H32:H33"/>
    <mergeCell ref="I32:I33"/>
    <mergeCell ref="A37:F37"/>
    <mergeCell ref="A1:H1"/>
    <mergeCell ref="A3:A28"/>
    <mergeCell ref="A29:A36"/>
    <mergeCell ref="H30:H31"/>
  </mergeCells>
  <phoneticPr fontId="27" type="noConversion"/>
  <pageMargins left="0.75" right="0.75" top="1" bottom="1" header="0.5" footer="0.5"/>
  <pageSetup paperSize="9" orientation="portrait" r:id="rId1"/>
  <ignoredErrors>
    <ignoredError sqref="D29:D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指标统计</vt:lpstr>
      <vt:lpstr>预算执行汇总</vt:lpstr>
      <vt:lpstr>费用预算执行明细</vt:lpstr>
      <vt:lpstr>资本性支出计划与执行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HP</cp:lastModifiedBy>
  <cp:lastPrinted>2024-11-06T04:14:00Z</cp:lastPrinted>
  <dcterms:created xsi:type="dcterms:W3CDTF">2023-12-28T04:28:00Z</dcterms:created>
  <dcterms:modified xsi:type="dcterms:W3CDTF">2026-05-07T08:10:15Z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740C751E201A4DAA95E09953EE06D517_13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