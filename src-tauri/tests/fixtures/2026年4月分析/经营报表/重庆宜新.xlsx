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指标统计" sheetId="5" r:id="rId1"/>
    <sheet name="预算执行汇总" sheetId="3" r:id="rId2"/>
    <sheet name="费用预算执行明细" sheetId="2" r:id="rId3"/>
    <sheet name="资本性支出计划与执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不含车位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<sst xmlns="http://schemas.openxmlformats.org/spreadsheetml/2006/main" count="201" uniqueCount="121">
  <si>
    <t>重庆宜新商业管理有限公司2026年经营指标统计表</t>
  </si>
  <si>
    <t>指标</t>
  </si>
  <si>
    <t>项目</t>
  </si>
  <si>
    <t>2026年预算</t>
  </si>
  <si>
    <t>2026年执行情况</t>
  </si>
  <si>
    <t>2026年实际</t>
  </si>
  <si>
    <t>执行率</t>
  </si>
  <si>
    <t>指标说明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</si>
  <si>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</si>
  <si>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</si>
  <si>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</si>
  <si>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</si>
  <si>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</si>
  <si>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</si>
  <si>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</si>
  <si>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</si>
  <si>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</si>
  <si>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</si>
  <si>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</si>
  <si>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</si>
  <si>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经营指标</t>
  </si>
  <si>
    <t>营业收入</t>
  </si>
  <si>
    <t>EBITDA/GOP/扣非净利润</t>
  </si>
  <si>
    <t>EBITDA（商写适用）/GOP（酒店适用）/扣非净利润（保险中介适用）</t>
  </si>
  <si>
    <t>经营活动净现金流</t>
  </si>
  <si>
    <t>财务指标</t>
  </si>
  <si>
    <t>经营支出小计</t>
  </si>
  <si>
    <t>固定费用</t>
  </si>
  <si>
    <t>人力费用</t>
  </si>
  <si>
    <t>日常费用</t>
  </si>
  <si>
    <t>变动费用</t>
  </si>
  <si>
    <t>经营变动费用</t>
  </si>
  <si>
    <t>营业成本</t>
  </si>
  <si>
    <t>资本性支出</t>
  </si>
  <si>
    <t>业务指标</t>
  </si>
  <si>
    <t>期末出租率/月均入住率</t>
  </si>
  <si>
    <t>期末出租率(商写适用)/月均入住率(酒店适用)</t>
  </si>
  <si>
    <t>回款率</t>
  </si>
  <si>
    <t>商写及酒店适用</t>
  </si>
  <si>
    <t>OTA网络评价</t>
  </si>
  <si>
    <t>酒店适用</t>
  </si>
  <si>
    <t>期交规保</t>
  </si>
  <si>
    <t>保险中介适用</t>
  </si>
  <si>
    <t>13月继续率</t>
  </si>
  <si>
    <t>25月继续率</t>
  </si>
  <si>
    <t>备注</t>
  </si>
  <si>
    <t>EBITDA=营业收入-固定费用-变动费用-税金及附加+利息收入</t>
  </si>
  <si>
    <t>GOP=营业收入-固定费用-变动费用-财务费用（不含利息费用）</t>
  </si>
  <si>
    <t>需填列单元格</t>
  </si>
  <si>
    <t>重庆宜新商业管理有限公司2026年预算执行情况汇总表</t>
  </si>
  <si>
    <t xml:space="preserve"> 固定费用</t>
  </si>
  <si>
    <t xml:space="preserve">  人力费用</t>
  </si>
  <si>
    <t xml:space="preserve">  日常费用</t>
  </si>
  <si>
    <t xml:space="preserve">  经营变动费用支出</t>
  </si>
  <si>
    <t xml:space="preserve">  营业成本支出</t>
  </si>
  <si>
    <t>折旧摊销</t>
  </si>
  <si>
    <t>财务费用</t>
  </si>
  <si>
    <t>利息收入</t>
  </si>
  <si>
    <t>税金及附加</t>
  </si>
  <si>
    <t>变动费用率</t>
  </si>
  <si>
    <t>EBITDA</t>
  </si>
  <si>
    <t>GOP</t>
  </si>
  <si>
    <t>重庆宜新商业管理有限公司2026年预算执行情况明细表</t>
  </si>
  <si>
    <t>2026年预算执行情况</t>
  </si>
  <si>
    <t>人力费用合计</t>
  </si>
  <si>
    <t>固定工资</t>
  </si>
  <si>
    <t>绩效工资</t>
  </si>
  <si>
    <t>奖金</t>
  </si>
  <si>
    <t>福利费</t>
  </si>
  <si>
    <t>五险一金</t>
  </si>
  <si>
    <t>其他人力费用</t>
  </si>
  <si>
    <t>固定费用支出合计</t>
  </si>
  <si>
    <t>邮寄费</t>
  </si>
  <si>
    <t>差旅费</t>
  </si>
  <si>
    <t>业务招待费</t>
  </si>
  <si>
    <t>汽车费</t>
  </si>
  <si>
    <t>低值易耗品及修理费</t>
  </si>
  <si>
    <t>信息系统费</t>
  </si>
  <si>
    <t>通讯费</t>
  </si>
  <si>
    <t>交通费</t>
  </si>
  <si>
    <t>办公费</t>
  </si>
  <si>
    <t>会议费</t>
  </si>
  <si>
    <t>水电费</t>
  </si>
  <si>
    <t>招聘费</t>
  </si>
  <si>
    <t>展览费</t>
  </si>
  <si>
    <t>广告宣传费</t>
  </si>
  <si>
    <t>咨询服务费</t>
  </si>
  <si>
    <t>法律诉讼费</t>
  </si>
  <si>
    <t>工作餐费</t>
  </si>
  <si>
    <t>报关及代理费</t>
  </si>
  <si>
    <t>研究开发费</t>
  </si>
  <si>
    <t>质检认证费</t>
  </si>
  <si>
    <t>排污费</t>
  </si>
  <si>
    <t>社保服务费</t>
  </si>
  <si>
    <t>劳动保护费</t>
  </si>
  <si>
    <t>残疾人就业保障金</t>
  </si>
  <si>
    <t>财产保险费</t>
  </si>
  <si>
    <t>房租及物业费</t>
  </si>
  <si>
    <t>开办费</t>
  </si>
  <si>
    <t>存货盘存</t>
  </si>
  <si>
    <t>销售代理费</t>
  </si>
  <si>
    <t>销售佣金</t>
  </si>
  <si>
    <t>其他</t>
  </si>
  <si>
    <t>变动费用支出合计</t>
  </si>
  <si>
    <t>营业成本支出合计</t>
  </si>
  <si>
    <t>空置房物业费</t>
  </si>
  <si>
    <t>客房成本</t>
  </si>
  <si>
    <t>餐饮成本</t>
  </si>
  <si>
    <t>会务成本</t>
  </si>
  <si>
    <t>中厨房外包人力成本</t>
  </si>
  <si>
    <t>需填列</t>
  </si>
  <si>
    <t>重庆宜新商业管理有限公司2026年资本性支出执行情况明细表</t>
  </si>
  <si>
    <t>资产类别</t>
  </si>
  <si>
    <t>资产类型</t>
  </si>
  <si>
    <t>资产名称</t>
  </si>
  <si>
    <t>数量</t>
  </si>
  <si>
    <t>单价</t>
  </si>
  <si>
    <t>金额</t>
  </si>
  <si>
    <t>固定资产</t>
  </si>
  <si>
    <t>家具用具</t>
  </si>
  <si>
    <t>资本性支出合计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</si>
</sst>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* #,##0.00_-;\-[$€-2]* #,##0.00_-;_-[$€-2]* &quot;-&quot;??_-"/>
    <numFmt numFmtId="177" formatCode="_(* #,##0.00_);_(* \(#,##0.00\);_(* &quot;-&quot;??_);_(@_)"/>
    <numFmt numFmtId="178" formatCode="yyyy&quot;年&quot;m&quot;月&quot;;@"/>
    <numFmt numFmtId="179" formatCode="_ * #,##0.00%_ ;[Red]_ * \-#,##0.00%_ ;_ * &quot;-&quot;??_ ;_ @_ "/>
    <numFmt numFmtId="180" formatCode="_ * #,##0.0%_ ;[Red]_ * \-#,##0.0%_ ;_ * &quot;-&quot;??_ ;_ @_ "/>
    <numFmt numFmtId="181" formatCode="_ * #,##0.00_ ;[Red]_ * \-#,##0.00_ ;_ * &quot;-&quot;??_ ;_ @_ "/>
  </numFmts>
  <fonts count="56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0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12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0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name val="微软雅黑"/>
      <charset val="134"/>
    </font>
    <font>
      <b/>
      <sz val="10"/>
      <color theme="0"/>
      <name val="微软雅黑"/>
      <charset val="134"/>
    </font>
    <font>
      <b/>
      <sz val="10"/>
      <color rgb="FF000000"/>
      <name val="等距更纱黑体 Slab SC"/>
      <charset val="134"/>
    </font>
    <font>
      <b/>
      <sz val="8"/>
      <color theme="1"/>
      <name val="微软雅黑"/>
      <charset val="134"/>
    </font>
    <font>
      <sz val="8"/>
      <color theme="1"/>
      <name val="微软雅黑"/>
      <charset val="134"/>
    </font>
    <font>
      <sz val="10"/>
      <color rgb="FF000000"/>
      <name val="等距更纱黑体 Slab SC"/>
      <charset val="134"/>
    </font>
    <font>
      <sz val="8"/>
      <name val="微软雅黑"/>
      <charset val="134"/>
    </font>
    <font>
      <b/>
      <sz val="10"/>
      <color rgb="FF000000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等距更纱黑体 Slab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name val="Arial"/>
      <charset val="134"/>
    </font>
    <font>
      <sz val="12"/>
      <name val="宋体"/>
      <charset val="134"/>
    </font>
    <font>
      <sz val="11"/>
      <name val="宋体"/>
      <charset val="1"/>
    </font>
    <font>
      <sz val="12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75432599871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1" borderId="12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2" borderId="15" applyNumberFormat="0" applyAlignment="0" applyProtection="0">
      <alignment vertical="center"/>
    </xf>
    <xf numFmtId="0" fontId="39" fillId="13" borderId="16" applyNumberFormat="0" applyAlignment="0" applyProtection="0">
      <alignment vertical="center"/>
    </xf>
    <xf numFmtId="0" fontId="40" fillId="13" borderId="15" applyNumberFormat="0" applyAlignment="0" applyProtection="0">
      <alignment vertical="center"/>
    </xf>
    <xf numFmtId="0" fontId="41" fillId="14" borderId="17" applyNumberFormat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176" fontId="49" fillId="0" borderId="0">
      <alignment vertical="center"/>
    </xf>
    <xf numFmtId="0" fontId="50" fillId="0" borderId="0"/>
    <xf numFmtId="176" fontId="49" fillId="0" borderId="0">
      <alignment vertical="center"/>
    </xf>
    <xf numFmtId="176" fontId="5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7" fontId="49" fillId="0" borderId="0" applyFont="0" applyBorder="0" applyAlignment="0" applyProtection="0">
      <alignment vertical="center"/>
    </xf>
    <xf numFmtId="0" fontId="52" fillId="0" borderId="0">
      <alignment vertical="top"/>
      <protection locked="0"/>
    </xf>
    <xf numFmtId="0" fontId="53" fillId="0" borderId="0"/>
    <xf numFmtId="43" fontId="0" fillId="0" borderId="0" applyFont="0" applyFill="0" applyBorder="0" applyAlignment="0" applyProtection="0">
      <alignment vertical="center"/>
    </xf>
    <xf numFmtId="43" fontId="50" fillId="0" borderId="0" applyFont="0" applyFill="0" applyBorder="0" applyAlignment="0" applyProtection="0"/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53" applyNumberFormat="1" applyFont="1" applyFill="1" applyBorder="1" applyAlignment="1">
      <alignment horizontal="center" vertical="center" wrapText="1"/>
    </xf>
    <xf numFmtId="0" fontId="4" fillId="2" borderId="1" xfId="53" applyNumberFormat="1" applyFont="1" applyFill="1" applyBorder="1" applyAlignment="1">
      <alignment horizontal="center" vertical="center"/>
    </xf>
    <xf numFmtId="0" fontId="5" fillId="0" borderId="1" xfId="53" applyNumberFormat="1" applyFont="1" applyFill="1" applyBorder="1" applyAlignment="1">
      <alignment horizontal="center" vertical="center" wrapText="1"/>
    </xf>
    <xf numFmtId="43" fontId="5" fillId="3" borderId="1" xfId="53" applyFont="1" applyFill="1" applyBorder="1" applyAlignment="1">
      <alignment horizontal="left" vertical="center"/>
    </xf>
    <xf numFmtId="43" fontId="5" fillId="3" borderId="1" xfId="53" applyFont="1" applyFill="1" applyBorder="1" applyAlignment="1">
      <alignment horizontal="center" vertical="center"/>
    </xf>
    <xf numFmtId="0" fontId="6" fillId="4" borderId="1" xfId="53" applyNumberFormat="1" applyFont="1" applyFill="1" applyBorder="1" applyAlignment="1">
      <alignment horizontal="center"/>
    </xf>
    <xf numFmtId="0" fontId="6" fillId="5" borderId="1" xfId="53" applyNumberFormat="1" applyFont="1" applyFill="1" applyBorder="1" applyAlignment="1"/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0" fontId="10" fillId="0" borderId="0" xfId="3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178" fontId="4" fillId="2" borderId="3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43" fontId="6" fillId="6" borderId="1" xfId="0" applyNumberFormat="1" applyFont="1" applyFill="1" applyBorder="1">
      <alignment vertical="center"/>
    </xf>
    <xf numFmtId="9" fontId="6" fillId="6" borderId="1" xfId="3" applyFont="1" applyFill="1" applyBorder="1">
      <alignment vertical="center"/>
    </xf>
    <xf numFmtId="43" fontId="11" fillId="7" borderId="1" xfId="0" applyNumberFormat="1" applyFont="1" applyFill="1" applyBorder="1">
      <alignment vertical="center"/>
    </xf>
    <xf numFmtId="43" fontId="11" fillId="3" borderId="1" xfId="0" applyNumberFormat="1" applyFont="1" applyFill="1" applyBorder="1">
      <alignment vertical="center"/>
    </xf>
    <xf numFmtId="43" fontId="11" fillId="5" borderId="1" xfId="0" applyNumberFormat="1" applyFont="1" applyFill="1" applyBorder="1">
      <alignment vertical="center"/>
    </xf>
    <xf numFmtId="9" fontId="11" fillId="5" borderId="1" xfId="3" applyFont="1" applyFill="1" applyBorder="1">
      <alignment vertical="center"/>
    </xf>
    <xf numFmtId="43" fontId="12" fillId="3" borderId="1" xfId="0" applyNumberFormat="1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0" fontId="0" fillId="0" borderId="0" xfId="3" applyNumberFormat="1" applyFont="1">
      <alignment vertical="center"/>
    </xf>
    <xf numFmtId="43" fontId="6" fillId="3" borderId="1" xfId="0" applyNumberFormat="1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43" fontId="5" fillId="6" borderId="1" xfId="0" applyNumberFormat="1" applyFont="1" applyFill="1" applyBorder="1">
      <alignment vertical="center"/>
    </xf>
    <xf numFmtId="43" fontId="5" fillId="3" borderId="1" xfId="0" applyNumberFormat="1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6" fillId="6" borderId="1" xfId="3" applyNumberFormat="1" applyFont="1" applyFill="1" applyBorder="1">
      <alignment vertical="center"/>
    </xf>
    <xf numFmtId="0" fontId="11" fillId="0" borderId="1" xfId="0" applyFont="1" applyBorder="1">
      <alignment vertical="center"/>
    </xf>
    <xf numFmtId="0" fontId="6" fillId="0" borderId="1" xfId="3" applyNumberFormat="1" applyFont="1" applyBorder="1">
      <alignment vertical="center"/>
    </xf>
    <xf numFmtId="0" fontId="6" fillId="6" borderId="4" xfId="0" applyFont="1" applyFill="1" applyBorder="1">
      <alignment vertical="center"/>
    </xf>
    <xf numFmtId="43" fontId="6" fillId="6" borderId="5" xfId="0" applyNumberFormat="1" applyFont="1" applyFill="1" applyBorder="1">
      <alignment vertical="center"/>
    </xf>
    <xf numFmtId="43" fontId="6" fillId="6" borderId="6" xfId="0" applyNumberFormat="1" applyFont="1" applyFill="1" applyBorder="1">
      <alignment vertical="center"/>
    </xf>
    <xf numFmtId="43" fontId="6" fillId="6" borderId="7" xfId="0" applyNumberFormat="1" applyFont="1" applyFill="1" applyBorder="1">
      <alignment vertical="center"/>
    </xf>
    <xf numFmtId="43" fontId="6" fillId="6" borderId="8" xfId="0" applyNumberFormat="1" applyFont="1" applyFill="1" applyBorder="1">
      <alignment vertical="center"/>
    </xf>
    <xf numFmtId="10" fontId="7" fillId="0" borderId="0" xfId="3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10" fontId="21" fillId="2" borderId="1" xfId="3" applyNumberFormat="1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 wrapText="1"/>
    </xf>
    <xf numFmtId="179" fontId="6" fillId="6" borderId="1" xfId="3" applyNumberFormat="1" applyFont="1" applyFill="1" applyBorder="1">
      <alignment vertical="center"/>
    </xf>
    <xf numFmtId="0" fontId="23" fillId="0" borderId="1" xfId="0" applyFont="1" applyBorder="1" applyAlignment="1">
      <alignment vertical="center" wrapText="1"/>
    </xf>
    <xf numFmtId="0" fontId="6" fillId="8" borderId="10" xfId="0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 wrapText="1" shrinkToFit="1"/>
    </xf>
    <xf numFmtId="0" fontId="6" fillId="8" borderId="11" xfId="0" applyFont="1" applyFill="1" applyBorder="1" applyAlignment="1">
      <alignment horizontal="center" vertical="center"/>
    </xf>
    <xf numFmtId="43" fontId="6" fillId="9" borderId="1" xfId="0" applyNumberFormat="1" applyFont="1" applyFill="1" applyBorder="1">
      <alignment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 wrapText="1" indent="1"/>
    </xf>
    <xf numFmtId="0" fontId="25" fillId="8" borderId="1" xfId="0" applyFont="1" applyFill="1" applyBorder="1" applyAlignment="1">
      <alignment horizontal="left" vertical="center" wrapText="1" indent="2"/>
    </xf>
    <xf numFmtId="43" fontId="11" fillId="8" borderId="1" xfId="0" applyNumberFormat="1" applyFont="1" applyFill="1" applyBorder="1">
      <alignment vertical="center"/>
    </xf>
    <xf numFmtId="0" fontId="24" fillId="0" borderId="1" xfId="0" applyFont="1" applyBorder="1" applyAlignment="1">
      <alignment vertical="center" wrapText="1"/>
    </xf>
    <xf numFmtId="43" fontId="6" fillId="8" borderId="1" xfId="0" applyNumberFormat="1" applyFont="1" applyFill="1" applyBorder="1">
      <alignment vertical="center"/>
    </xf>
    <xf numFmtId="0" fontId="6" fillId="6" borderId="11" xfId="0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27" fillId="8" borderId="1" xfId="0" applyFont="1" applyFill="1" applyBorder="1" applyAlignment="1">
      <alignment horizontal="center" vertical="center" wrapText="1"/>
    </xf>
    <xf numFmtId="179" fontId="28" fillId="10" borderId="1" xfId="0" applyNumberFormat="1" applyFont="1" applyFill="1" applyBorder="1">
      <alignment vertical="center"/>
    </xf>
    <xf numFmtId="180" fontId="28" fillId="9" borderId="1" xfId="0" applyNumberFormat="1" applyFont="1" applyFill="1" applyBorder="1">
      <alignment vertical="center"/>
    </xf>
    <xf numFmtId="179" fontId="28" fillId="9" borderId="1" xfId="0" applyNumberFormat="1" applyFont="1" applyFill="1" applyBorder="1">
      <alignment vertical="center"/>
    </xf>
    <xf numFmtId="181" fontId="28" fillId="10" borderId="1" xfId="0" applyNumberFormat="1" applyFont="1" applyFill="1" applyBorder="1">
      <alignment vertical="center"/>
    </xf>
    <xf numFmtId="181" fontId="28" fillId="9" borderId="1" xfId="0" applyNumberFormat="1" applyFont="1" applyFill="1" applyBorder="1">
      <alignment vertical="center"/>
    </xf>
    <xf numFmtId="181" fontId="6" fillId="6" borderId="1" xfId="3" applyNumberFormat="1" applyFont="1" applyFill="1" applyBorder="1">
      <alignment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" xfId="49"/>
    <cellStyle name="常规 2" xfId="50"/>
    <cellStyle name="常规 2 2 2 5" xfId="51"/>
    <cellStyle name="常规 7 3" xfId="52"/>
    <cellStyle name="千位分隔 17" xfId="53"/>
    <cellStyle name="千位分隔 2 2 6" xfId="54"/>
    <cellStyle name="Normal" xfId="55"/>
    <cellStyle name="常规_2007年长沙公司预算（核定稿20070319） (2)" xfId="56"/>
    <cellStyle name="千位分隔 3" xfId="57"/>
    <cellStyle name="千位分隔 2 3" xfId="58"/>
  </cellStyles>
  <tableStyles count="0" defaultTableStyle="TableStyleMedium2" defaultPivotStyle="PivotStyleLight16"/>
  <colors>
    <mruColors>
      <color rgb="00FCE4D6"/>
      <color rgb="00BDD7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I18" sqref="I18"/>
    </sheetView>
  </sheetViews>
  <sheetFormatPr defaultColWidth="10.125" defaultRowHeight="16" customHeight="1"/>
  <cols>
    <col min="1" max="1" width="10.125" style="12" customWidth="1"/>
    <col min="2" max="2" width="20.75" style="12" customWidth="1"/>
    <col min="3" max="16" width="10.125" style="12" customWidth="1"/>
    <col min="17" max="17" width="10.125" style="52" customWidth="1"/>
    <col min="18" max="18" width="16.125" style="12" customWidth="1"/>
    <col min="19" max="16384" width="10.125" style="12" customWidth="1"/>
  </cols>
  <sheetData>
    <row r="1" s="55" customFormat="1" ht="36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56" customFormat="1" ht="25" customHeight="1" spans="1:18">
      <c r="A2" s="18" t="s">
        <v>1</v>
      </c>
      <c r="B2" s="18" t="s">
        <v>2</v>
      </c>
      <c r="C2" s="18" t="s">
        <v>3</v>
      </c>
      <c r="D2" s="19" t="s">
        <v>4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8" t="s">
        <v>5</v>
      </c>
      <c r="Q2" s="21" t="s">
        <v>6</v>
      </c>
      <c r="R2" s="60" t="s">
        <v>7</v>
      </c>
    </row>
    <row r="3" s="56" customFormat="1" ht="25" customHeight="1" spans="1:18">
      <c r="A3" s="18"/>
      <c r="B3" s="18"/>
      <c r="C3" s="18"/>
      <c r="D3" s="20" t="s">
        <v>8</v>
      </c>
      <c r="E3" s="20" t="s">
        <v>9</v>
      </c>
      <c r="F3" s="20" t="s">
        <v>10</v>
      </c>
      <c r="G3" s="20" t="s">
        <v>11</v>
      </c>
      <c r="H3" s="20" t="s">
        <v>12</v>
      </c>
      <c r="I3" s="20" t="s">
        <v>13</v>
      </c>
      <c r="J3" s="20" t="s">
        <v>14</v>
      </c>
      <c r="K3" s="20" t="s">
        <v>15</v>
      </c>
      <c r="L3" s="20" t="s">
        <v>16</v>
      </c>
      <c r="M3" s="20" t="s">
        <v>17</v>
      </c>
      <c r="N3" s="20" t="s">
        <v>18</v>
      </c>
      <c r="O3" s="20" t="s">
        <v>19</v>
      </c>
      <c r="P3" s="18"/>
      <c r="Q3" s="21"/>
      <c r="R3" s="60"/>
    </row>
    <row r="4" s="57" customFormat="1" ht="25" customHeight="1" spans="1:18">
      <c r="A4" s="61" t="s">
        <v>20</v>
      </c>
      <c r="B4" s="62" t="s">
        <v>21</v>
      </c>
      <c r="C4" s="25">
        <f>预算执行汇总!B4</f>
        <v>709.51635684571</v>
      </c>
      <c r="D4" s="25" cm="1">
        <f t="array" ref="D4:O4">预算执行汇总!C4:N4</f>
        <v>51.121052</v>
      </c>
      <c r="E4" s="25">
        <v>28.623522</v>
      </c>
      <c r="F4" s="25">
        <v>50.833071</v>
      </c>
      <c r="G4" s="25">
        <v>31.674646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f>SUM(D4:O4)</f>
        <v>162.252291</v>
      </c>
      <c r="Q4" s="63">
        <f>IFERROR((P4-C4)/ABS(C4)+1,)</f>
        <v>0.228680127574963</v>
      </c>
      <c r="R4" s="64"/>
    </row>
    <row r="5" s="57" customFormat="1" ht="25" customHeight="1" spans="1:18">
      <c r="A5" s="65"/>
      <c r="B5" s="62" t="s">
        <v>22</v>
      </c>
      <c r="C5" s="38">
        <f>预算执行汇总!B19</f>
        <v>190.720375834931</v>
      </c>
      <c r="D5" s="38">
        <f>预算执行汇总!C19</f>
        <v>45.562446</v>
      </c>
      <c r="E5" s="38">
        <f>预算执行汇总!D19</f>
        <v>23.283589</v>
      </c>
      <c r="F5" s="38">
        <f>预算执行汇总!E19</f>
        <v>3.393221</v>
      </c>
      <c r="G5" s="38">
        <f>预算执行汇总!F19</f>
        <v>-116.289511</v>
      </c>
      <c r="H5" s="38"/>
      <c r="I5" s="38"/>
      <c r="J5" s="38"/>
      <c r="K5" s="38"/>
      <c r="L5" s="38"/>
      <c r="M5" s="38"/>
      <c r="N5" s="38"/>
      <c r="O5" s="38"/>
      <c r="P5" s="25">
        <f t="shared" ref="P5:P14" si="0">SUM(D5:O5)</f>
        <v>-44.050255</v>
      </c>
      <c r="Q5" s="63">
        <f t="shared" ref="Q5:Q14" si="1">IFERROR(P5/C5,)</f>
        <v>-0.230967744307119</v>
      </c>
      <c r="R5" s="66" t="s">
        <v>23</v>
      </c>
    </row>
    <row r="6" s="57" customFormat="1" ht="25" customHeight="1" spans="1:18">
      <c r="A6" s="67"/>
      <c r="B6" s="62" t="s">
        <v>24</v>
      </c>
      <c r="C6" s="38">
        <v>259.62622280893</v>
      </c>
      <c r="D6" s="38">
        <v>27.423488</v>
      </c>
      <c r="E6" s="68">
        <v>11.955679</v>
      </c>
      <c r="F6" s="38">
        <v>66.988168</v>
      </c>
      <c r="G6" s="38">
        <v>-115.157617</v>
      </c>
      <c r="H6" s="38"/>
      <c r="I6" s="38"/>
      <c r="J6" s="38"/>
      <c r="K6" s="38"/>
      <c r="L6" s="38"/>
      <c r="M6" s="38"/>
      <c r="N6" s="38"/>
      <c r="O6" s="38"/>
      <c r="P6" s="25">
        <f t="shared" si="0"/>
        <v>-8.79028199999999</v>
      </c>
      <c r="Q6" s="63">
        <f t="shared" si="1"/>
        <v>-0.0338574505490885</v>
      </c>
      <c r="R6" s="64"/>
    </row>
    <row r="7" s="57" customFormat="1" ht="25" customHeight="1" spans="1:18">
      <c r="A7" s="69" t="s">
        <v>25</v>
      </c>
      <c r="B7" s="62" t="s">
        <v>26</v>
      </c>
      <c r="C7" s="25" cm="1">
        <f t="array" ref="C7:C14">预算执行汇总!B5:B12</f>
        <v>268.663688</v>
      </c>
      <c r="D7" s="25" cm="1">
        <f t="array" ref="D7:O14">预算执行汇总!C5:N12</f>
        <v>5.135138</v>
      </c>
      <c r="E7" s="25">
        <v>5.14162</v>
      </c>
      <c r="F7" s="25">
        <v>47.184892</v>
      </c>
      <c r="G7" s="25">
        <v>5.15811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f t="shared" si="0"/>
        <v>62.61976</v>
      </c>
      <c r="Q7" s="63">
        <f t="shared" si="1"/>
        <v>0.233078613883987</v>
      </c>
      <c r="R7" s="64"/>
    </row>
    <row r="8" s="57" customFormat="1" ht="25" customHeight="1" spans="1:18">
      <c r="A8" s="70"/>
      <c r="B8" s="71" t="s">
        <v>27</v>
      </c>
      <c r="C8" s="25">
        <v>89.223688</v>
      </c>
      <c r="D8" s="25">
        <v>5.135138</v>
      </c>
      <c r="E8" s="25">
        <v>5.133978</v>
      </c>
      <c r="F8" s="25">
        <v>5.119921</v>
      </c>
      <c r="G8" s="25">
        <v>5.15811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f t="shared" si="0"/>
        <v>20.547147</v>
      </c>
      <c r="Q8" s="63">
        <f t="shared" si="1"/>
        <v>0.23028802620219</v>
      </c>
      <c r="R8" s="64"/>
    </row>
    <row r="9" s="58" customFormat="1" ht="25" customHeight="1" spans="1:18">
      <c r="A9" s="70"/>
      <c r="B9" s="72" t="s">
        <v>28</v>
      </c>
      <c r="C9" s="73">
        <v>56.812</v>
      </c>
      <c r="D9" s="73">
        <v>4.15351</v>
      </c>
      <c r="E9" s="73">
        <v>4.15751</v>
      </c>
      <c r="F9" s="73">
        <v>4.16351</v>
      </c>
      <c r="G9" s="73">
        <v>4.18151</v>
      </c>
      <c r="H9" s="73">
        <v>0</v>
      </c>
      <c r="I9" s="73">
        <v>0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25">
        <f t="shared" si="0"/>
        <v>16.65604</v>
      </c>
      <c r="Q9" s="63">
        <f t="shared" si="1"/>
        <v>0.293178201788355</v>
      </c>
      <c r="R9" s="74"/>
    </row>
    <row r="10" s="58" customFormat="1" ht="25" customHeight="1" spans="1:18">
      <c r="A10" s="70"/>
      <c r="B10" s="72" t="s">
        <v>29</v>
      </c>
      <c r="C10" s="73">
        <v>32.411688</v>
      </c>
      <c r="D10" s="73">
        <v>0.981628</v>
      </c>
      <c r="E10" s="73">
        <v>0.976468</v>
      </c>
      <c r="F10" s="73">
        <v>0.956411</v>
      </c>
      <c r="G10" s="73">
        <v>0.9766</v>
      </c>
      <c r="H10" s="73">
        <v>0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25">
        <f t="shared" si="0"/>
        <v>3.891107</v>
      </c>
      <c r="Q10" s="63">
        <f t="shared" si="1"/>
        <v>0.120052587202493</v>
      </c>
      <c r="R10" s="74"/>
    </row>
    <row r="11" s="57" customFormat="1" ht="25" customHeight="1" spans="1:18">
      <c r="A11" s="70"/>
      <c r="B11" s="71" t="s">
        <v>30</v>
      </c>
      <c r="C11" s="25">
        <v>179.44</v>
      </c>
      <c r="D11" s="25">
        <v>0</v>
      </c>
      <c r="E11" s="25">
        <v>0.007642</v>
      </c>
      <c r="F11" s="25">
        <v>42.064971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f t="shared" si="0"/>
        <v>42.072613</v>
      </c>
      <c r="Q11" s="63">
        <f t="shared" si="1"/>
        <v>0.234466189255461</v>
      </c>
      <c r="R11" s="74"/>
    </row>
    <row r="12" s="58" customFormat="1" ht="25" customHeight="1" spans="1:18">
      <c r="A12" s="70"/>
      <c r="B12" s="72" t="s">
        <v>31</v>
      </c>
      <c r="C12" s="73">
        <v>179.44</v>
      </c>
      <c r="D12" s="73">
        <v>0</v>
      </c>
      <c r="E12" s="73">
        <v>0.007642</v>
      </c>
      <c r="F12" s="73">
        <v>42.064971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5">
        <f t="shared" si="0"/>
        <v>42.072613</v>
      </c>
      <c r="Q12" s="63">
        <f t="shared" si="1"/>
        <v>0.234466189255461</v>
      </c>
      <c r="R12" s="74"/>
    </row>
    <row r="13" s="58" customFormat="1" ht="25" customHeight="1" spans="1:18">
      <c r="A13" s="70"/>
      <c r="B13" s="72" t="s">
        <v>32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5">
        <f t="shared" si="0"/>
        <v>0</v>
      </c>
      <c r="Q13" s="63">
        <f t="shared" si="1"/>
        <v>0</v>
      </c>
      <c r="R13" s="74"/>
    </row>
    <row r="14" s="59" customFormat="1" ht="25" customHeight="1" spans="1:18">
      <c r="A14" s="76"/>
      <c r="B14" s="62" t="s">
        <v>33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f t="shared" si="0"/>
        <v>0</v>
      </c>
      <c r="Q14" s="63">
        <f t="shared" si="1"/>
        <v>0</v>
      </c>
      <c r="R14" s="77"/>
    </row>
    <row r="15" s="59" customFormat="1" ht="25" customHeight="1" spans="1:18">
      <c r="A15" s="78" t="s">
        <v>34</v>
      </c>
      <c r="B15" s="62" t="s">
        <v>35</v>
      </c>
      <c r="C15" s="79">
        <v>0.5805</v>
      </c>
      <c r="D15" s="80">
        <v>0.4458</v>
      </c>
      <c r="E15" s="80">
        <v>0.4458</v>
      </c>
      <c r="F15" s="81">
        <v>0.431</v>
      </c>
      <c r="G15" s="81">
        <v>0.43</v>
      </c>
      <c r="H15" s="81"/>
      <c r="I15" s="80"/>
      <c r="J15" s="80"/>
      <c r="K15" s="81"/>
      <c r="L15" s="81"/>
      <c r="M15" s="81"/>
      <c r="N15" s="81"/>
      <c r="O15" s="81"/>
      <c r="P15" s="63">
        <f>IFERROR(AVERAGE(D15:O15),)</f>
        <v>0.43815</v>
      </c>
      <c r="Q15" s="63">
        <f>D15/C15</f>
        <v>0.767958656330749</v>
      </c>
      <c r="R15" s="74" t="s">
        <v>36</v>
      </c>
    </row>
    <row r="16" s="59" customFormat="1" ht="25" customHeight="1" spans="1:18">
      <c r="A16" s="78"/>
      <c r="B16" s="62" t="s">
        <v>37</v>
      </c>
      <c r="C16" s="79">
        <v>0.95</v>
      </c>
      <c r="D16" s="80">
        <v>0.55</v>
      </c>
      <c r="E16" s="81">
        <v>0.99</v>
      </c>
      <c r="F16" s="81">
        <v>7.94</v>
      </c>
      <c r="G16" s="81">
        <v>0.32</v>
      </c>
      <c r="H16" s="81"/>
      <c r="I16" s="81"/>
      <c r="J16" s="81"/>
      <c r="K16" s="81"/>
      <c r="L16" s="81"/>
      <c r="M16" s="81"/>
      <c r="N16" s="81"/>
      <c r="O16" s="81"/>
      <c r="P16" s="63">
        <f>IFERROR(AVERAGE(D16:O16),)</f>
        <v>2.45</v>
      </c>
      <c r="Q16" s="63">
        <f t="shared" ref="Q15:Q20" si="2">IFERROR(P16/C16,)</f>
        <v>2.57894736842105</v>
      </c>
      <c r="R16" s="74" t="s">
        <v>38</v>
      </c>
    </row>
    <row r="17" s="59" customFormat="1" ht="25" customHeight="1" spans="1:18">
      <c r="A17" s="78"/>
      <c r="B17" s="62" t="s">
        <v>39</v>
      </c>
      <c r="C17" s="82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4" cm="1">
        <f t="array" ref="P17">IFERROR(INDEX(D17:O17,0,MATCH(9.99999999999999E+307,D17:O17)),)</f>
        <v>0</v>
      </c>
      <c r="Q17" s="63">
        <f t="shared" si="2"/>
        <v>0</v>
      </c>
      <c r="R17" s="74" t="s">
        <v>40</v>
      </c>
    </row>
    <row r="18" s="59" customFormat="1" ht="25" customHeight="1" spans="1:18">
      <c r="A18" s="78"/>
      <c r="B18" s="62" t="s">
        <v>41</v>
      </c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4" cm="1">
        <f t="array" ref="P18">IFERROR(INDEX(D18:O18,0,MATCH(9.99999999999999E+307,D18:O18)),)</f>
        <v>0</v>
      </c>
      <c r="Q18" s="63">
        <f t="shared" si="2"/>
        <v>0</v>
      </c>
      <c r="R18" s="74" t="s">
        <v>42</v>
      </c>
    </row>
    <row r="19" s="59" customFormat="1" ht="25" customHeight="1" spans="1:18">
      <c r="A19" s="78"/>
      <c r="B19" s="62" t="s">
        <v>43</v>
      </c>
      <c r="C19" s="79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4" cm="1">
        <f t="array" ref="P19">IFERROR(INDEX(D19:O19,0,MATCH(9.99999999999999E+307,D19:O19)),)</f>
        <v>0</v>
      </c>
      <c r="Q19" s="63">
        <f t="shared" si="2"/>
        <v>0</v>
      </c>
      <c r="R19" s="74" t="s">
        <v>42</v>
      </c>
    </row>
    <row r="20" ht="25" customHeight="1" spans="1:18">
      <c r="A20" s="78"/>
      <c r="B20" s="62" t="s">
        <v>44</v>
      </c>
      <c r="C20" s="79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4" cm="1">
        <f t="array" ref="P20">IFERROR(INDEX(D20:O20,0,MATCH(9.99999999999999E+307,D20:O20)),)</f>
        <v>0</v>
      </c>
      <c r="Q20" s="63">
        <f t="shared" si="2"/>
        <v>0</v>
      </c>
      <c r="R20" s="74" t="s">
        <v>42</v>
      </c>
    </row>
    <row r="21" customHeight="1" spans="1:18">
      <c r="A21" s="53" t="s">
        <v>45</v>
      </c>
      <c r="B21" s="54" t="s">
        <v>46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Q21" s="12"/>
    </row>
    <row r="22" customHeight="1" spans="1:18">
      <c r="A22" s="53"/>
      <c r="B22" s="54" t="s">
        <v>47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Q22" s="12"/>
    </row>
    <row r="23" customHeight="1" spans="1:18">
      <c r="A23" s="53"/>
      <c r="B23" s="54" t="s">
        <v>48</v>
      </c>
      <c r="C23" s="13"/>
    </row>
  </sheetData>
  <mergeCells count="14">
    <mergeCell ref="A1:Q1"/>
    <mergeCell ref="D2:O2"/>
    <mergeCell ref="B21:O21"/>
    <mergeCell ref="B22:O22"/>
    <mergeCell ref="A2:A3"/>
    <mergeCell ref="A4:A6"/>
    <mergeCell ref="A7:A14"/>
    <mergeCell ref="A15:A20"/>
    <mergeCell ref="A21:A23"/>
    <mergeCell ref="B2:B3"/>
    <mergeCell ref="C2:C3"/>
    <mergeCell ref="P2:P3"/>
    <mergeCell ref="Q2:Q3"/>
    <mergeCell ref="R2:R3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G26" sqref="G26"/>
    </sheetView>
  </sheetViews>
  <sheetFormatPr defaultColWidth="8.90833333333333" defaultRowHeight="16" customHeight="1"/>
  <cols>
    <col min="1" max="1" width="17.725" customWidth="1"/>
    <col min="2" max="2" width="13.6333333333333" customWidth="1"/>
    <col min="3" max="3" width="7.63333333333333" customWidth="1"/>
    <col min="4" max="4" width="13.3666666666667" customWidth="1"/>
    <col min="5" max="5" width="10.725" customWidth="1"/>
    <col min="6" max="6" width="9.725" customWidth="1"/>
    <col min="7" max="7" width="9.275" customWidth="1"/>
    <col min="8" max="8" width="10.275" customWidth="1"/>
    <col min="9" max="9" width="10.4583333333333" customWidth="1"/>
    <col min="10" max="10" width="9.725" customWidth="1"/>
    <col min="11" max="11" width="10.0916666666667" customWidth="1"/>
    <col min="12" max="12" width="7.63333333333333" customWidth="1"/>
    <col min="13" max="13" width="8.5" customWidth="1"/>
    <col min="14" max="14" width="7.63333333333333" customWidth="1"/>
    <col min="15" max="15" width="12.4583333333333" customWidth="1"/>
    <col min="16" max="16" width="11.275" style="37" customWidth="1"/>
    <col min="18" max="18" width="11.5"/>
  </cols>
  <sheetData>
    <row r="1" s="1" customFormat="1" ht="32.15" customHeight="1" spans="1:16">
      <c r="A1" s="3" t="s">
        <v>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33" customFormat="1" ht="18" customHeight="1" spans="1:16">
      <c r="A2" s="18" t="s">
        <v>2</v>
      </c>
      <c r="B2" s="18" t="s">
        <v>3</v>
      </c>
      <c r="C2" s="19" t="s">
        <v>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8" t="s">
        <v>5</v>
      </c>
      <c r="P2" s="21" t="s">
        <v>6</v>
      </c>
    </row>
    <row r="3" s="33" customFormat="1" ht="18" customHeight="1" spans="1:16">
      <c r="A3" s="18"/>
      <c r="B3" s="18"/>
      <c r="C3" s="20" t="s">
        <v>8</v>
      </c>
      <c r="D3" s="20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0" t="s">
        <v>14</v>
      </c>
      <c r="J3" s="20" t="s">
        <v>15</v>
      </c>
      <c r="K3" s="20" t="s">
        <v>16</v>
      </c>
      <c r="L3" s="20" t="s">
        <v>17</v>
      </c>
      <c r="M3" s="20" t="s">
        <v>18</v>
      </c>
      <c r="N3" s="20" t="s">
        <v>19</v>
      </c>
      <c r="O3" s="18"/>
      <c r="P3" s="21"/>
    </row>
    <row r="4" s="34" customFormat="1" ht="18" customHeight="1" spans="1:16">
      <c r="A4" s="32" t="s">
        <v>21</v>
      </c>
      <c r="B4" s="38">
        <v>709.51635684571</v>
      </c>
      <c r="C4" s="38">
        <v>51.121052</v>
      </c>
      <c r="D4" s="38">
        <v>28.623522</v>
      </c>
      <c r="E4" s="38">
        <v>50.833071</v>
      </c>
      <c r="F4" s="38">
        <v>31.674646</v>
      </c>
      <c r="G4" s="38"/>
      <c r="H4" s="38"/>
      <c r="I4" s="38"/>
      <c r="J4" s="38"/>
      <c r="K4" s="38"/>
      <c r="L4" s="38"/>
      <c r="M4" s="38"/>
      <c r="N4" s="38"/>
      <c r="O4" s="25">
        <f>SUM(C4:N4)</f>
        <v>162.252291</v>
      </c>
      <c r="P4" s="26">
        <f t="shared" ref="P4:P16" si="0">IFERROR(O4/B4,)</f>
        <v>0.228680127574963</v>
      </c>
    </row>
    <row r="5" s="34" customFormat="1" ht="18" customHeight="1" spans="1:16">
      <c r="A5" s="32" t="s">
        <v>26</v>
      </c>
      <c r="B5" s="25">
        <f>B6+B9</f>
        <v>268.663688</v>
      </c>
      <c r="C5" s="25">
        <f t="shared" ref="C5:N5" si="1">C6+C9</f>
        <v>5.135138</v>
      </c>
      <c r="D5" s="25">
        <f t="shared" si="1"/>
        <v>5.14162</v>
      </c>
      <c r="E5" s="25">
        <f t="shared" si="1"/>
        <v>47.184892</v>
      </c>
      <c r="F5" s="25">
        <f t="shared" si="1"/>
        <v>5.15811</v>
      </c>
      <c r="G5" s="25">
        <f t="shared" si="1"/>
        <v>0</v>
      </c>
      <c r="H5" s="25">
        <f t="shared" si="1"/>
        <v>0</v>
      </c>
      <c r="I5" s="25">
        <f t="shared" si="1"/>
        <v>0</v>
      </c>
      <c r="J5" s="25">
        <f t="shared" si="1"/>
        <v>0</v>
      </c>
      <c r="K5" s="25">
        <f t="shared" si="1"/>
        <v>0</v>
      </c>
      <c r="L5" s="25">
        <f t="shared" si="1"/>
        <v>0</v>
      </c>
      <c r="M5" s="25">
        <f t="shared" si="1"/>
        <v>0</v>
      </c>
      <c r="N5" s="25">
        <f t="shared" si="1"/>
        <v>0</v>
      </c>
      <c r="O5" s="25">
        <f t="shared" ref="O5:O16" si="2">SUM(C5:N5)</f>
        <v>62.61976</v>
      </c>
      <c r="P5" s="26">
        <f t="shared" si="0"/>
        <v>0.233078613883987</v>
      </c>
    </row>
    <row r="6" s="34" customFormat="1" ht="18" customHeight="1" spans="1:16">
      <c r="A6" s="32" t="s">
        <v>50</v>
      </c>
      <c r="B6" s="25">
        <f>费用预算执行明细!B4</f>
        <v>89.223688</v>
      </c>
      <c r="C6" s="25">
        <f>费用预算执行明细!C4</f>
        <v>5.135138</v>
      </c>
      <c r="D6" s="25">
        <f>费用预算执行明细!D4</f>
        <v>5.133978</v>
      </c>
      <c r="E6" s="25">
        <f>费用预算执行明细!E4</f>
        <v>5.119921</v>
      </c>
      <c r="F6" s="25">
        <f>费用预算执行明细!F4</f>
        <v>5.15811</v>
      </c>
      <c r="G6" s="25">
        <f>费用预算执行明细!G4</f>
        <v>0</v>
      </c>
      <c r="H6" s="25">
        <f>费用预算执行明细!H4</f>
        <v>0</v>
      </c>
      <c r="I6" s="25">
        <f>费用预算执行明细!I4</f>
        <v>0</v>
      </c>
      <c r="J6" s="25">
        <f>费用预算执行明细!J4</f>
        <v>0</v>
      </c>
      <c r="K6" s="25">
        <f>费用预算执行明细!K4</f>
        <v>0</v>
      </c>
      <c r="L6" s="25">
        <f>费用预算执行明细!L4</f>
        <v>0</v>
      </c>
      <c r="M6" s="25">
        <f>费用预算执行明细!M4</f>
        <v>0</v>
      </c>
      <c r="N6" s="25">
        <f>费用预算执行明细!N4</f>
        <v>0</v>
      </c>
      <c r="O6" s="25">
        <f t="shared" si="2"/>
        <v>20.547147</v>
      </c>
      <c r="P6" s="26">
        <f t="shared" si="0"/>
        <v>0.23028802620219</v>
      </c>
    </row>
    <row r="7" s="35" customFormat="1" ht="18" customHeight="1" spans="1:16">
      <c r="A7" s="39" t="s">
        <v>51</v>
      </c>
      <c r="B7" s="29">
        <f>费用预算执行明细!B5</f>
        <v>56.812</v>
      </c>
      <c r="C7" s="29">
        <f>费用预算执行明细!C5</f>
        <v>4.15351</v>
      </c>
      <c r="D7" s="29">
        <f>费用预算执行明细!D5</f>
        <v>4.15751</v>
      </c>
      <c r="E7" s="29">
        <f>费用预算执行明细!E5</f>
        <v>4.16351</v>
      </c>
      <c r="F7" s="29">
        <f>费用预算执行明细!F5</f>
        <v>4.18151</v>
      </c>
      <c r="G7" s="29">
        <f>费用预算执行明细!G5</f>
        <v>0</v>
      </c>
      <c r="H7" s="29">
        <f>费用预算执行明细!H5</f>
        <v>0</v>
      </c>
      <c r="I7" s="29">
        <f>费用预算执行明细!I5</f>
        <v>0</v>
      </c>
      <c r="J7" s="29">
        <f>费用预算执行明细!J5</f>
        <v>0</v>
      </c>
      <c r="K7" s="29">
        <f>费用预算执行明细!K5</f>
        <v>0</v>
      </c>
      <c r="L7" s="29">
        <f>费用预算执行明细!L5</f>
        <v>0</v>
      </c>
      <c r="M7" s="29">
        <f>费用预算执行明细!M5</f>
        <v>0</v>
      </c>
      <c r="N7" s="29">
        <f>费用预算执行明细!N5</f>
        <v>0</v>
      </c>
      <c r="O7" s="29">
        <f t="shared" si="2"/>
        <v>16.65604</v>
      </c>
      <c r="P7" s="30">
        <f t="shared" si="0"/>
        <v>0.293178201788355</v>
      </c>
    </row>
    <row r="8" s="35" customFormat="1" ht="18" customHeight="1" spans="1:16">
      <c r="A8" s="39" t="s">
        <v>52</v>
      </c>
      <c r="B8" s="29">
        <f>费用预算执行明细!B12</f>
        <v>32.411688</v>
      </c>
      <c r="C8" s="29">
        <f>费用预算执行明细!C12</f>
        <v>0.981628</v>
      </c>
      <c r="D8" s="29">
        <f>费用预算执行明细!D12</f>
        <v>0.976468</v>
      </c>
      <c r="E8" s="29">
        <f>费用预算执行明细!E12</f>
        <v>0.956411</v>
      </c>
      <c r="F8" s="29">
        <f>费用预算执行明细!F12</f>
        <v>0.9766</v>
      </c>
      <c r="G8" s="29">
        <f>费用预算执行明细!G12</f>
        <v>0</v>
      </c>
      <c r="H8" s="29">
        <f>费用预算执行明细!H12</f>
        <v>0</v>
      </c>
      <c r="I8" s="29">
        <f>费用预算执行明细!I12</f>
        <v>0</v>
      </c>
      <c r="J8" s="29">
        <f>费用预算执行明细!J12</f>
        <v>0</v>
      </c>
      <c r="K8" s="29">
        <f>费用预算执行明细!K12</f>
        <v>0</v>
      </c>
      <c r="L8" s="29">
        <f>费用预算执行明细!L12</f>
        <v>0</v>
      </c>
      <c r="M8" s="29">
        <f>费用预算执行明细!M12</f>
        <v>0</v>
      </c>
      <c r="N8" s="29">
        <f>费用预算执行明细!N12</f>
        <v>0</v>
      </c>
      <c r="O8" s="29">
        <f t="shared" si="2"/>
        <v>3.891107</v>
      </c>
      <c r="P8" s="30">
        <f t="shared" si="0"/>
        <v>0.120052587202493</v>
      </c>
    </row>
    <row r="9" s="34" customFormat="1" ht="18" customHeight="1" spans="1:16">
      <c r="A9" s="32" t="s">
        <v>30</v>
      </c>
      <c r="B9" s="25">
        <f>费用预算执行明细!B44</f>
        <v>179.44</v>
      </c>
      <c r="C9" s="25">
        <f>费用预算执行明细!C44</f>
        <v>0</v>
      </c>
      <c r="D9" s="25">
        <f>费用预算执行明细!D44</f>
        <v>0.007642</v>
      </c>
      <c r="E9" s="25">
        <f>费用预算执行明细!E44</f>
        <v>42.064971</v>
      </c>
      <c r="F9" s="25">
        <f>费用预算执行明细!F44</f>
        <v>0</v>
      </c>
      <c r="G9" s="25">
        <f>费用预算执行明细!G44</f>
        <v>0</v>
      </c>
      <c r="H9" s="25">
        <f>费用预算执行明细!H44</f>
        <v>0</v>
      </c>
      <c r="I9" s="25">
        <f>费用预算执行明细!I44</f>
        <v>0</v>
      </c>
      <c r="J9" s="25">
        <f>费用预算执行明细!J44</f>
        <v>0</v>
      </c>
      <c r="K9" s="25">
        <f>费用预算执行明细!K44</f>
        <v>0</v>
      </c>
      <c r="L9" s="25">
        <f>费用预算执行明细!L44</f>
        <v>0</v>
      </c>
      <c r="M9" s="25">
        <f>费用预算执行明细!M44</f>
        <v>0</v>
      </c>
      <c r="N9" s="25">
        <f>费用预算执行明细!N44</f>
        <v>0</v>
      </c>
      <c r="O9" s="25">
        <f t="shared" si="2"/>
        <v>42.072613</v>
      </c>
      <c r="P9" s="26">
        <f t="shared" si="0"/>
        <v>0.234466189255461</v>
      </c>
    </row>
    <row r="10" s="35" customFormat="1" ht="18" customHeight="1" spans="1:16">
      <c r="A10" s="39" t="s">
        <v>53</v>
      </c>
      <c r="B10" s="29">
        <f>费用预算执行明细!B44</f>
        <v>179.44</v>
      </c>
      <c r="C10" s="29">
        <f>费用预算执行明细!C45</f>
        <v>0</v>
      </c>
      <c r="D10" s="29">
        <f>费用预算执行明细!D45</f>
        <v>0.007642</v>
      </c>
      <c r="E10" s="29">
        <f>费用预算执行明细!E45</f>
        <v>42.064971</v>
      </c>
      <c r="F10" s="29">
        <f>费用预算执行明细!F45</f>
        <v>0</v>
      </c>
      <c r="G10" s="29">
        <f>费用预算执行明细!G45</f>
        <v>0</v>
      </c>
      <c r="H10" s="29">
        <f>费用预算执行明细!H45</f>
        <v>0</v>
      </c>
      <c r="I10" s="29">
        <f>费用预算执行明细!I45</f>
        <v>0</v>
      </c>
      <c r="J10" s="29">
        <f>费用预算执行明细!J45</f>
        <v>0</v>
      </c>
      <c r="K10" s="29">
        <f>费用预算执行明细!K45</f>
        <v>0</v>
      </c>
      <c r="L10" s="29">
        <f>费用预算执行明细!L45</f>
        <v>0</v>
      </c>
      <c r="M10" s="29">
        <f>费用预算执行明细!M45</f>
        <v>0</v>
      </c>
      <c r="N10" s="29">
        <f>费用预算执行明细!N45</f>
        <v>0</v>
      </c>
      <c r="O10" s="29">
        <f t="shared" si="2"/>
        <v>42.072613</v>
      </c>
      <c r="P10" s="30">
        <f t="shared" si="0"/>
        <v>0.234466189255461</v>
      </c>
    </row>
    <row r="11" s="35" customFormat="1" ht="18" customHeight="1" spans="1:16">
      <c r="A11" s="39" t="s">
        <v>54</v>
      </c>
      <c r="B11" s="29"/>
      <c r="C11" s="29">
        <f>费用预算执行明细!C78</f>
        <v>0</v>
      </c>
      <c r="D11" s="29">
        <f>费用预算执行明细!D78</f>
        <v>0</v>
      </c>
      <c r="E11" s="29">
        <f>费用预算执行明细!E78</f>
        <v>0</v>
      </c>
      <c r="F11" s="29">
        <f>费用预算执行明细!F78</f>
        <v>0</v>
      </c>
      <c r="G11" s="29">
        <f>费用预算执行明细!G78</f>
        <v>0</v>
      </c>
      <c r="H11" s="29">
        <f>费用预算执行明细!H78</f>
        <v>0</v>
      </c>
      <c r="I11" s="29">
        <f>费用预算执行明细!I78</f>
        <v>0</v>
      </c>
      <c r="J11" s="29">
        <f>费用预算执行明细!J78</f>
        <v>0</v>
      </c>
      <c r="K11" s="29">
        <f>费用预算执行明细!K78</f>
        <v>0</v>
      </c>
      <c r="L11" s="29">
        <f>费用预算执行明细!L78</f>
        <v>0</v>
      </c>
      <c r="M11" s="29">
        <f>费用预算执行明细!M78</f>
        <v>0</v>
      </c>
      <c r="N11" s="29">
        <f>费用预算执行明细!N78</f>
        <v>0</v>
      </c>
      <c r="O11" s="29">
        <f t="shared" si="2"/>
        <v>0</v>
      </c>
      <c r="P11" s="30">
        <f t="shared" si="0"/>
        <v>0</v>
      </c>
    </row>
    <row r="12" s="36" customFormat="1" ht="18" customHeight="1" spans="1:16">
      <c r="A12" s="40" t="s">
        <v>33</v>
      </c>
      <c r="B12" s="41">
        <f>资本性支出计划与执行!G15</f>
        <v>0</v>
      </c>
      <c r="C12" s="42">
        <v>0</v>
      </c>
      <c r="D12" s="42">
        <v>0</v>
      </c>
      <c r="E12" s="42">
        <v>0</v>
      </c>
      <c r="F12" s="42">
        <v>0</v>
      </c>
      <c r="G12" s="42"/>
      <c r="H12" s="42"/>
      <c r="I12" s="42"/>
      <c r="J12" s="42"/>
      <c r="K12" s="42"/>
      <c r="L12" s="42"/>
      <c r="M12" s="42"/>
      <c r="N12" s="42"/>
      <c r="O12" s="41">
        <f t="shared" si="2"/>
        <v>0</v>
      </c>
      <c r="P12" s="26">
        <f t="shared" si="0"/>
        <v>0</v>
      </c>
    </row>
    <row r="13" s="34" customFormat="1" ht="18" customHeight="1" spans="1:16">
      <c r="A13" s="32" t="s">
        <v>55</v>
      </c>
      <c r="B13" s="38">
        <v>1269.43</v>
      </c>
      <c r="C13" s="38">
        <v>105.786198</v>
      </c>
      <c r="D13" s="38">
        <v>105.786198</v>
      </c>
      <c r="E13" s="38">
        <v>105.786198</v>
      </c>
      <c r="F13" s="38">
        <v>105.786198</v>
      </c>
      <c r="G13" s="38"/>
      <c r="H13" s="38"/>
      <c r="I13" s="38"/>
      <c r="J13" s="38"/>
      <c r="K13" s="38"/>
      <c r="L13" s="38"/>
      <c r="M13" s="38"/>
      <c r="N13" s="38"/>
      <c r="O13" s="25">
        <f t="shared" si="2"/>
        <v>423.144792</v>
      </c>
      <c r="P13" s="26">
        <f t="shared" si="0"/>
        <v>0.333334482405489</v>
      </c>
    </row>
    <row r="14" s="34" customFormat="1" ht="18" customHeight="1" spans="1:16">
      <c r="A14" s="32" t="s">
        <v>56</v>
      </c>
      <c r="B14" s="25">
        <v>-22.96</v>
      </c>
      <c r="C14" s="38">
        <v>0.130051</v>
      </c>
      <c r="D14" s="38">
        <v>0.092127</v>
      </c>
      <c r="E14" s="38">
        <v>0.01561</v>
      </c>
      <c r="F14" s="38">
        <v>0.087507</v>
      </c>
      <c r="G14" s="38"/>
      <c r="H14" s="38"/>
      <c r="I14" s="38"/>
      <c r="J14" s="38"/>
      <c r="K14" s="38"/>
      <c r="L14" s="38"/>
      <c r="M14" s="38"/>
      <c r="N14" s="38"/>
      <c r="O14" s="25">
        <f t="shared" si="2"/>
        <v>0.325295</v>
      </c>
      <c r="P14" s="26">
        <f t="shared" si="0"/>
        <v>-0.0141679006968641</v>
      </c>
    </row>
    <row r="15" s="34" customFormat="1" ht="18" customHeight="1" spans="1:16">
      <c r="A15" s="43" t="s">
        <v>57</v>
      </c>
      <c r="B15" s="25">
        <v>23.2</v>
      </c>
      <c r="C15" s="38">
        <v>0</v>
      </c>
      <c r="D15" s="38">
        <v>0</v>
      </c>
      <c r="E15" s="38">
        <v>0.081542</v>
      </c>
      <c r="F15" s="38">
        <v>0</v>
      </c>
      <c r="G15" s="38"/>
      <c r="H15" s="38"/>
      <c r="I15" s="38"/>
      <c r="J15" s="38"/>
      <c r="K15" s="38"/>
      <c r="L15" s="38"/>
      <c r="M15" s="38"/>
      <c r="N15" s="38"/>
      <c r="O15" s="25">
        <f t="shared" si="2"/>
        <v>0.081542</v>
      </c>
      <c r="P15" s="26">
        <f t="shared" si="0"/>
        <v>0.00351474137931034</v>
      </c>
    </row>
    <row r="16" s="34" customFormat="1" ht="18" customHeight="1" spans="1:16">
      <c r="A16" s="32" t="s">
        <v>58</v>
      </c>
      <c r="B16" s="38">
        <v>282.332293010779</v>
      </c>
      <c r="C16" s="38">
        <v>0.423468</v>
      </c>
      <c r="D16" s="38">
        <v>0.198313</v>
      </c>
      <c r="E16" s="38">
        <v>0.3365</v>
      </c>
      <c r="F16" s="38">
        <v>142.806047</v>
      </c>
      <c r="G16" s="38"/>
      <c r="H16" s="38"/>
      <c r="I16" s="38"/>
      <c r="J16" s="38"/>
      <c r="K16" s="38"/>
      <c r="L16" s="38"/>
      <c r="M16" s="38"/>
      <c r="N16" s="38"/>
      <c r="O16" s="25">
        <f t="shared" si="2"/>
        <v>143.764328</v>
      </c>
      <c r="P16" s="26">
        <f t="shared" si="0"/>
        <v>0.509202565767109</v>
      </c>
    </row>
    <row r="17" s="34" customFormat="1" ht="18" customHeight="1" spans="1:16">
      <c r="A17" s="32" t="s">
        <v>59</v>
      </c>
      <c r="B17" s="26">
        <f>B9/B4</f>
        <v>0.252904669876442</v>
      </c>
      <c r="C17" s="26">
        <f>IFERROR(C9/C4,)</f>
        <v>0</v>
      </c>
      <c r="D17" s="26">
        <f>IFERROR(D9/D4,)</f>
        <v>0.000266983217509012</v>
      </c>
      <c r="E17" s="26">
        <f t="shared" ref="D17:O17" si="3">IFERROR(E9/E4,)</f>
        <v>0.827511896733526</v>
      </c>
      <c r="F17" s="26">
        <f t="shared" si="3"/>
        <v>0</v>
      </c>
      <c r="G17" s="26">
        <f t="shared" si="3"/>
        <v>0</v>
      </c>
      <c r="H17" s="26">
        <f t="shared" si="3"/>
        <v>0</v>
      </c>
      <c r="I17" s="26">
        <f t="shared" si="3"/>
        <v>0</v>
      </c>
      <c r="J17" s="44">
        <f t="shared" si="3"/>
        <v>0</v>
      </c>
      <c r="K17" s="26">
        <f t="shared" si="3"/>
        <v>0</v>
      </c>
      <c r="L17" s="26">
        <f t="shared" si="3"/>
        <v>0</v>
      </c>
      <c r="M17" s="26">
        <f t="shared" si="3"/>
        <v>0</v>
      </c>
      <c r="N17" s="26">
        <f t="shared" si="3"/>
        <v>0</v>
      </c>
      <c r="O17" s="26">
        <f t="shared" si="3"/>
        <v>0.259303660618265</v>
      </c>
      <c r="P17" s="44"/>
    </row>
    <row r="18" ht="32.15" customHeight="1" spans="1:16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6"/>
    </row>
    <row r="19" s="34" customFormat="1" ht="18" customHeight="1" spans="1:16">
      <c r="A19" s="32" t="s">
        <v>60</v>
      </c>
      <c r="B19" s="25">
        <f>B4-B5-B16+B15+9</f>
        <v>190.720375834931</v>
      </c>
      <c r="C19" s="25">
        <f>C4-C6-C9-C16+C15</f>
        <v>45.562446</v>
      </c>
      <c r="D19" s="25">
        <f t="shared" ref="D19:O19" si="4">D4-D6-D9-D16+D15</f>
        <v>23.283589</v>
      </c>
      <c r="E19" s="25">
        <f t="shared" si="4"/>
        <v>3.393221</v>
      </c>
      <c r="F19" s="25">
        <f t="shared" si="4"/>
        <v>-116.289511</v>
      </c>
      <c r="G19" s="25">
        <f t="shared" si="4"/>
        <v>0</v>
      </c>
      <c r="H19" s="25">
        <f t="shared" si="4"/>
        <v>0</v>
      </c>
      <c r="I19" s="25">
        <f t="shared" si="4"/>
        <v>0</v>
      </c>
      <c r="J19" s="25">
        <f t="shared" si="4"/>
        <v>0</v>
      </c>
      <c r="K19" s="25">
        <f t="shared" si="4"/>
        <v>0</v>
      </c>
      <c r="L19" s="25">
        <f t="shared" si="4"/>
        <v>0</v>
      </c>
      <c r="M19" s="25">
        <f t="shared" si="4"/>
        <v>0</v>
      </c>
      <c r="N19" s="25">
        <f t="shared" si="4"/>
        <v>0</v>
      </c>
      <c r="O19" s="25">
        <f t="shared" si="4"/>
        <v>-44.050255</v>
      </c>
      <c r="P19" s="26">
        <f>IFERROR(O19/B19,)</f>
        <v>-0.230967744307119</v>
      </c>
    </row>
    <row r="20" ht="18" customHeight="1" spans="1:16">
      <c r="A20" s="47" t="s">
        <v>61</v>
      </c>
      <c r="B20" s="48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  <c r="O20" s="48"/>
      <c r="P20" s="44">
        <f>IFERROR(O20/B20,)</f>
        <v>0</v>
      </c>
    </row>
    <row r="21" ht="32.15" customHeight="1" spans="1:1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52"/>
    </row>
    <row r="22" ht="18" customHeight="1" spans="1:16">
      <c r="A22" s="53" t="s">
        <v>45</v>
      </c>
      <c r="B22" s="54" t="s">
        <v>46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2"/>
    </row>
    <row r="23" ht="18" customHeight="1" spans="1:16">
      <c r="A23" s="53"/>
      <c r="B23" s="54" t="s">
        <v>47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2"/>
    </row>
    <row r="24" ht="18" customHeight="1" spans="1:16">
      <c r="A24" s="53"/>
      <c r="B24" s="54" t="s">
        <v>48</v>
      </c>
      <c r="C24" s="13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</sheetData>
  <mergeCells count="9">
    <mergeCell ref="A1:P1"/>
    <mergeCell ref="C2:N2"/>
    <mergeCell ref="B22:O22"/>
    <mergeCell ref="B23:O23"/>
    <mergeCell ref="A2:A3"/>
    <mergeCell ref="A22:A24"/>
    <mergeCell ref="B2:B3"/>
    <mergeCell ref="O2:O3"/>
    <mergeCell ref="P2:P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85"/>
  <sheetViews>
    <sheetView workbookViewId="0">
      <pane xSplit="2" ySplit="3" topLeftCell="C70" activePane="bottomRight" state="frozen"/>
      <selection/>
      <selection pane="topRight"/>
      <selection pane="bottomLeft"/>
      <selection pane="bottomRight" activeCell="I21" sqref="I21"/>
    </sheetView>
  </sheetViews>
  <sheetFormatPr defaultColWidth="8.90833333333333" defaultRowHeight="16" customHeight="1"/>
  <cols>
    <col min="1" max="1" width="19.9083333333333" style="16" customWidth="1"/>
    <col min="2" max="2" width="12.4583333333333" style="16" customWidth="1"/>
    <col min="3" max="6" width="7.63333333333333" customWidth="1"/>
    <col min="7" max="7" width="10.25" customWidth="1"/>
    <col min="8" max="13" width="7.63333333333333" customWidth="1"/>
    <col min="14" max="14" width="10.25" customWidth="1"/>
    <col min="15" max="15" width="12.4583333333333" style="16" customWidth="1"/>
    <col min="16" max="16" width="9.09166666666667" style="17" customWidth="1"/>
    <col min="17" max="16384" width="8.90833333333333" style="16"/>
  </cols>
  <sheetData>
    <row r="1" s="1" customFormat="1" ht="32.15" customHeight="1" spans="1:16">
      <c r="A1" s="3" t="s">
        <v>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4" customFormat="1" customHeight="1" spans="1:16">
      <c r="A2" s="18" t="s">
        <v>2</v>
      </c>
      <c r="B2" s="18" t="s">
        <v>3</v>
      </c>
      <c r="C2" s="19" t="s">
        <v>63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 t="s">
        <v>5</v>
      </c>
      <c r="P2" s="21" t="s">
        <v>6</v>
      </c>
    </row>
    <row r="3" s="15" customFormat="1" customHeight="1" spans="1:16">
      <c r="A3" s="18"/>
      <c r="B3" s="18"/>
      <c r="C3" s="22" t="s">
        <v>8</v>
      </c>
      <c r="D3" s="20" t="s">
        <v>9</v>
      </c>
      <c r="E3" s="22" t="s">
        <v>10</v>
      </c>
      <c r="F3" s="20" t="s">
        <v>11</v>
      </c>
      <c r="G3" s="22" t="s">
        <v>12</v>
      </c>
      <c r="H3" s="20" t="s">
        <v>13</v>
      </c>
      <c r="I3" s="22" t="s">
        <v>14</v>
      </c>
      <c r="J3" s="20" t="s">
        <v>15</v>
      </c>
      <c r="K3" s="22" t="s">
        <v>16</v>
      </c>
      <c r="L3" s="20" t="s">
        <v>17</v>
      </c>
      <c r="M3" s="22" t="s">
        <v>18</v>
      </c>
      <c r="N3" s="23" t="s">
        <v>19</v>
      </c>
      <c r="O3" s="20"/>
      <c r="P3" s="21"/>
    </row>
    <row r="4" customHeight="1" spans="1:16">
      <c r="A4" s="24" t="s">
        <v>27</v>
      </c>
      <c r="B4" s="25">
        <f>B5+B12</f>
        <v>89.223688</v>
      </c>
      <c r="C4" s="25">
        <f t="shared" ref="C4:N4" si="0">C5+C12</f>
        <v>5.135138</v>
      </c>
      <c r="D4" s="25">
        <f t="shared" si="0"/>
        <v>5.133978</v>
      </c>
      <c r="E4" s="25">
        <f t="shared" si="0"/>
        <v>5.119921</v>
      </c>
      <c r="F4" s="25">
        <f t="shared" si="0"/>
        <v>5.15811</v>
      </c>
      <c r="G4" s="25">
        <f t="shared" si="0"/>
        <v>0</v>
      </c>
      <c r="H4" s="25">
        <f t="shared" si="0"/>
        <v>0</v>
      </c>
      <c r="I4" s="25">
        <f t="shared" si="0"/>
        <v>0</v>
      </c>
      <c r="J4" s="25">
        <f t="shared" si="0"/>
        <v>0</v>
      </c>
      <c r="K4" s="25">
        <f t="shared" si="0"/>
        <v>0</v>
      </c>
      <c r="L4" s="25">
        <f t="shared" si="0"/>
        <v>0</v>
      </c>
      <c r="M4" s="25">
        <f t="shared" si="0"/>
        <v>0</v>
      </c>
      <c r="N4" s="25">
        <f t="shared" si="0"/>
        <v>0</v>
      </c>
      <c r="O4" s="25">
        <f>SUM(C4:N4)</f>
        <v>20.547147</v>
      </c>
      <c r="P4" s="26">
        <f t="shared" ref="P4:P67" si="1">IFERROR(O4/B4,)</f>
        <v>0.23028802620219</v>
      </c>
    </row>
    <row r="5" customHeight="1" spans="1:16">
      <c r="A5" s="25" t="s">
        <v>64</v>
      </c>
      <c r="B5" s="25">
        <f>SUM(B6:B11)</f>
        <v>56.812</v>
      </c>
      <c r="C5" s="25">
        <f t="shared" ref="C5:N5" si="2">SUM(C6:C11)</f>
        <v>4.15351</v>
      </c>
      <c r="D5" s="25">
        <f t="shared" si="2"/>
        <v>4.15751</v>
      </c>
      <c r="E5" s="25">
        <f t="shared" si="2"/>
        <v>4.16351</v>
      </c>
      <c r="F5" s="25">
        <f t="shared" si="2"/>
        <v>4.18151</v>
      </c>
      <c r="G5" s="25">
        <f t="shared" si="2"/>
        <v>0</v>
      </c>
      <c r="H5" s="25">
        <f t="shared" si="2"/>
        <v>0</v>
      </c>
      <c r="I5" s="25">
        <f t="shared" si="2"/>
        <v>0</v>
      </c>
      <c r="J5" s="25">
        <f t="shared" si="2"/>
        <v>0</v>
      </c>
      <c r="K5" s="25">
        <f t="shared" si="2"/>
        <v>0</v>
      </c>
      <c r="L5" s="25">
        <f t="shared" si="2"/>
        <v>0</v>
      </c>
      <c r="M5" s="25">
        <f t="shared" si="2"/>
        <v>0</v>
      </c>
      <c r="N5" s="25">
        <f t="shared" si="2"/>
        <v>0</v>
      </c>
      <c r="O5" s="25">
        <f t="shared" ref="O5:O36" si="3">SUM(C5:N5)</f>
        <v>16.65604</v>
      </c>
      <c r="P5" s="26">
        <f t="shared" si="1"/>
        <v>0.293178201788355</v>
      </c>
    </row>
    <row r="6" customHeight="1" spans="1:16">
      <c r="A6" s="27" t="s">
        <v>65</v>
      </c>
      <c r="B6" s="28">
        <v>40.8</v>
      </c>
      <c r="C6" s="28">
        <v>3.2</v>
      </c>
      <c r="D6" s="28">
        <v>3.2</v>
      </c>
      <c r="E6" s="28">
        <v>3.2</v>
      </c>
      <c r="F6" s="28">
        <v>3.2</v>
      </c>
      <c r="G6" s="28"/>
      <c r="H6" s="28"/>
      <c r="I6" s="28"/>
      <c r="J6" s="28"/>
      <c r="K6" s="28"/>
      <c r="L6" s="28"/>
      <c r="M6" s="28"/>
      <c r="N6" s="28"/>
      <c r="O6" s="29">
        <f t="shared" si="3"/>
        <v>12.8</v>
      </c>
      <c r="P6" s="30">
        <f t="shared" si="1"/>
        <v>0.313725490196078</v>
      </c>
    </row>
    <row r="7" customHeight="1" spans="1:16">
      <c r="A7" s="27" t="s">
        <v>66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>
        <f t="shared" si="3"/>
        <v>0</v>
      </c>
      <c r="P7" s="30">
        <f t="shared" si="1"/>
        <v>0</v>
      </c>
    </row>
    <row r="8" customHeight="1" spans="1:16">
      <c r="A8" s="27" t="s">
        <v>67</v>
      </c>
      <c r="B8" s="28">
        <v>0.1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>
        <f t="shared" si="3"/>
        <v>0</v>
      </c>
      <c r="P8" s="30">
        <f t="shared" si="1"/>
        <v>0</v>
      </c>
    </row>
    <row r="9" customHeight="1" spans="1:16">
      <c r="A9" s="27" t="s">
        <v>68</v>
      </c>
      <c r="B9" s="28">
        <v>2.712</v>
      </c>
      <c r="C9" s="28">
        <v>0.148</v>
      </c>
      <c r="D9" s="28">
        <v>0.152</v>
      </c>
      <c r="E9" s="28">
        <v>0.158</v>
      </c>
      <c r="F9" s="28">
        <v>0.176</v>
      </c>
      <c r="G9" s="28"/>
      <c r="H9" s="28"/>
      <c r="I9" s="28"/>
      <c r="J9" s="28"/>
      <c r="K9" s="28"/>
      <c r="L9" s="28"/>
      <c r="M9" s="28"/>
      <c r="N9" s="28"/>
      <c r="O9" s="29">
        <f t="shared" si="3"/>
        <v>0.634</v>
      </c>
      <c r="P9" s="30">
        <f t="shared" si="1"/>
        <v>0.233775811209439</v>
      </c>
    </row>
    <row r="10" customHeight="1" spans="1:16">
      <c r="A10" s="27" t="s">
        <v>69</v>
      </c>
      <c r="B10" s="28">
        <v>10.2</v>
      </c>
      <c r="C10" s="28">
        <v>0.80551</v>
      </c>
      <c r="D10" s="28">
        <v>0.80551</v>
      </c>
      <c r="E10" s="28">
        <v>0.80551</v>
      </c>
      <c r="F10" s="28">
        <v>0.80551</v>
      </c>
      <c r="G10" s="28"/>
      <c r="H10" s="28"/>
      <c r="I10" s="28"/>
      <c r="J10" s="28"/>
      <c r="K10" s="28"/>
      <c r="L10" s="28"/>
      <c r="M10" s="28"/>
      <c r="N10" s="28"/>
      <c r="O10" s="29">
        <f t="shared" si="3"/>
        <v>3.22204</v>
      </c>
      <c r="P10" s="30">
        <f t="shared" si="1"/>
        <v>0.315886274509804</v>
      </c>
    </row>
    <row r="11" customHeight="1" spans="1:16">
      <c r="A11" s="27" t="s">
        <v>70</v>
      </c>
      <c r="B11" s="28">
        <v>3</v>
      </c>
      <c r="C11" s="28"/>
      <c r="D11" s="28"/>
      <c r="E11" s="28"/>
      <c r="F11" s="28"/>
      <c r="G11" s="28"/>
      <c r="H11" s="28"/>
      <c r="I11" s="28"/>
      <c r="J11" s="31"/>
      <c r="K11" s="28"/>
      <c r="L11" s="31"/>
      <c r="M11" s="28"/>
      <c r="N11" s="28"/>
      <c r="O11" s="29">
        <f t="shared" si="3"/>
        <v>0</v>
      </c>
      <c r="P11" s="30">
        <f t="shared" si="1"/>
        <v>0</v>
      </c>
    </row>
    <row r="12" customHeight="1" spans="1:16">
      <c r="A12" s="25" t="s">
        <v>71</v>
      </c>
      <c r="B12" s="25">
        <f>SUM(B13:B43)</f>
        <v>32.411688</v>
      </c>
      <c r="C12" s="25">
        <f>SUM(C13:C43)</f>
        <v>0.981628</v>
      </c>
      <c r="D12" s="25">
        <f>SUM(D13:D43)</f>
        <v>0.976468</v>
      </c>
      <c r="E12" s="25">
        <f t="shared" ref="E12:N12" si="4">SUM(E13:E43)</f>
        <v>0.956411</v>
      </c>
      <c r="F12" s="25">
        <f t="shared" si="4"/>
        <v>0.9766</v>
      </c>
      <c r="G12" s="25">
        <f t="shared" si="4"/>
        <v>0</v>
      </c>
      <c r="H12" s="25">
        <f t="shared" si="4"/>
        <v>0</v>
      </c>
      <c r="I12" s="25">
        <f t="shared" si="4"/>
        <v>0</v>
      </c>
      <c r="J12" s="25">
        <f t="shared" si="4"/>
        <v>0</v>
      </c>
      <c r="K12" s="25">
        <f t="shared" si="4"/>
        <v>0</v>
      </c>
      <c r="L12" s="25">
        <f t="shared" si="4"/>
        <v>0</v>
      </c>
      <c r="M12" s="25">
        <f t="shared" si="4"/>
        <v>0</v>
      </c>
      <c r="N12" s="25">
        <f t="shared" si="4"/>
        <v>0</v>
      </c>
      <c r="O12" s="25">
        <f t="shared" si="3"/>
        <v>3.891107</v>
      </c>
      <c r="P12" s="26">
        <f t="shared" si="1"/>
        <v>0.120052587202493</v>
      </c>
    </row>
    <row r="13" customHeight="1" spans="1:16">
      <c r="A13" s="27" t="s">
        <v>72</v>
      </c>
      <c r="B13" s="28">
        <v>0.48</v>
      </c>
      <c r="C13" s="28">
        <v>0.025217</v>
      </c>
      <c r="D13" s="28">
        <v>0.020057</v>
      </c>
      <c r="E13" s="28"/>
      <c r="F13" s="28">
        <v>0.020189</v>
      </c>
      <c r="G13" s="28"/>
      <c r="H13" s="28"/>
      <c r="I13" s="28"/>
      <c r="J13" s="28"/>
      <c r="K13" s="28"/>
      <c r="L13" s="28"/>
      <c r="M13" s="28"/>
      <c r="N13" s="28"/>
      <c r="O13" s="29">
        <f t="shared" si="3"/>
        <v>0.065463</v>
      </c>
      <c r="P13" s="30">
        <f t="shared" si="1"/>
        <v>0.13638125</v>
      </c>
    </row>
    <row r="14" customHeight="1" spans="1:16">
      <c r="A14" s="27" t="s">
        <v>73</v>
      </c>
      <c r="B14" s="28">
        <v>0.9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9">
        <f t="shared" si="3"/>
        <v>0</v>
      </c>
      <c r="P14" s="30">
        <f t="shared" si="1"/>
        <v>0</v>
      </c>
    </row>
    <row r="15" customHeight="1" spans="1:16">
      <c r="A15" s="27" t="s">
        <v>74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9">
        <f t="shared" si="3"/>
        <v>0</v>
      </c>
      <c r="P15" s="30">
        <f t="shared" si="1"/>
        <v>0</v>
      </c>
    </row>
    <row r="16" customHeight="1" spans="1:16">
      <c r="A16" s="27" t="s">
        <v>75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>
        <f t="shared" si="3"/>
        <v>0</v>
      </c>
      <c r="P16" s="30">
        <f t="shared" si="1"/>
        <v>0</v>
      </c>
    </row>
    <row r="17" customHeight="1" spans="1:16">
      <c r="A17" s="27" t="s">
        <v>76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>
        <f t="shared" si="3"/>
        <v>0</v>
      </c>
      <c r="P17" s="30">
        <f t="shared" si="1"/>
        <v>0</v>
      </c>
    </row>
    <row r="18" customHeight="1" spans="1:16">
      <c r="A18" s="27" t="s">
        <v>77</v>
      </c>
      <c r="B18" s="28">
        <v>0.01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>
        <f t="shared" si="3"/>
        <v>0</v>
      </c>
      <c r="P18" s="30">
        <f t="shared" si="1"/>
        <v>0</v>
      </c>
    </row>
    <row r="19" customHeight="1" spans="1:16">
      <c r="A19" s="27" t="s">
        <v>78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9">
        <f t="shared" si="3"/>
        <v>0</v>
      </c>
      <c r="P19" s="30">
        <f t="shared" si="1"/>
        <v>0</v>
      </c>
    </row>
    <row r="20" customHeight="1" spans="1:16">
      <c r="A20" s="27" t="s">
        <v>79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>
        <f t="shared" si="3"/>
        <v>0</v>
      </c>
      <c r="P20" s="30">
        <f t="shared" si="1"/>
        <v>0</v>
      </c>
    </row>
    <row r="21" customHeight="1" spans="1:16">
      <c r="A21" s="27" t="s">
        <v>80</v>
      </c>
      <c r="B21" s="28">
        <v>0.24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9">
        <f t="shared" si="3"/>
        <v>0</v>
      </c>
      <c r="P21" s="30">
        <f t="shared" si="1"/>
        <v>0</v>
      </c>
    </row>
    <row r="22" customHeight="1" spans="1:16">
      <c r="A22" s="27" t="s">
        <v>81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9">
        <f t="shared" si="3"/>
        <v>0</v>
      </c>
      <c r="P22" s="30">
        <f t="shared" si="1"/>
        <v>0</v>
      </c>
    </row>
    <row r="23" customHeight="1" spans="1:16">
      <c r="A23" s="27" t="s">
        <v>82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9">
        <f t="shared" si="3"/>
        <v>0</v>
      </c>
      <c r="P23" s="30">
        <f t="shared" si="1"/>
        <v>0</v>
      </c>
    </row>
    <row r="24" customHeight="1" spans="1:16">
      <c r="A24" s="27" t="s">
        <v>83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9">
        <f t="shared" si="3"/>
        <v>0</v>
      </c>
      <c r="P24" s="30">
        <f t="shared" si="1"/>
        <v>0</v>
      </c>
    </row>
    <row r="25" customHeight="1" spans="1:16">
      <c r="A25" s="27" t="s">
        <v>84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9">
        <f t="shared" si="3"/>
        <v>0</v>
      </c>
      <c r="P25" s="30">
        <f t="shared" si="1"/>
        <v>0</v>
      </c>
    </row>
    <row r="26" customHeight="1" spans="1:16">
      <c r="A26" s="27" t="s">
        <v>85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9">
        <f t="shared" si="3"/>
        <v>0</v>
      </c>
      <c r="P26" s="30">
        <f t="shared" si="1"/>
        <v>0</v>
      </c>
    </row>
    <row r="27" customHeight="1" spans="1:16">
      <c r="A27" s="27" t="s">
        <v>86</v>
      </c>
      <c r="B27" s="28">
        <v>13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9">
        <f t="shared" si="3"/>
        <v>0</v>
      </c>
      <c r="P27" s="30">
        <f t="shared" si="1"/>
        <v>0</v>
      </c>
    </row>
    <row r="28" customHeight="1" spans="1:16">
      <c r="A28" s="27" t="s">
        <v>87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9">
        <f t="shared" si="3"/>
        <v>0</v>
      </c>
      <c r="P28" s="30">
        <f t="shared" si="1"/>
        <v>0</v>
      </c>
    </row>
    <row r="29" customHeight="1" spans="1:16">
      <c r="A29" s="27" t="s">
        <v>88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9">
        <f t="shared" si="3"/>
        <v>0</v>
      </c>
      <c r="P29" s="30">
        <f t="shared" si="1"/>
        <v>0</v>
      </c>
    </row>
    <row r="30" customHeight="1" spans="1:16">
      <c r="A30" s="27" t="s">
        <v>89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9">
        <f t="shared" si="3"/>
        <v>0</v>
      </c>
      <c r="P30" s="30">
        <f t="shared" si="1"/>
        <v>0</v>
      </c>
    </row>
    <row r="31" customHeight="1" spans="1:16">
      <c r="A31" s="27" t="s">
        <v>90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9">
        <f t="shared" si="3"/>
        <v>0</v>
      </c>
      <c r="P31" s="30">
        <f t="shared" si="1"/>
        <v>0</v>
      </c>
    </row>
    <row r="32" customHeight="1" spans="1:16">
      <c r="A32" s="27" t="s">
        <v>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9">
        <f t="shared" si="3"/>
        <v>0</v>
      </c>
      <c r="P32" s="30">
        <f t="shared" si="1"/>
        <v>0</v>
      </c>
    </row>
    <row r="33" customHeight="1" spans="1:16">
      <c r="A33" s="27" t="s">
        <v>92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9">
        <f t="shared" si="3"/>
        <v>0</v>
      </c>
      <c r="P33" s="30">
        <f t="shared" si="1"/>
        <v>0</v>
      </c>
    </row>
    <row r="34" customHeight="1" spans="1:16">
      <c r="A34" s="27" t="s">
        <v>93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9">
        <f t="shared" si="3"/>
        <v>0</v>
      </c>
      <c r="P34" s="30">
        <f t="shared" si="1"/>
        <v>0</v>
      </c>
    </row>
    <row r="35" customHeight="1" spans="1:16">
      <c r="A35" s="27" t="s">
        <v>94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9">
        <f t="shared" si="3"/>
        <v>0</v>
      </c>
      <c r="P35" s="30">
        <f t="shared" si="1"/>
        <v>0</v>
      </c>
    </row>
    <row r="36" customHeight="1" spans="1:16">
      <c r="A36" s="27" t="s">
        <v>95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9">
        <f t="shared" si="3"/>
        <v>0</v>
      </c>
      <c r="P36" s="30">
        <f t="shared" si="1"/>
        <v>0</v>
      </c>
    </row>
    <row r="37" customHeight="1" spans="1:16">
      <c r="A37" s="27" t="s">
        <v>96</v>
      </c>
      <c r="B37" s="28">
        <v>5.1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9">
        <f t="shared" ref="O37:O83" si="5">SUM(C37:N37)</f>
        <v>0</v>
      </c>
      <c r="P37" s="30">
        <f t="shared" si="1"/>
        <v>0</v>
      </c>
    </row>
    <row r="38" customHeight="1" spans="1:16">
      <c r="A38" s="27" t="s">
        <v>97</v>
      </c>
      <c r="B38" s="28">
        <v>12.681688</v>
      </c>
      <c r="C38" s="28">
        <v>0.956411</v>
      </c>
      <c r="D38" s="28">
        <v>0.956411</v>
      </c>
      <c r="E38" s="28">
        <v>0.956411</v>
      </c>
      <c r="F38" s="28">
        <v>0.956411</v>
      </c>
      <c r="G38" s="28"/>
      <c r="H38" s="28"/>
      <c r="I38" s="28"/>
      <c r="J38" s="28"/>
      <c r="K38" s="28"/>
      <c r="L38" s="28"/>
      <c r="M38" s="28"/>
      <c r="N38" s="28"/>
      <c r="O38" s="29">
        <f t="shared" si="5"/>
        <v>3.825644</v>
      </c>
      <c r="P38" s="30">
        <f t="shared" si="1"/>
        <v>0.301666781267604</v>
      </c>
    </row>
    <row r="39" customHeight="1" spans="1:16">
      <c r="A39" s="27" t="s">
        <v>98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9">
        <f t="shared" si="5"/>
        <v>0</v>
      </c>
      <c r="P39" s="30">
        <f t="shared" si="1"/>
        <v>0</v>
      </c>
    </row>
    <row r="40" customHeight="1" spans="1:16">
      <c r="A40" s="27" t="s">
        <v>99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9">
        <f t="shared" si="5"/>
        <v>0</v>
      </c>
      <c r="P40" s="30">
        <f t="shared" si="1"/>
        <v>0</v>
      </c>
    </row>
    <row r="41" customHeight="1" spans="1:16">
      <c r="A41" s="27" t="s">
        <v>100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9">
        <f t="shared" si="5"/>
        <v>0</v>
      </c>
      <c r="P41" s="30">
        <f t="shared" si="1"/>
        <v>0</v>
      </c>
    </row>
    <row r="42" customHeight="1" spans="1:16">
      <c r="A42" s="27" t="s">
        <v>101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9">
        <f t="shared" si="5"/>
        <v>0</v>
      </c>
      <c r="P42" s="30">
        <f t="shared" si="1"/>
        <v>0</v>
      </c>
    </row>
    <row r="43" customHeight="1" spans="1:16">
      <c r="A43" s="27" t="s">
        <v>102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9">
        <f t="shared" si="5"/>
        <v>0</v>
      </c>
      <c r="P43" s="30">
        <f t="shared" si="1"/>
        <v>0</v>
      </c>
    </row>
    <row r="44" customHeight="1" spans="1:16">
      <c r="A44" s="32" t="s">
        <v>30</v>
      </c>
      <c r="B44" s="25">
        <f>B45+B78</f>
        <v>179.44</v>
      </c>
      <c r="C44" s="25">
        <f t="shared" ref="C44:N44" si="6">C45+C78</f>
        <v>0</v>
      </c>
      <c r="D44" s="25">
        <f t="shared" si="6"/>
        <v>0.007642</v>
      </c>
      <c r="E44" s="25">
        <f t="shared" si="6"/>
        <v>42.064971</v>
      </c>
      <c r="F44" s="25">
        <f t="shared" si="6"/>
        <v>0</v>
      </c>
      <c r="G44" s="25">
        <f t="shared" si="6"/>
        <v>0</v>
      </c>
      <c r="H44" s="25">
        <f t="shared" si="6"/>
        <v>0</v>
      </c>
      <c r="I44" s="25">
        <f t="shared" si="6"/>
        <v>0</v>
      </c>
      <c r="J44" s="25">
        <f t="shared" si="6"/>
        <v>0</v>
      </c>
      <c r="K44" s="25">
        <f t="shared" si="6"/>
        <v>0</v>
      </c>
      <c r="L44" s="25">
        <f t="shared" si="6"/>
        <v>0</v>
      </c>
      <c r="M44" s="25">
        <f t="shared" si="6"/>
        <v>0</v>
      </c>
      <c r="N44" s="25">
        <f t="shared" si="6"/>
        <v>0</v>
      </c>
      <c r="O44" s="25">
        <f t="shared" si="5"/>
        <v>42.072613</v>
      </c>
      <c r="P44" s="26">
        <f t="shared" si="1"/>
        <v>0.234466189255461</v>
      </c>
    </row>
    <row r="45" customHeight="1" spans="1:16">
      <c r="A45" s="25" t="s">
        <v>103</v>
      </c>
      <c r="B45" s="25">
        <f>SUM(B46:B77)</f>
        <v>179.44</v>
      </c>
      <c r="C45" s="25">
        <f t="shared" ref="C45:N45" si="7">SUM(C46:C77)</f>
        <v>0</v>
      </c>
      <c r="D45" s="25">
        <f t="shared" si="7"/>
        <v>0.007642</v>
      </c>
      <c r="E45" s="25">
        <f t="shared" si="7"/>
        <v>42.064971</v>
      </c>
      <c r="F45" s="25">
        <f t="shared" si="7"/>
        <v>0</v>
      </c>
      <c r="G45" s="25">
        <f t="shared" si="7"/>
        <v>0</v>
      </c>
      <c r="H45" s="25">
        <f t="shared" si="7"/>
        <v>0</v>
      </c>
      <c r="I45" s="25">
        <f t="shared" si="7"/>
        <v>0</v>
      </c>
      <c r="J45" s="25">
        <f t="shared" si="7"/>
        <v>0</v>
      </c>
      <c r="K45" s="25">
        <f t="shared" si="7"/>
        <v>0</v>
      </c>
      <c r="L45" s="25">
        <f t="shared" si="7"/>
        <v>0</v>
      </c>
      <c r="M45" s="25">
        <f t="shared" si="7"/>
        <v>0</v>
      </c>
      <c r="N45" s="25">
        <f t="shared" si="7"/>
        <v>0</v>
      </c>
      <c r="O45" s="25">
        <f t="shared" si="5"/>
        <v>42.072613</v>
      </c>
      <c r="P45" s="26">
        <f t="shared" si="1"/>
        <v>0.234466189255461</v>
      </c>
    </row>
    <row r="46" customHeight="1" spans="1:16">
      <c r="A46" s="27" t="s">
        <v>72</v>
      </c>
      <c r="B46" s="28">
        <v>0.09</v>
      </c>
      <c r="C46" s="28"/>
      <c r="D46" s="28">
        <v>0.007642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9">
        <f t="shared" si="5"/>
        <v>0.007642</v>
      </c>
      <c r="P46" s="30">
        <f t="shared" si="1"/>
        <v>0.0849111111111111</v>
      </c>
    </row>
    <row r="47" customHeight="1" spans="1:16">
      <c r="A47" s="27" t="s">
        <v>73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>
        <f t="shared" si="5"/>
        <v>0</v>
      </c>
      <c r="P47" s="30">
        <f t="shared" si="1"/>
        <v>0</v>
      </c>
    </row>
    <row r="48" customHeight="1" spans="1:16">
      <c r="A48" s="27" t="s">
        <v>74</v>
      </c>
      <c r="B48" s="28">
        <v>0.6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9">
        <f t="shared" si="5"/>
        <v>0</v>
      </c>
      <c r="P48" s="30">
        <f t="shared" si="1"/>
        <v>0</v>
      </c>
    </row>
    <row r="49" customHeight="1" spans="1:16">
      <c r="A49" s="27" t="s">
        <v>75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9">
        <f t="shared" si="5"/>
        <v>0</v>
      </c>
      <c r="P49" s="30">
        <f t="shared" si="1"/>
        <v>0</v>
      </c>
    </row>
    <row r="50" customHeight="1" spans="1:16">
      <c r="A50" s="27" t="s">
        <v>76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9">
        <f t="shared" si="5"/>
        <v>0</v>
      </c>
      <c r="P50" s="30">
        <f t="shared" si="1"/>
        <v>0</v>
      </c>
    </row>
    <row r="51" customHeight="1" spans="1:16">
      <c r="A51" s="27" t="s">
        <v>77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9">
        <f t="shared" si="5"/>
        <v>0</v>
      </c>
      <c r="P51" s="30">
        <f t="shared" si="1"/>
        <v>0</v>
      </c>
    </row>
    <row r="52" customHeight="1" spans="1:16">
      <c r="A52" s="27" t="s">
        <v>78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9">
        <f t="shared" si="5"/>
        <v>0</v>
      </c>
      <c r="P52" s="30">
        <f t="shared" si="1"/>
        <v>0</v>
      </c>
    </row>
    <row r="53" customHeight="1" spans="1:16">
      <c r="A53" s="27" t="s">
        <v>79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9">
        <f t="shared" si="5"/>
        <v>0</v>
      </c>
      <c r="P53" s="30">
        <f t="shared" si="1"/>
        <v>0</v>
      </c>
    </row>
    <row r="54" customHeight="1" spans="1:16">
      <c r="A54" s="27" t="s">
        <v>80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9">
        <f t="shared" si="5"/>
        <v>0</v>
      </c>
      <c r="P54" s="30">
        <f t="shared" si="1"/>
        <v>0</v>
      </c>
    </row>
    <row r="55" customHeight="1" spans="1:16">
      <c r="A55" s="27" t="s">
        <v>81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9">
        <f t="shared" si="5"/>
        <v>0</v>
      </c>
      <c r="P55" s="30">
        <f t="shared" si="1"/>
        <v>0</v>
      </c>
    </row>
    <row r="56" customHeight="1" spans="1:16">
      <c r="A56" s="27" t="s">
        <v>82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9">
        <f t="shared" si="5"/>
        <v>0</v>
      </c>
      <c r="P56" s="30">
        <f t="shared" si="1"/>
        <v>0</v>
      </c>
    </row>
    <row r="57" customHeight="1" spans="1:16">
      <c r="A57" s="27" t="s">
        <v>83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9">
        <f t="shared" si="5"/>
        <v>0</v>
      </c>
      <c r="P57" s="30">
        <f t="shared" si="1"/>
        <v>0</v>
      </c>
    </row>
    <row r="58" customHeight="1" spans="1:16">
      <c r="A58" s="27" t="s">
        <v>84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9">
        <f t="shared" si="5"/>
        <v>0</v>
      </c>
      <c r="P58" s="30">
        <f t="shared" si="1"/>
        <v>0</v>
      </c>
    </row>
    <row r="59" customHeight="1" spans="1:16">
      <c r="A59" s="27" t="s">
        <v>85</v>
      </c>
      <c r="B59" s="28">
        <v>4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9">
        <f t="shared" si="5"/>
        <v>0</v>
      </c>
      <c r="P59" s="30">
        <f t="shared" si="1"/>
        <v>0</v>
      </c>
    </row>
    <row r="60" customHeight="1" spans="1:16">
      <c r="A60" s="27" t="s">
        <v>86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9">
        <f t="shared" si="5"/>
        <v>0</v>
      </c>
      <c r="P60" s="30">
        <f t="shared" si="1"/>
        <v>0</v>
      </c>
    </row>
    <row r="61" customHeight="1" spans="1:16">
      <c r="A61" s="27" t="s">
        <v>87</v>
      </c>
      <c r="B61" s="28">
        <v>2.45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9">
        <f t="shared" si="5"/>
        <v>0</v>
      </c>
      <c r="P61" s="30">
        <f t="shared" si="1"/>
        <v>0</v>
      </c>
    </row>
    <row r="62" customHeight="1" spans="1:16">
      <c r="A62" s="27" t="s">
        <v>88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9">
        <f t="shared" si="5"/>
        <v>0</v>
      </c>
      <c r="P62" s="30">
        <f t="shared" si="1"/>
        <v>0</v>
      </c>
    </row>
    <row r="63" customHeight="1" spans="1:16">
      <c r="A63" s="27" t="s">
        <v>89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9">
        <f t="shared" si="5"/>
        <v>0</v>
      </c>
      <c r="P63" s="30">
        <f t="shared" si="1"/>
        <v>0</v>
      </c>
    </row>
    <row r="64" customHeight="1" spans="1:16">
      <c r="A64" s="27" t="s">
        <v>90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9">
        <f t="shared" si="5"/>
        <v>0</v>
      </c>
      <c r="P64" s="30">
        <f t="shared" si="1"/>
        <v>0</v>
      </c>
    </row>
    <row r="65" customHeight="1" spans="1:16">
      <c r="A65" s="27" t="s">
        <v>91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9">
        <f t="shared" si="5"/>
        <v>0</v>
      </c>
      <c r="P65" s="30">
        <f t="shared" si="1"/>
        <v>0</v>
      </c>
    </row>
    <row r="66" customHeight="1" spans="1:16">
      <c r="A66" s="27" t="s">
        <v>68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9">
        <f t="shared" si="5"/>
        <v>0</v>
      </c>
      <c r="P66" s="30">
        <f t="shared" si="1"/>
        <v>0</v>
      </c>
    </row>
    <row r="67" customHeight="1" spans="1:16">
      <c r="A67" s="27" t="s">
        <v>92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9">
        <f t="shared" si="5"/>
        <v>0</v>
      </c>
      <c r="P67" s="30">
        <f t="shared" si="1"/>
        <v>0</v>
      </c>
    </row>
    <row r="68" customHeight="1" spans="1:16">
      <c r="A68" s="27" t="s">
        <v>93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9">
        <f t="shared" si="5"/>
        <v>0</v>
      </c>
      <c r="P68" s="30">
        <f t="shared" ref="P68:P83" si="8">IFERROR(O68/B68,)</f>
        <v>0</v>
      </c>
    </row>
    <row r="69" customHeight="1" spans="1:16">
      <c r="A69" s="27" t="s">
        <v>94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9">
        <f t="shared" si="5"/>
        <v>0</v>
      </c>
      <c r="P69" s="30">
        <f t="shared" si="8"/>
        <v>0</v>
      </c>
    </row>
    <row r="70" customHeight="1" spans="1:16">
      <c r="A70" s="27" t="s">
        <v>95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9">
        <f t="shared" si="5"/>
        <v>0</v>
      </c>
      <c r="P70" s="30">
        <f t="shared" si="8"/>
        <v>0</v>
      </c>
    </row>
    <row r="71" customHeight="1" spans="1:16">
      <c r="A71" s="27" t="s">
        <v>96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9">
        <f t="shared" si="5"/>
        <v>0</v>
      </c>
      <c r="P71" s="30">
        <f t="shared" si="8"/>
        <v>0</v>
      </c>
    </row>
    <row r="72" customHeight="1" spans="1:16">
      <c r="A72" s="27" t="s">
        <v>97</v>
      </c>
      <c r="B72" s="28">
        <v>163.3</v>
      </c>
      <c r="C72" s="28"/>
      <c r="D72" s="28"/>
      <c r="E72" s="28">
        <v>42.064971</v>
      </c>
      <c r="F72" s="28"/>
      <c r="G72" s="28"/>
      <c r="H72" s="28"/>
      <c r="I72" s="28"/>
      <c r="J72" s="28"/>
      <c r="K72" s="28"/>
      <c r="L72" s="28"/>
      <c r="M72" s="28"/>
      <c r="N72" s="28"/>
      <c r="O72" s="29">
        <f t="shared" si="5"/>
        <v>42.064971</v>
      </c>
      <c r="P72" s="30">
        <f t="shared" si="8"/>
        <v>0.257593208818126</v>
      </c>
    </row>
    <row r="73" customHeight="1" spans="1:16">
      <c r="A73" s="27" t="s">
        <v>98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9">
        <f t="shared" si="5"/>
        <v>0</v>
      </c>
      <c r="P73" s="30">
        <f t="shared" si="8"/>
        <v>0</v>
      </c>
    </row>
    <row r="74" customHeight="1" spans="1:16">
      <c r="A74" s="27" t="s">
        <v>99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9">
        <f t="shared" si="5"/>
        <v>0</v>
      </c>
      <c r="P74" s="30">
        <f t="shared" si="8"/>
        <v>0</v>
      </c>
    </row>
    <row r="75" customHeight="1" spans="1:16">
      <c r="A75" s="27" t="s">
        <v>100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9">
        <f t="shared" si="5"/>
        <v>0</v>
      </c>
      <c r="P75" s="30">
        <f t="shared" si="8"/>
        <v>0</v>
      </c>
    </row>
    <row r="76" customHeight="1" spans="1:16">
      <c r="A76" s="27" t="s">
        <v>101</v>
      </c>
      <c r="B76" s="28">
        <v>9</v>
      </c>
      <c r="C76" s="28"/>
      <c r="D76" s="28"/>
      <c r="E76" s="28"/>
      <c r="F76" s="28"/>
      <c r="G76" s="28"/>
      <c r="H76" s="28"/>
      <c r="I76" s="28"/>
      <c r="J76" s="28"/>
      <c r="K76" s="28"/>
      <c r="L76" s="31"/>
      <c r="M76" s="28"/>
      <c r="N76" s="28"/>
      <c r="O76" s="29">
        <f t="shared" si="5"/>
        <v>0</v>
      </c>
      <c r="P76" s="30">
        <f t="shared" si="8"/>
        <v>0</v>
      </c>
    </row>
    <row r="77" customHeight="1" spans="1:16">
      <c r="A77" s="27" t="s">
        <v>102</v>
      </c>
      <c r="B77" s="28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9">
        <f t="shared" si="5"/>
        <v>0</v>
      </c>
      <c r="P77" s="30">
        <f t="shared" si="8"/>
        <v>0</v>
      </c>
    </row>
    <row r="78" customHeight="1" spans="1:16">
      <c r="A78" s="25" t="s">
        <v>104</v>
      </c>
      <c r="B78" s="25">
        <f>SUM(B79:B83)</f>
        <v>0</v>
      </c>
      <c r="C78" s="25">
        <f t="shared" ref="C78:N78" si="9">SUM(C79:C83)</f>
        <v>0</v>
      </c>
      <c r="D78" s="25">
        <f t="shared" si="9"/>
        <v>0</v>
      </c>
      <c r="E78" s="25">
        <f t="shared" si="9"/>
        <v>0</v>
      </c>
      <c r="F78" s="25">
        <f t="shared" si="9"/>
        <v>0</v>
      </c>
      <c r="G78" s="25">
        <f t="shared" si="9"/>
        <v>0</v>
      </c>
      <c r="H78" s="25">
        <f t="shared" si="9"/>
        <v>0</v>
      </c>
      <c r="I78" s="25">
        <f t="shared" si="9"/>
        <v>0</v>
      </c>
      <c r="J78" s="25">
        <f t="shared" si="9"/>
        <v>0</v>
      </c>
      <c r="K78" s="25">
        <f t="shared" si="9"/>
        <v>0</v>
      </c>
      <c r="L78" s="25">
        <f t="shared" si="9"/>
        <v>0</v>
      </c>
      <c r="M78" s="25">
        <f t="shared" si="9"/>
        <v>0</v>
      </c>
      <c r="N78" s="25">
        <f t="shared" si="9"/>
        <v>0</v>
      </c>
      <c r="O78" s="25">
        <f t="shared" si="5"/>
        <v>0</v>
      </c>
      <c r="P78" s="26">
        <f t="shared" si="8"/>
        <v>0</v>
      </c>
    </row>
    <row r="79" customHeight="1" spans="1:16">
      <c r="A79" s="27" t="s">
        <v>105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31"/>
      <c r="M79" s="28"/>
      <c r="N79" s="28"/>
      <c r="O79" s="25">
        <f t="shared" si="5"/>
        <v>0</v>
      </c>
      <c r="P79" s="30"/>
    </row>
    <row r="80" customHeight="1" spans="1:16">
      <c r="A80" s="27" t="s">
        <v>106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9">
        <f t="shared" si="5"/>
        <v>0</v>
      </c>
      <c r="P80" s="30">
        <f t="shared" si="8"/>
        <v>0</v>
      </c>
    </row>
    <row r="81" customHeight="1" spans="1:16">
      <c r="A81" s="27" t="s">
        <v>107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9">
        <f t="shared" si="5"/>
        <v>0</v>
      </c>
      <c r="P81" s="30">
        <f t="shared" si="8"/>
        <v>0</v>
      </c>
    </row>
    <row r="82" customHeight="1" spans="1:16">
      <c r="A82" s="27" t="s">
        <v>108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9">
        <f t="shared" si="5"/>
        <v>0</v>
      </c>
      <c r="P82" s="30">
        <f t="shared" si="8"/>
        <v>0</v>
      </c>
    </row>
    <row r="83" customHeight="1" spans="1:16">
      <c r="A83" s="27" t="s">
        <v>109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9">
        <f t="shared" si="5"/>
        <v>0</v>
      </c>
      <c r="P83" s="30">
        <f t="shared" si="8"/>
        <v>0</v>
      </c>
    </row>
    <row r="85" customHeight="1" spans="1:16">
      <c r="A85" s="12" t="s">
        <v>110</v>
      </c>
      <c r="B85" s="13"/>
    </row>
  </sheetData>
  <mergeCells count="6">
    <mergeCell ref="A1:P1"/>
    <mergeCell ref="C2:N2"/>
    <mergeCell ref="A2:A3"/>
    <mergeCell ref="B2:B3"/>
    <mergeCell ref="O2:O3"/>
    <mergeCell ref="P2:P3"/>
  </mergeCells>
  <pageMargins left="0.748031496062992" right="0.748031496062992" top="0.984251968503937" bottom="0.984251968503937" header="0.511811023622047" footer="0.511811023622047"/>
  <pageSetup paperSize="9" scale="91" fitToHeight="0" orientation="landscape"/>
  <headerFooter/>
  <ignoredErrors>
    <ignoredError sqref="O2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K27" sqref="K27"/>
    </sheetView>
  </sheetViews>
  <sheetFormatPr defaultColWidth="8.90833333333333" defaultRowHeight="16" customHeight="1"/>
  <cols>
    <col min="1" max="2" width="15.4583333333333" customWidth="1"/>
    <col min="3" max="3" width="55" customWidth="1"/>
    <col min="4" max="8" width="15.4583333333333" customWidth="1"/>
  </cols>
  <sheetData>
    <row r="1" s="1" customFormat="1" ht="32.15" customHeight="1" spans="1:16">
      <c r="A1" s="3" t="s">
        <v>111</v>
      </c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</row>
    <row r="2" customHeight="1" spans="1:16">
      <c r="A2" s="5" t="s">
        <v>112</v>
      </c>
      <c r="B2" s="5" t="s">
        <v>113</v>
      </c>
      <c r="C2" s="5" t="s">
        <v>114</v>
      </c>
      <c r="D2" s="5" t="s">
        <v>115</v>
      </c>
      <c r="E2" s="5" t="s">
        <v>116</v>
      </c>
      <c r="F2" s="5" t="s">
        <v>117</v>
      </c>
      <c r="G2" s="6" t="s">
        <v>3</v>
      </c>
      <c r="H2" s="6" t="s">
        <v>5</v>
      </c>
    </row>
    <row r="3" s="2" customFormat="1" customHeight="1" spans="1:16">
      <c r="A3" s="7" t="s">
        <v>118</v>
      </c>
      <c r="B3" s="7" t="s">
        <v>119</v>
      </c>
      <c r="C3" s="8"/>
      <c r="D3" s="9"/>
      <c r="E3" s="9"/>
      <c r="F3" s="9"/>
      <c r="G3" s="9"/>
      <c r="H3" s="9">
        <f>F3</f>
        <v>0</v>
      </c>
    </row>
    <row r="4" s="2" customFormat="1" customHeight="1" spans="1:16">
      <c r="A4" s="7"/>
      <c r="B4" s="7"/>
      <c r="C4" s="8"/>
      <c r="D4" s="9"/>
      <c r="E4" s="9"/>
      <c r="F4" s="9"/>
      <c r="G4" s="9"/>
      <c r="H4" s="9">
        <f t="shared" ref="H4:H12" si="0">F4</f>
        <v>0</v>
      </c>
    </row>
    <row r="5" s="2" customFormat="1" customHeight="1" spans="1:16">
      <c r="A5" s="7"/>
      <c r="B5" s="7"/>
      <c r="C5" s="8"/>
      <c r="D5" s="9"/>
      <c r="E5" s="9"/>
      <c r="F5" s="9"/>
      <c r="G5" s="9"/>
      <c r="H5" s="9">
        <f t="shared" si="0"/>
        <v>0</v>
      </c>
    </row>
    <row r="6" s="2" customFormat="1" customHeight="1" spans="1:16">
      <c r="A6" s="7"/>
      <c r="B6" s="7"/>
      <c r="C6" s="8"/>
      <c r="D6" s="9"/>
      <c r="E6" s="9"/>
      <c r="F6" s="9"/>
      <c r="G6" s="9"/>
      <c r="H6" s="9">
        <f t="shared" si="0"/>
        <v>0</v>
      </c>
    </row>
    <row r="7" s="2" customFormat="1" customHeight="1" spans="1:16">
      <c r="A7" s="7"/>
      <c r="B7" s="7"/>
      <c r="C7" s="8"/>
      <c r="D7" s="9"/>
      <c r="E7" s="9"/>
      <c r="F7" s="9"/>
      <c r="G7" s="9"/>
      <c r="H7" s="9">
        <f t="shared" si="0"/>
        <v>0</v>
      </c>
    </row>
    <row r="8" s="2" customFormat="1" customHeight="1" spans="1:16">
      <c r="A8" s="7"/>
      <c r="B8" s="7"/>
      <c r="C8" s="8"/>
      <c r="D8" s="9"/>
      <c r="E8" s="9"/>
      <c r="F8" s="9"/>
      <c r="G8" s="9"/>
      <c r="H8" s="9">
        <f t="shared" si="0"/>
        <v>0</v>
      </c>
    </row>
    <row r="9" s="2" customFormat="1" customHeight="1" spans="1:16">
      <c r="A9" s="7"/>
      <c r="B9" s="7"/>
      <c r="C9" s="8"/>
      <c r="D9" s="9"/>
      <c r="E9" s="9"/>
      <c r="F9" s="9"/>
      <c r="G9" s="9"/>
      <c r="H9" s="9">
        <f t="shared" si="0"/>
        <v>0</v>
      </c>
    </row>
    <row r="10" s="2" customFormat="1" customHeight="1" spans="1:16">
      <c r="A10" s="7"/>
      <c r="B10" s="7"/>
      <c r="C10" s="8"/>
      <c r="D10" s="9"/>
      <c r="E10" s="9"/>
      <c r="F10" s="9"/>
      <c r="G10" s="9"/>
      <c r="H10" s="9">
        <f t="shared" si="0"/>
        <v>0</v>
      </c>
    </row>
    <row r="11" s="2" customFormat="1" customHeight="1" spans="1:16">
      <c r="A11" s="7"/>
      <c r="B11" s="7"/>
      <c r="C11" s="8"/>
      <c r="D11" s="9"/>
      <c r="E11" s="9"/>
      <c r="F11" s="9"/>
      <c r="G11" s="9"/>
      <c r="H11" s="9">
        <f t="shared" si="0"/>
        <v>0</v>
      </c>
    </row>
    <row r="12" s="2" customFormat="1" customHeight="1" spans="1:16">
      <c r="A12" s="7"/>
      <c r="B12" s="7"/>
      <c r="C12" s="8"/>
      <c r="D12" s="9"/>
      <c r="E12" s="9"/>
      <c r="F12" s="9"/>
      <c r="G12" s="9"/>
      <c r="H12" s="9">
        <f t="shared" si="0"/>
        <v>0</v>
      </c>
    </row>
    <row r="13" s="2" customFormat="1" customHeight="1" spans="1:16">
      <c r="A13" s="7"/>
      <c r="B13" s="7"/>
      <c r="C13" s="9"/>
      <c r="D13" s="9"/>
      <c r="E13" s="9"/>
      <c r="F13" s="9"/>
      <c r="G13" s="9"/>
      <c r="H13" s="9"/>
    </row>
    <row r="14" s="2" customFormat="1" customHeight="1" spans="1:16">
      <c r="A14" s="7"/>
      <c r="B14" s="7"/>
      <c r="C14" s="9"/>
      <c r="D14" s="9"/>
      <c r="E14" s="9"/>
      <c r="F14" s="9"/>
      <c r="G14" s="9"/>
      <c r="H14" s="9"/>
    </row>
    <row r="15" customHeight="1" spans="1:16">
      <c r="A15" s="10" t="s">
        <v>120</v>
      </c>
      <c r="B15" s="10"/>
      <c r="C15" s="10"/>
      <c r="D15" s="10"/>
      <c r="E15" s="10"/>
      <c r="F15" s="10"/>
      <c r="G15" s="11">
        <f>SUM(G3:G14)</f>
        <v>0</v>
      </c>
      <c r="H15" s="11">
        <f>SUM(H3:H14)</f>
        <v>0</v>
      </c>
    </row>
    <row r="17" customHeight="1" spans="1:2">
      <c r="A17" s="12" t="s">
        <v>110</v>
      </c>
      <c r="B17" s="13"/>
    </row>
  </sheetData>
  <mergeCells count="4">
    <mergeCell ref="A1:H1"/>
    <mergeCell ref="A15:F15"/>
    <mergeCell ref="A3:A14"/>
    <mergeCell ref="B3:B1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指标统计</vt:lpstr>
      <vt:lpstr>预算执行汇总</vt:lpstr>
      <vt:lpstr>费用预算执行明细</vt:lpstr>
      <vt:lpstr>资本性支出计划与执行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youhu</dc:creator>
  <cp:lastModifiedBy>小小dada</cp:lastModifiedBy>
  <dcterms:created xsi:type="dcterms:W3CDTF">2023-12-28T04:28:00Z</dcterms:created>
  <cp:lastPrinted>2024-11-06T04:14:00Z</cp:lastPrinted>
  <dcterms:modified xsi:type="dcterms:W3CDTF">2026-05-08T01:22:40Z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740C751E201A4DAA95E09953EE06D517_13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