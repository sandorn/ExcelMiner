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指标统计" sheetId="5" r:id="rId1"/>
    <sheet name="预算执行汇总" sheetId="3" r:id="rId2"/>
    <sheet name="费用预算执行明细" sheetId="2" r:id="rId3"/>
    <sheet name="资本性支出计划与执行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甘霖霖</author>
  </authors>
  <commentList>
    <comment ref="C5" authorId="0">
      <text>
        <r>
          <rPr>
            <b/>
            <sz val="9"/>
            <rFont val="宋体"/>
            <charset val="134"/>
          </rPr>
          <t>甘霖霖:</t>
        </r>
        <r>
          <rPr>
            <sz val="9"/>
            <rFont val="宋体"/>
            <charset val="134"/>
          </rPr>
          <t xml:space="preserve">
不考虑土增清算事项</t>
        </r>
      </text>
    </comment>
    <comment ref="C6" authorId="0">
      <text>
        <r>
          <rPr>
            <b/>
            <sz val="9"/>
            <rFont val="宋体"/>
            <charset val="134"/>
          </rPr>
          <t>甘霖霖:</t>
        </r>
        <r>
          <rPr>
            <sz val="9"/>
            <rFont val="宋体"/>
            <charset val="134"/>
          </rPr>
          <t xml:space="preserve">
不考虑土增清算事项</t>
        </r>
      </text>
    </comment>
  </commentList>
</comments>
</file>

<file path=xl/comments2.xml><?xml version="1.0" encoding="utf-8"?>
<comments xmlns="http://schemas.openxmlformats.org/spreadsheetml/2006/main">
  <authors>
    <author>甘霖霖</author>
  </authors>
  <commentList>
    <comment ref="B8" authorId="0">
      <text>
        <r>
          <rPr>
            <b/>
            <sz val="9"/>
            <rFont val="宋体"/>
            <charset val="134"/>
          </rPr>
          <t>甘霖霖:</t>
        </r>
        <r>
          <rPr>
            <sz val="9"/>
            <rFont val="宋体"/>
            <charset val="134"/>
          </rPr>
          <t xml:space="preserve">
不包含土增清算咨询服务费60万元</t>
        </r>
      </text>
    </comment>
    <comment ref="B15" authorId="0">
      <text>
        <r>
          <rPr>
            <b/>
            <sz val="9"/>
            <rFont val="宋体"/>
            <charset val="134"/>
          </rPr>
          <t>甘霖霖:</t>
        </r>
        <r>
          <rPr>
            <sz val="9"/>
            <rFont val="宋体"/>
            <charset val="134"/>
          </rPr>
          <t xml:space="preserve">
不包含土增清算税款返还600万元</t>
        </r>
      </text>
    </comment>
  </commentList>
</comments>
</file>

<file path=xl/sharedStrings.xml><?xml version="1.0" encoding="utf-8"?>
<sst xmlns="http://schemas.openxmlformats.org/spreadsheetml/2006/main" count="214" uniqueCount="134">
  <si>
    <t>哈尔滨君康春夏秋冬置业有限公司2026年经营指标统计表</t>
  </si>
  <si>
    <t>指标</t>
  </si>
  <si>
    <t>项目</t>
  </si>
  <si>
    <t>2026年预算</t>
  </si>
  <si>
    <t>2026年执行情况</t>
  </si>
  <si>
    <t>2026年实际</t>
  </si>
  <si>
    <t>执行率</t>
  </si>
  <si>
    <t>指标说明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</si>
  <si>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</si>
  <si>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</si>
  <si>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</si>
  <si>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</si>
  <si>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</si>
  <si>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</si>
  <si>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</si>
  <si>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</si>
  <si>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</si>
  <si>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</si>
  <si>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</si>
  <si>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</si>
  <si>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经营指标</t>
  </si>
  <si>
    <t>营业收入</t>
  </si>
  <si>
    <t>EBITDA/GOP/扣非净利润</t>
  </si>
  <si>
    <t>EBITDA（商写适用）/GOP（酒店适用）/扣非净利润（保险中介适用）</t>
  </si>
  <si>
    <t>经营活动净现金流</t>
  </si>
  <si>
    <t>财务指标</t>
  </si>
  <si>
    <t>经营支出小计</t>
  </si>
  <si>
    <t>固定费用</t>
  </si>
  <si>
    <t>人力费用</t>
  </si>
  <si>
    <t>日常费用</t>
  </si>
  <si>
    <t>变动费用</t>
  </si>
  <si>
    <t>经营变动费用</t>
  </si>
  <si>
    <t>营业成本</t>
  </si>
  <si>
    <t>资本性支出</t>
  </si>
  <si>
    <t>业务指标</t>
  </si>
  <si>
    <t>期末出租率/月均入住率</t>
  </si>
  <si>
    <t>期末出租率(商写适用)/月均入住率(酒店适用)</t>
  </si>
  <si>
    <t>回款率</t>
  </si>
  <si>
    <t>商写及酒店适用</t>
  </si>
  <si>
    <t>OTA网络评价</t>
  </si>
  <si>
    <t>酒店适用</t>
  </si>
  <si>
    <t>期交规保</t>
  </si>
  <si>
    <t>保险中介适用</t>
  </si>
  <si>
    <t>13月继续率</t>
  </si>
  <si>
    <t>25月继续率</t>
  </si>
  <si>
    <t>备注</t>
  </si>
  <si>
    <t>EBITDA=营业收入-固定费用-变动费用-税金及附加</t>
  </si>
  <si>
    <t>GOP=营业收入-固定费用-变动费用-财务费用（不含利息费用）</t>
  </si>
  <si>
    <t>需填列单元格</t>
  </si>
  <si>
    <t>哈尔滨君康春夏秋冬置业有限公司2026年预算执行情况汇总表</t>
  </si>
  <si>
    <t xml:space="preserve"> 固定费用</t>
  </si>
  <si>
    <t xml:space="preserve">  人力费用</t>
  </si>
  <si>
    <t xml:space="preserve">  日常费用</t>
  </si>
  <si>
    <t xml:space="preserve">  经营变动费用支出</t>
  </si>
  <si>
    <t xml:space="preserve">  营业成本支出</t>
  </si>
  <si>
    <t>折旧摊销</t>
  </si>
  <si>
    <t>财务费用</t>
  </si>
  <si>
    <t>税金及附加</t>
  </si>
  <si>
    <t>变动费用率</t>
  </si>
  <si>
    <t>EBITDA</t>
  </si>
  <si>
    <t>GOP</t>
  </si>
  <si>
    <t>哈尔滨君康春夏秋冬置业有限公司2026年预算执行情况明细表</t>
  </si>
  <si>
    <t>2026年预算执行情况</t>
  </si>
  <si>
    <t>单位：万元</t>
  </si>
  <si>
    <t>人力费用合计</t>
  </si>
  <si>
    <t>固定工资</t>
  </si>
  <si>
    <t>绩效工资</t>
  </si>
  <si>
    <t>奖金</t>
  </si>
  <si>
    <t>福利费</t>
  </si>
  <si>
    <t>工会经费</t>
  </si>
  <si>
    <t>招聘费</t>
  </si>
  <si>
    <t>社会保险费</t>
  </si>
  <si>
    <t>住房公积金</t>
  </si>
  <si>
    <t>固定费用支出合计</t>
  </si>
  <si>
    <t>邮寄费</t>
  </si>
  <si>
    <t>差旅费</t>
  </si>
  <si>
    <t>业务招待费</t>
  </si>
  <si>
    <t>汽车费</t>
  </si>
  <si>
    <t>低值易耗品及修理费</t>
  </si>
  <si>
    <t>信息系统费</t>
  </si>
  <si>
    <t>通讯费</t>
  </si>
  <si>
    <t>交通费</t>
  </si>
  <si>
    <t>办公费</t>
  </si>
  <si>
    <t>会议费</t>
  </si>
  <si>
    <t>水电费</t>
  </si>
  <si>
    <t>培训费</t>
  </si>
  <si>
    <t>展览费</t>
  </si>
  <si>
    <t>广告宣传费</t>
  </si>
  <si>
    <t>咨询服务费</t>
  </si>
  <si>
    <t>法律诉讼费</t>
  </si>
  <si>
    <t>工作餐费</t>
  </si>
  <si>
    <t>报关及代理费</t>
  </si>
  <si>
    <t>研究开发费</t>
  </si>
  <si>
    <t>质检认证费</t>
  </si>
  <si>
    <t>排污费</t>
  </si>
  <si>
    <t>社保服务费</t>
  </si>
  <si>
    <t>劳动保护费</t>
  </si>
  <si>
    <t>残疾人就业保障金</t>
  </si>
  <si>
    <t>财产保险费</t>
  </si>
  <si>
    <t>房租及物业费</t>
  </si>
  <si>
    <t>取暖费</t>
  </si>
  <si>
    <t>存货盘存</t>
  </si>
  <si>
    <t>销售代理费</t>
  </si>
  <si>
    <t>销售佣金</t>
  </si>
  <si>
    <t>其他</t>
  </si>
  <si>
    <t>变动费用支出合计</t>
  </si>
  <si>
    <t>开办费</t>
  </si>
  <si>
    <t>营业成本支出合计</t>
  </si>
  <si>
    <t>空置房物业费</t>
  </si>
  <si>
    <t>客房成本</t>
  </si>
  <si>
    <t>餐饮成本</t>
  </si>
  <si>
    <t>会务成本</t>
  </si>
  <si>
    <t>中厨房外包人力成本</t>
  </si>
  <si>
    <t>折旧费</t>
  </si>
  <si>
    <t>需填列</t>
  </si>
  <si>
    <t>哈尔滨君康春夏秋冬置业有限公司2026年资本性支出执行情况明细表</t>
  </si>
  <si>
    <t>资产类别</t>
  </si>
  <si>
    <t>资产类型</t>
  </si>
  <si>
    <t>资产名称</t>
  </si>
  <si>
    <t>数量</t>
  </si>
  <si>
    <t>单价</t>
  </si>
  <si>
    <t>金额</t>
  </si>
  <si>
    <t>固定资产</t>
  </si>
  <si>
    <t>办公通讯设备</t>
  </si>
  <si>
    <t>电脑</t>
  </si>
  <si>
    <t>彩色打印机</t>
  </si>
  <si>
    <t>笔记本电脑</t>
  </si>
  <si>
    <t>无形资产</t>
  </si>
  <si>
    <t>业务系统</t>
  </si>
  <si>
    <t>线上推广与在线选房平台小程序</t>
  </si>
  <si>
    <t>长期待摊费用</t>
  </si>
  <si>
    <t>项目公司自持房源空调维护、维修</t>
  </si>
  <si>
    <t>更换“君康大厦”标识</t>
  </si>
  <si>
    <t>资本性支出合计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</si>
</sst>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€-2]* #,##0.00_-;\-[$€-2]* #,##0.00_-;_-[$€-2]* &quot;-&quot;??_-"/>
    <numFmt numFmtId="177" formatCode="_(* #,##0.00_);_(* \(#,##0.00\);_(* &quot;-&quot;??_);_(@_)"/>
    <numFmt numFmtId="178" formatCode="yyyy&quot;年&quot;m&quot;月&quot;;@"/>
    <numFmt numFmtId="179" formatCode="_ * #,##0.00%_ ;[Red]_ * \-#,##0.00%_ ;_ * &quot;-&quot;??_ ;_ @_ "/>
    <numFmt numFmtId="180" formatCode="_ * #,##0.00_ ;[Red]_ * \-#,##0.00_ ;_ * &quot;-&quot;??_ ;_ @_ "/>
  </numFmts>
  <fonts count="55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2"/>
      <color theme="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rgb="FF000000"/>
      <name val="等距更纱黑体 Slab SC"/>
      <charset val="134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10"/>
      <color rgb="FF000000"/>
      <name val="等距更纱黑体 Slab SC"/>
      <charset val="134"/>
    </font>
    <font>
      <sz val="8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等线"/>
      <charset val="134"/>
    </font>
    <font>
      <sz val="12"/>
      <name val="Arial"/>
      <family val="2"/>
      <charset val="0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72380748924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11" borderId="12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41" fillId="13" borderId="16" applyNumberFormat="0" applyAlignment="0" applyProtection="0">
      <alignment vertical="center"/>
    </xf>
    <xf numFmtId="0" fontId="42" fillId="13" borderId="15" applyNumberFormat="0" applyAlignment="0" applyProtection="0">
      <alignment vertical="center"/>
    </xf>
    <xf numFmtId="0" fontId="43" fillId="14" borderId="17" applyNumberFormat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176" fontId="50" fillId="0" borderId="0">
      <alignment vertical="center"/>
    </xf>
    <xf numFmtId="0" fontId="51" fillId="0" borderId="0"/>
    <xf numFmtId="176" fontId="50" fillId="0" borderId="0">
      <alignment vertical="center"/>
    </xf>
    <xf numFmtId="176" fontId="52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177" fontId="50" fillId="0" borderId="0" applyFon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1" xfId="53" applyNumberFormat="1" applyFont="1" applyFill="1" applyBorder="1" applyAlignment="1">
      <alignment horizontal="center" vertical="center" wrapText="1"/>
    </xf>
    <xf numFmtId="0" fontId="4" fillId="2" borderId="1" xfId="53" applyNumberFormat="1" applyFont="1" applyFill="1" applyBorder="1" applyAlignment="1">
      <alignment horizontal="center" vertical="center"/>
    </xf>
    <xf numFmtId="0" fontId="5" fillId="0" borderId="1" xfId="53" applyNumberFormat="1" applyFont="1" applyFill="1" applyBorder="1" applyAlignment="1">
      <alignment horizontal="center" vertical="center" wrapText="1"/>
    </xf>
    <xf numFmtId="43" fontId="5" fillId="3" borderId="1" xfId="53" applyFont="1" applyFill="1" applyBorder="1" applyAlignment="1">
      <alignment horizontal="left" vertical="center"/>
    </xf>
    <xf numFmtId="43" fontId="5" fillId="3" borderId="1" xfId="53" applyFont="1" applyFill="1" applyBorder="1" applyAlignment="1">
      <alignment horizontal="center" vertical="center"/>
    </xf>
    <xf numFmtId="0" fontId="6" fillId="4" borderId="1" xfId="53" applyNumberFormat="1" applyFont="1" applyFill="1" applyBorder="1" applyAlignment="1">
      <alignment horizontal="center"/>
    </xf>
    <xf numFmtId="43" fontId="6" fillId="5" borderId="1" xfId="53" applyNumberFormat="1" applyFont="1" applyFill="1" applyBorder="1" applyAlignment="1"/>
    <xf numFmtId="0" fontId="6" fillId="5" borderId="1" xfId="53" applyNumberFormat="1" applyFont="1" applyFill="1" applyBorder="1" applyAlignment="1"/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0" fontId="10" fillId="0" borderId="0" xfId="3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178" fontId="4" fillId="2" borderId="2" xfId="0" applyNumberFormat="1" applyFont="1" applyFill="1" applyBorder="1" applyAlignment="1">
      <alignment horizontal="center" vertical="center"/>
    </xf>
    <xf numFmtId="178" fontId="4" fillId="2" borderId="3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43" fontId="6" fillId="6" borderId="1" xfId="0" applyNumberFormat="1" applyFont="1" applyFill="1" applyBorder="1">
      <alignment vertical="center"/>
    </xf>
    <xf numFmtId="10" fontId="6" fillId="6" borderId="1" xfId="3" applyNumberFormat="1" applyFont="1" applyFill="1" applyBorder="1">
      <alignment vertical="center"/>
    </xf>
    <xf numFmtId="43" fontId="12" fillId="7" borderId="1" xfId="0" applyNumberFormat="1" applyFont="1" applyFill="1" applyBorder="1">
      <alignment vertical="center"/>
    </xf>
    <xf numFmtId="43" fontId="12" fillId="3" borderId="1" xfId="0" applyNumberFormat="1" applyFont="1" applyFill="1" applyBorder="1">
      <alignment vertical="center"/>
    </xf>
    <xf numFmtId="43" fontId="13" fillId="3" borderId="1" xfId="0" applyNumberFormat="1" applyFont="1" applyFill="1" applyBorder="1">
      <alignment vertical="center"/>
    </xf>
    <xf numFmtId="43" fontId="12" fillId="5" borderId="1" xfId="0" applyNumberFormat="1" applyFont="1" applyFill="1" applyBorder="1">
      <alignment vertical="center"/>
    </xf>
    <xf numFmtId="10" fontId="12" fillId="5" borderId="1" xfId="3" applyNumberFormat="1" applyFont="1" applyFill="1" applyBorder="1">
      <alignment vertical="center"/>
    </xf>
    <xf numFmtId="0" fontId="6" fillId="6" borderId="1" xfId="0" applyFont="1" applyFill="1" applyBorder="1">
      <alignment vertical="center"/>
    </xf>
    <xf numFmtId="43" fontId="14" fillId="3" borderId="1" xfId="0" applyNumberFormat="1" applyFont="1" applyFill="1" applyBorder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10" fontId="0" fillId="0" borderId="0" xfId="3" applyNumberFormat="1" applyFont="1">
      <alignment vertical="center"/>
    </xf>
    <xf numFmtId="43" fontId="6" fillId="3" borderId="1" xfId="0" applyNumberFormat="1" applyFont="1" applyFill="1" applyBorder="1">
      <alignment vertical="center"/>
    </xf>
    <xf numFmtId="0" fontId="12" fillId="5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43" fontId="5" fillId="6" borderId="1" xfId="0" applyNumberFormat="1" applyFont="1" applyFill="1" applyBorder="1">
      <alignment vertical="center"/>
    </xf>
    <xf numFmtId="43" fontId="5" fillId="3" borderId="1" xfId="0" applyNumberFormat="1" applyFont="1" applyFill="1" applyBorder="1">
      <alignment vertical="center"/>
    </xf>
    <xf numFmtId="0" fontId="12" fillId="0" borderId="1" xfId="0" applyFont="1" applyBorder="1">
      <alignment vertical="center"/>
    </xf>
    <xf numFmtId="10" fontId="6" fillId="0" borderId="1" xfId="3" applyNumberFormat="1" applyFont="1" applyBorder="1">
      <alignment vertical="center"/>
    </xf>
    <xf numFmtId="0" fontId="6" fillId="6" borderId="4" xfId="0" applyFont="1" applyFill="1" applyBorder="1">
      <alignment vertical="center"/>
    </xf>
    <xf numFmtId="43" fontId="6" fillId="6" borderId="5" xfId="0" applyNumberFormat="1" applyFont="1" applyFill="1" applyBorder="1">
      <alignment vertical="center"/>
    </xf>
    <xf numFmtId="43" fontId="6" fillId="6" borderId="6" xfId="0" applyNumberFormat="1" applyFont="1" applyFill="1" applyBorder="1">
      <alignment vertical="center"/>
    </xf>
    <xf numFmtId="43" fontId="6" fillId="6" borderId="7" xfId="0" applyNumberFormat="1" applyFont="1" applyFill="1" applyBorder="1">
      <alignment vertical="center"/>
    </xf>
    <xf numFmtId="43" fontId="6" fillId="6" borderId="8" xfId="0" applyNumberFormat="1" applyFont="1" applyFill="1" applyBorder="1">
      <alignment vertical="center"/>
    </xf>
    <xf numFmtId="10" fontId="7" fillId="0" borderId="0" xfId="3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10" fontId="23" fillId="2" borderId="1" xfId="3" applyNumberFormat="1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left" vertical="center" wrapText="1"/>
    </xf>
    <xf numFmtId="179" fontId="6" fillId="6" borderId="1" xfId="3" applyNumberFormat="1" applyFont="1" applyFill="1" applyBorder="1">
      <alignment vertical="center"/>
    </xf>
    <xf numFmtId="0" fontId="25" fillId="0" borderId="1" xfId="0" applyFont="1" applyBorder="1" applyAlignment="1">
      <alignment vertical="center" wrapText="1"/>
    </xf>
    <xf numFmtId="0" fontId="6" fillId="8" borderId="10" xfId="0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 wrapText="1" shrinkToFit="1"/>
    </xf>
    <xf numFmtId="0" fontId="6" fillId="8" borderId="11" xfId="0" applyFont="1" applyFill="1" applyBorder="1" applyAlignment="1">
      <alignment horizontal="center" vertical="center"/>
    </xf>
    <xf numFmtId="43" fontId="6" fillId="9" borderId="1" xfId="0" applyNumberFormat="1" applyFont="1" applyFill="1" applyBorder="1">
      <alignment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left" vertical="center" wrapText="1" indent="1"/>
    </xf>
    <xf numFmtId="0" fontId="27" fillId="8" borderId="1" xfId="0" applyFont="1" applyFill="1" applyBorder="1" applyAlignment="1">
      <alignment horizontal="left" vertical="center" wrapText="1" indent="2"/>
    </xf>
    <xf numFmtId="43" fontId="12" fillId="8" borderId="1" xfId="0" applyNumberFormat="1" applyFont="1" applyFill="1" applyBorder="1">
      <alignment vertical="center"/>
    </xf>
    <xf numFmtId="0" fontId="26" fillId="0" borderId="1" xfId="0" applyFont="1" applyBorder="1" applyAlignment="1">
      <alignment vertical="center" wrapText="1"/>
    </xf>
    <xf numFmtId="43" fontId="6" fillId="8" borderId="1" xfId="0" applyNumberFormat="1" applyFont="1" applyFill="1" applyBorder="1">
      <alignment vertical="center"/>
    </xf>
    <xf numFmtId="0" fontId="6" fillId="6" borderId="11" xfId="0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9" fillId="8" borderId="1" xfId="0" applyFont="1" applyFill="1" applyBorder="1" applyAlignment="1">
      <alignment horizontal="center" vertical="center" wrapText="1"/>
    </xf>
    <xf numFmtId="179" fontId="30" fillId="10" borderId="1" xfId="0" applyNumberFormat="1" applyFont="1" applyFill="1" applyBorder="1">
      <alignment vertical="center"/>
    </xf>
    <xf numFmtId="179" fontId="30" fillId="9" borderId="1" xfId="0" applyNumberFormat="1" applyFont="1" applyFill="1" applyBorder="1">
      <alignment vertical="center"/>
    </xf>
    <xf numFmtId="10" fontId="30" fillId="9" borderId="1" xfId="3" applyNumberFormat="1" applyFont="1" applyFill="1" applyBorder="1" applyAlignment="1" applyProtection="1">
      <alignment vertical="center"/>
    </xf>
    <xf numFmtId="180" fontId="30" fillId="10" borderId="1" xfId="0" applyNumberFormat="1" applyFont="1" applyFill="1" applyBorder="1">
      <alignment vertical="center"/>
    </xf>
    <xf numFmtId="180" fontId="30" fillId="9" borderId="1" xfId="0" applyNumberFormat="1" applyFont="1" applyFill="1" applyBorder="1">
      <alignment vertical="center"/>
    </xf>
    <xf numFmtId="180" fontId="6" fillId="6" borderId="1" xfId="3" applyNumberFormat="1" applyFont="1" applyFill="1" applyBorder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" xfId="49"/>
    <cellStyle name="常规 2" xfId="50"/>
    <cellStyle name="常规 2 2 2 5" xfId="51"/>
    <cellStyle name="常规 7 3" xfId="52"/>
    <cellStyle name="千位分隔 17" xfId="53"/>
    <cellStyle name="千位分隔 2 2 6" xfId="54"/>
  </cellStyles>
  <tableStyles count="0" defaultTableStyle="TableStyleMedium2" defaultPivotStyle="PivotStyleLight16"/>
  <colors>
    <mruColors>
      <color rgb="00FF0000"/>
      <color rgb="00D9D9D9"/>
      <color rgb="00E7E6E6"/>
      <color rgb="00D6DCE4"/>
      <color rgb="00FFFFFF"/>
      <color rgb="00C00000"/>
      <color rgb="00D0CECE"/>
      <color rgb="00BDD7EE"/>
      <color rgb="00FCE4D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I15" sqref="I15"/>
    </sheetView>
  </sheetViews>
  <sheetFormatPr defaultColWidth="9" defaultRowHeight="15.9" customHeight="1"/>
  <cols>
    <col min="1" max="1" width="8.88333333333333" style="13" customWidth="1"/>
    <col min="2" max="2" width="23.6666666666667" style="13" customWidth="1"/>
    <col min="3" max="3" width="16.775" style="13" customWidth="1"/>
    <col min="4" max="5" width="10.6666666666667" style="13" customWidth="1"/>
    <col min="6" max="6" width="10.2166666666667" style="13" customWidth="1"/>
    <col min="7" max="7" width="10.6666666666667" style="13" customWidth="1"/>
    <col min="8" max="8" width="10.4416666666667" style="13" customWidth="1"/>
    <col min="9" max="9" width="10.8833333333333" style="13" customWidth="1"/>
    <col min="10" max="11" width="11.2166666666667" style="13" customWidth="1"/>
    <col min="12" max="12" width="12.2166666666667" style="13" customWidth="1"/>
    <col min="13" max="13" width="11.8833333333333" style="13" customWidth="1"/>
    <col min="14" max="14" width="13.1083333333333" style="13" customWidth="1"/>
    <col min="15" max="15" width="12.1083333333333" style="13" customWidth="1"/>
    <col min="16" max="16" width="12.4416666666667" style="13" customWidth="1"/>
    <col min="17" max="17" width="13.8833333333333" style="53" customWidth="1"/>
    <col min="18" max="18" width="33.2166666666667" style="13" customWidth="1"/>
    <col min="19" max="16384" width="8.88333333333333" style="13"/>
  </cols>
  <sheetData>
    <row r="1" s="56" customFormat="1" ht="36" customHeight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57" customFormat="1" ht="24.9" customHeight="1" spans="1:18">
      <c r="A2" s="19" t="s">
        <v>1</v>
      </c>
      <c r="B2" s="19" t="s">
        <v>2</v>
      </c>
      <c r="C2" s="19" t="s">
        <v>3</v>
      </c>
      <c r="D2" s="20" t="s">
        <v>4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9" t="s">
        <v>5</v>
      </c>
      <c r="Q2" s="22" t="s">
        <v>6</v>
      </c>
      <c r="R2" s="61" t="s">
        <v>7</v>
      </c>
    </row>
    <row r="3" s="57" customFormat="1" ht="24.9" customHeight="1" spans="1:18">
      <c r="A3" s="19"/>
      <c r="B3" s="19"/>
      <c r="C3" s="19"/>
      <c r="D3" s="21" t="s">
        <v>8</v>
      </c>
      <c r="E3" s="21" t="s">
        <v>9</v>
      </c>
      <c r="F3" s="21" t="s">
        <v>10</v>
      </c>
      <c r="G3" s="21" t="s">
        <v>11</v>
      </c>
      <c r="H3" s="21" t="s">
        <v>12</v>
      </c>
      <c r="I3" s="21" t="s">
        <v>13</v>
      </c>
      <c r="J3" s="21" t="s">
        <v>14</v>
      </c>
      <c r="K3" s="21" t="s">
        <v>15</v>
      </c>
      <c r="L3" s="21" t="s">
        <v>16</v>
      </c>
      <c r="M3" s="21" t="s">
        <v>17</v>
      </c>
      <c r="N3" s="21" t="s">
        <v>18</v>
      </c>
      <c r="O3" s="21" t="s">
        <v>19</v>
      </c>
      <c r="P3" s="19"/>
      <c r="Q3" s="22"/>
      <c r="R3" s="61"/>
    </row>
    <row r="4" s="58" customFormat="1" ht="24.9" customHeight="1" spans="1:18">
      <c r="A4" s="62" t="s">
        <v>20</v>
      </c>
      <c r="B4" s="63" t="s">
        <v>21</v>
      </c>
      <c r="C4" s="27">
        <f>预算执行汇总!B4</f>
        <v>1494.88</v>
      </c>
      <c r="D4" s="27">
        <f t="array" ref="D4:O4">预算执行汇总!C4:N4</f>
        <v>115.23</v>
      </c>
      <c r="E4" s="27">
        <v>97.66</v>
      </c>
      <c r="F4" s="27">
        <v>97.81</v>
      </c>
      <c r="G4" s="27">
        <v>102.53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f>SUM(D4:O4)</f>
        <v>413.23</v>
      </c>
      <c r="Q4" s="64">
        <f>IFERROR((P4-C4)/ABS(C4)+1,)</f>
        <v>0.276430215134325</v>
      </c>
      <c r="R4" s="65"/>
    </row>
    <row r="5" s="58" customFormat="1" ht="24.9" customHeight="1" spans="1:18">
      <c r="A5" s="66"/>
      <c r="B5" s="63" t="s">
        <v>22</v>
      </c>
      <c r="C5" s="41">
        <v>399</v>
      </c>
      <c r="D5" s="41">
        <v>64.96</v>
      </c>
      <c r="E5" s="41">
        <v>47.55</v>
      </c>
      <c r="F5" s="41">
        <v>49.88</v>
      </c>
      <c r="G5" s="41">
        <v>46.19</v>
      </c>
      <c r="H5" s="41"/>
      <c r="I5" s="41"/>
      <c r="J5" s="41"/>
      <c r="K5" s="41"/>
      <c r="L5" s="41"/>
      <c r="M5" s="41"/>
      <c r="N5" s="41"/>
      <c r="O5" s="41"/>
      <c r="P5" s="27">
        <f t="shared" ref="P5:P14" si="0">SUM(D5:O5)</f>
        <v>208.58</v>
      </c>
      <c r="Q5" s="64">
        <f t="shared" ref="Q5:Q14" si="1">IFERROR(P5/C5,)</f>
        <v>0.522756892230576</v>
      </c>
      <c r="R5" s="67" t="s">
        <v>23</v>
      </c>
    </row>
    <row r="6" s="58" customFormat="1" ht="24.9" customHeight="1" spans="1:18">
      <c r="A6" s="68"/>
      <c r="B6" s="63" t="s">
        <v>24</v>
      </c>
      <c r="C6" s="41">
        <v>124</v>
      </c>
      <c r="D6" s="41">
        <v>-11.16</v>
      </c>
      <c r="E6" s="69">
        <v>-8.45</v>
      </c>
      <c r="F6" s="41">
        <v>86.87</v>
      </c>
      <c r="G6" s="41">
        <v>21.83</v>
      </c>
      <c r="H6" s="41"/>
      <c r="I6" s="41"/>
      <c r="J6" s="41"/>
      <c r="K6" s="41"/>
      <c r="L6" s="41"/>
      <c r="M6" s="41"/>
      <c r="N6" s="41"/>
      <c r="O6" s="41"/>
      <c r="P6" s="27">
        <f t="shared" si="0"/>
        <v>89.09</v>
      </c>
      <c r="Q6" s="64">
        <f t="shared" si="1"/>
        <v>0.718467741935484</v>
      </c>
      <c r="R6" s="65"/>
    </row>
    <row r="7" s="58" customFormat="1" ht="24.9" customHeight="1" spans="1:18">
      <c r="A7" s="70" t="s">
        <v>25</v>
      </c>
      <c r="B7" s="63" t="s">
        <v>26</v>
      </c>
      <c r="C7" s="27">
        <f t="array" ref="C7:C14">预算执行汇总!B5:B12</f>
        <v>775.1</v>
      </c>
      <c r="D7" s="27">
        <f t="array" ref="D7:O14">预算执行汇总!C5:N12</f>
        <v>25.4393</v>
      </c>
      <c r="E7" s="27">
        <v>25.42</v>
      </c>
      <c r="F7" s="27">
        <v>23.66</v>
      </c>
      <c r="G7" s="27">
        <v>30.88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f t="shared" si="0"/>
        <v>105.3993</v>
      </c>
      <c r="Q7" s="64">
        <f t="shared" si="1"/>
        <v>0.135981550767643</v>
      </c>
      <c r="R7" s="65"/>
    </row>
    <row r="8" s="58" customFormat="1" ht="24.9" customHeight="1" spans="1:18">
      <c r="A8" s="71"/>
      <c r="B8" s="72" t="s">
        <v>27</v>
      </c>
      <c r="C8" s="27">
        <v>735.9</v>
      </c>
      <c r="D8" s="27">
        <v>24.8893</v>
      </c>
      <c r="E8" s="27">
        <v>23.58</v>
      </c>
      <c r="F8" s="27">
        <v>23.66</v>
      </c>
      <c r="G8" s="27">
        <v>25.24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f t="shared" si="0"/>
        <v>97.3693</v>
      </c>
      <c r="Q8" s="64">
        <f t="shared" si="1"/>
        <v>0.13231322190515</v>
      </c>
      <c r="R8" s="65"/>
    </row>
    <row r="9" s="59" customFormat="1" ht="24.9" customHeight="1" spans="1:18">
      <c r="A9" s="71"/>
      <c r="B9" s="73" t="s">
        <v>28</v>
      </c>
      <c r="C9" s="74">
        <v>298.77</v>
      </c>
      <c r="D9" s="74">
        <v>24.89</v>
      </c>
      <c r="E9" s="74">
        <v>23.48</v>
      </c>
      <c r="F9" s="74">
        <v>23.55</v>
      </c>
      <c r="G9" s="74">
        <v>23.68</v>
      </c>
      <c r="H9" s="74">
        <v>0</v>
      </c>
      <c r="I9" s="74">
        <v>0</v>
      </c>
      <c r="J9" s="74">
        <v>0</v>
      </c>
      <c r="K9" s="74">
        <v>0</v>
      </c>
      <c r="L9" s="74">
        <v>0</v>
      </c>
      <c r="M9" s="74">
        <v>0</v>
      </c>
      <c r="N9" s="74">
        <v>0</v>
      </c>
      <c r="O9" s="74">
        <v>0</v>
      </c>
      <c r="P9" s="27">
        <f t="shared" si="0"/>
        <v>95.6</v>
      </c>
      <c r="Q9" s="64">
        <f t="shared" si="1"/>
        <v>0.31997857883991</v>
      </c>
      <c r="R9" s="75"/>
    </row>
    <row r="10" s="59" customFormat="1" ht="24.9" customHeight="1" spans="1:18">
      <c r="A10" s="71"/>
      <c r="B10" s="73" t="s">
        <v>29</v>
      </c>
      <c r="C10" s="74">
        <v>437.13</v>
      </c>
      <c r="D10" s="74">
        <v>-0.0007</v>
      </c>
      <c r="E10" s="74">
        <v>0.1</v>
      </c>
      <c r="F10" s="74">
        <v>0.11</v>
      </c>
      <c r="G10" s="74">
        <v>1.56</v>
      </c>
      <c r="H10" s="74">
        <v>0</v>
      </c>
      <c r="I10" s="74">
        <v>0</v>
      </c>
      <c r="J10" s="74">
        <v>0</v>
      </c>
      <c r="K10" s="74">
        <v>0</v>
      </c>
      <c r="L10" s="74">
        <v>0</v>
      </c>
      <c r="M10" s="74">
        <v>0</v>
      </c>
      <c r="N10" s="74">
        <v>0</v>
      </c>
      <c r="O10" s="74">
        <v>0</v>
      </c>
      <c r="P10" s="27">
        <f t="shared" si="0"/>
        <v>1.7693</v>
      </c>
      <c r="Q10" s="64">
        <f t="shared" si="1"/>
        <v>0.00404753734586965</v>
      </c>
      <c r="R10" s="75"/>
    </row>
    <row r="11" s="58" customFormat="1" ht="24.9" customHeight="1" spans="1:18">
      <c r="A11" s="71"/>
      <c r="B11" s="72" t="s">
        <v>30</v>
      </c>
      <c r="C11" s="27">
        <v>39.2</v>
      </c>
      <c r="D11" s="27">
        <v>0.55</v>
      </c>
      <c r="E11" s="27">
        <v>1.84</v>
      </c>
      <c r="F11" s="27">
        <v>0</v>
      </c>
      <c r="G11" s="27">
        <v>5.64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f t="shared" si="0"/>
        <v>8.03</v>
      </c>
      <c r="Q11" s="64">
        <f t="shared" si="1"/>
        <v>0.20484693877551</v>
      </c>
      <c r="R11" s="75"/>
    </row>
    <row r="12" s="59" customFormat="1" ht="24.9" customHeight="1" spans="1:18">
      <c r="A12" s="71"/>
      <c r="B12" s="73" t="s">
        <v>31</v>
      </c>
      <c r="C12" s="74">
        <v>39.2</v>
      </c>
      <c r="D12" s="74">
        <v>0.55</v>
      </c>
      <c r="E12" s="74">
        <v>1.84</v>
      </c>
      <c r="F12" s="74">
        <v>0</v>
      </c>
      <c r="G12" s="74">
        <v>5.64</v>
      </c>
      <c r="H12" s="74">
        <v>0</v>
      </c>
      <c r="I12" s="74">
        <v>0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6">
        <f t="shared" si="0"/>
        <v>8.03</v>
      </c>
      <c r="Q12" s="64">
        <f t="shared" si="1"/>
        <v>0.20484693877551</v>
      </c>
      <c r="R12" s="75"/>
    </row>
    <row r="13" s="59" customFormat="1" ht="24.9" customHeight="1" spans="1:18">
      <c r="A13" s="71"/>
      <c r="B13" s="73" t="s">
        <v>32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6">
        <f t="shared" si="0"/>
        <v>0</v>
      </c>
      <c r="Q13" s="64">
        <f t="shared" si="1"/>
        <v>0</v>
      </c>
      <c r="R13" s="75"/>
    </row>
    <row r="14" s="60" customFormat="1" ht="24.9" customHeight="1" spans="1:18">
      <c r="A14" s="77"/>
      <c r="B14" s="63" t="s">
        <v>33</v>
      </c>
      <c r="C14" s="27">
        <v>52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f t="shared" si="0"/>
        <v>0</v>
      </c>
      <c r="Q14" s="64">
        <f t="shared" si="1"/>
        <v>0</v>
      </c>
      <c r="R14" s="78"/>
    </row>
    <row r="15" s="60" customFormat="1" ht="24.9" customHeight="1" spans="1:18">
      <c r="A15" s="79" t="s">
        <v>34</v>
      </c>
      <c r="B15" s="63" t="s">
        <v>35</v>
      </c>
      <c r="C15" s="80">
        <v>0.69</v>
      </c>
      <c r="D15" s="81">
        <v>0.6011</v>
      </c>
      <c r="E15" s="81">
        <v>0.5998</v>
      </c>
      <c r="F15" s="81">
        <v>0.6228</v>
      </c>
      <c r="G15" s="81">
        <v>0.6348</v>
      </c>
      <c r="H15" s="81"/>
      <c r="I15" s="81"/>
      <c r="J15" s="81"/>
      <c r="K15" s="81"/>
      <c r="L15" s="81"/>
      <c r="M15" s="81"/>
      <c r="N15" s="81"/>
      <c r="O15" s="81"/>
      <c r="P15" s="64">
        <f>IFERROR(AVERAGE(D15:O15),)</f>
        <v>0.614625</v>
      </c>
      <c r="Q15" s="64">
        <f t="shared" ref="Q15:Q20" si="2">IFERROR(P15/C15,)</f>
        <v>0.890760869565217</v>
      </c>
      <c r="R15" s="75" t="s">
        <v>36</v>
      </c>
    </row>
    <row r="16" s="60" customFormat="1" ht="24.9" customHeight="1" spans="1:18">
      <c r="A16" s="79"/>
      <c r="B16" s="63" t="s">
        <v>37</v>
      </c>
      <c r="C16" s="80">
        <v>0.89</v>
      </c>
      <c r="D16" s="81">
        <v>0.8345</v>
      </c>
      <c r="E16" s="81">
        <v>0.8097</v>
      </c>
      <c r="F16" s="81">
        <v>0.888</v>
      </c>
      <c r="G16" s="81">
        <v>0.8746</v>
      </c>
      <c r="H16" s="81"/>
      <c r="I16" s="81"/>
      <c r="J16" s="81"/>
      <c r="K16" s="81"/>
      <c r="L16" s="81"/>
      <c r="M16" s="81"/>
      <c r="N16" s="81"/>
      <c r="O16" s="82"/>
      <c r="P16" s="64">
        <f>IFERROR(AVERAGE(D16:O16),)</f>
        <v>0.8517</v>
      </c>
      <c r="Q16" s="64">
        <f t="shared" si="2"/>
        <v>0.956966292134831</v>
      </c>
      <c r="R16" s="75" t="s">
        <v>38</v>
      </c>
    </row>
    <row r="17" s="60" customFormat="1" ht="24.9" customHeight="1" spans="1:18">
      <c r="A17" s="79"/>
      <c r="B17" s="63" t="s">
        <v>39</v>
      </c>
      <c r="C17" s="83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5">
        <f t="array" ref="P17">IFERROR(INDEX(D17:O17,0,MATCH(9.99999999999999E+307,D17:O17)),)</f>
        <v>0</v>
      </c>
      <c r="Q17" s="64">
        <f t="shared" si="2"/>
        <v>0</v>
      </c>
      <c r="R17" s="75" t="s">
        <v>40</v>
      </c>
    </row>
    <row r="18" s="60" customFormat="1" ht="24.9" customHeight="1" spans="1:18">
      <c r="A18" s="79"/>
      <c r="B18" s="63" t="s">
        <v>41</v>
      </c>
      <c r="C18" s="83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5">
        <f t="array" ref="P18">IFERROR(INDEX(D18:O18,0,MATCH(9.99999999999999E+307,D18:O18)),)</f>
        <v>0</v>
      </c>
      <c r="Q18" s="64">
        <f t="shared" si="2"/>
        <v>0</v>
      </c>
      <c r="R18" s="75" t="s">
        <v>42</v>
      </c>
    </row>
    <row r="19" s="60" customFormat="1" ht="24.9" customHeight="1" spans="1:18">
      <c r="A19" s="79"/>
      <c r="B19" s="63" t="s">
        <v>43</v>
      </c>
      <c r="C19" s="80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5">
        <f t="array" ref="P19">IFERROR(INDEX(D19:O19,0,MATCH(9.99999999999999E+307,D19:O19)),)</f>
        <v>0</v>
      </c>
      <c r="Q19" s="64">
        <f t="shared" si="2"/>
        <v>0</v>
      </c>
      <c r="R19" s="75" t="s">
        <v>42</v>
      </c>
    </row>
    <row r="20" ht="24.9" customHeight="1" spans="1:18">
      <c r="A20" s="79"/>
      <c r="B20" s="63" t="s">
        <v>44</v>
      </c>
      <c r="C20" s="80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5">
        <f t="array" ref="P20">IFERROR(INDEX(D20:O20,0,MATCH(9.99999999999999E+307,D20:O20)),)</f>
        <v>0</v>
      </c>
      <c r="Q20" s="64">
        <f t="shared" si="2"/>
        <v>0</v>
      </c>
      <c r="R20" s="75" t="s">
        <v>42</v>
      </c>
    </row>
    <row r="21" customHeight="1" spans="1:18">
      <c r="A21" s="54" t="s">
        <v>45</v>
      </c>
      <c r="B21" s="55" t="s">
        <v>46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Q21" s="13"/>
    </row>
    <row r="22" customHeight="1" spans="1:18">
      <c r="A22" s="54"/>
      <c r="B22" s="55" t="s">
        <v>47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Q22" s="13"/>
    </row>
    <row r="23" customHeight="1" spans="1:18">
      <c r="A23" s="54"/>
      <c r="B23" s="55" t="s">
        <v>48</v>
      </c>
      <c r="C23" s="14"/>
    </row>
  </sheetData>
  <mergeCells count="14">
    <mergeCell ref="A1:Q1"/>
    <mergeCell ref="D2:O2"/>
    <mergeCell ref="B21:O21"/>
    <mergeCell ref="B22:O22"/>
    <mergeCell ref="A2:A3"/>
    <mergeCell ref="A4:A6"/>
    <mergeCell ref="A7:A14"/>
    <mergeCell ref="A15:A20"/>
    <mergeCell ref="A21:A23"/>
    <mergeCell ref="B2:B3"/>
    <mergeCell ref="C2:C3"/>
    <mergeCell ref="P2:P3"/>
    <mergeCell ref="Q2:Q3"/>
    <mergeCell ref="R2:R3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pane xSplit="2" ySplit="3" topLeftCell="C10" activePane="bottomRight" state="frozen"/>
      <selection/>
      <selection pane="topRight"/>
      <selection pane="bottomLeft"/>
      <selection pane="bottomRight" activeCell="F18" sqref="F18"/>
    </sheetView>
  </sheetViews>
  <sheetFormatPr defaultColWidth="8.88333333333333" defaultRowHeight="15.9" customHeight="1"/>
  <cols>
    <col min="1" max="1" width="17.775" customWidth="1"/>
    <col min="2" max="2" width="13.6666666666667" customWidth="1"/>
    <col min="3" max="3" width="9.55833333333333" customWidth="1"/>
    <col min="4" max="4" width="13.3333333333333" customWidth="1"/>
    <col min="5" max="5" width="10.775" customWidth="1"/>
    <col min="6" max="6" width="9.775" customWidth="1"/>
    <col min="7" max="7" width="9.21666666666667" customWidth="1"/>
    <col min="8" max="8" width="10.2166666666667" customWidth="1"/>
    <col min="9" max="9" width="10.4416666666667" customWidth="1"/>
    <col min="10" max="10" width="9.775" customWidth="1"/>
    <col min="11" max="11" width="10.1083333333333" customWidth="1"/>
    <col min="12" max="13" width="7.66666666666667" customWidth="1"/>
    <col min="14" max="14" width="9.66666666666667" customWidth="1"/>
    <col min="15" max="15" width="12.4416666666667" customWidth="1"/>
    <col min="16" max="16" width="11.2166666666667" style="40" customWidth="1"/>
  </cols>
  <sheetData>
    <row r="1" s="1" customFormat="1" ht="32.1" customHeight="1" spans="1:16">
      <c r="A1" s="3" t="s">
        <v>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36" customFormat="1" ht="18" customHeight="1" spans="1:16">
      <c r="A2" s="19" t="s">
        <v>2</v>
      </c>
      <c r="B2" s="19" t="s">
        <v>3</v>
      </c>
      <c r="C2" s="20" t="s">
        <v>4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9" t="s">
        <v>5</v>
      </c>
      <c r="P2" s="22" t="s">
        <v>6</v>
      </c>
    </row>
    <row r="3" s="36" customFormat="1" ht="18" customHeight="1" spans="1:16">
      <c r="A3" s="19"/>
      <c r="B3" s="19"/>
      <c r="C3" s="21" t="s">
        <v>8</v>
      </c>
      <c r="D3" s="21" t="s">
        <v>9</v>
      </c>
      <c r="E3" s="21" t="s">
        <v>10</v>
      </c>
      <c r="F3" s="21" t="s">
        <v>11</v>
      </c>
      <c r="G3" s="21" t="s">
        <v>12</v>
      </c>
      <c r="H3" s="21" t="s">
        <v>13</v>
      </c>
      <c r="I3" s="21" t="s">
        <v>14</v>
      </c>
      <c r="J3" s="21" t="s">
        <v>15</v>
      </c>
      <c r="K3" s="21" t="s">
        <v>16</v>
      </c>
      <c r="L3" s="21" t="s">
        <v>17</v>
      </c>
      <c r="M3" s="21" t="s">
        <v>18</v>
      </c>
      <c r="N3" s="21" t="s">
        <v>19</v>
      </c>
      <c r="O3" s="19"/>
      <c r="P3" s="22"/>
    </row>
    <row r="4" s="37" customFormat="1" ht="18" customHeight="1" spans="1:16">
      <c r="A4" s="34" t="s">
        <v>21</v>
      </c>
      <c r="B4" s="41">
        <v>1494.88</v>
      </c>
      <c r="C4" s="41">
        <v>115.23</v>
      </c>
      <c r="D4" s="41">
        <v>97.66</v>
      </c>
      <c r="E4" s="41">
        <v>97.81</v>
      </c>
      <c r="F4" s="41">
        <v>102.53</v>
      </c>
      <c r="G4" s="41"/>
      <c r="H4" s="41"/>
      <c r="I4" s="41"/>
      <c r="J4" s="41"/>
      <c r="K4" s="41"/>
      <c r="L4" s="41"/>
      <c r="M4" s="41"/>
      <c r="N4" s="41"/>
      <c r="O4" s="27">
        <f>SUM(C4:N4)</f>
        <v>413.23</v>
      </c>
      <c r="P4" s="28">
        <f t="shared" ref="P4:P9" si="0">IFERROR(O4/B4,)</f>
        <v>0.276430215134325</v>
      </c>
    </row>
    <row r="5" s="37" customFormat="1" ht="18" customHeight="1" spans="1:16">
      <c r="A5" s="34" t="s">
        <v>26</v>
      </c>
      <c r="B5" s="27">
        <f>B6+B9</f>
        <v>775.1</v>
      </c>
      <c r="C5" s="27">
        <f t="shared" ref="C5:N5" si="1">C6+C9</f>
        <v>25.4393</v>
      </c>
      <c r="D5" s="27">
        <f t="shared" si="1"/>
        <v>25.42</v>
      </c>
      <c r="E5" s="27">
        <f t="shared" si="1"/>
        <v>23.66</v>
      </c>
      <c r="F5" s="27">
        <f t="shared" si="1"/>
        <v>30.88</v>
      </c>
      <c r="G5" s="27">
        <f t="shared" si="1"/>
        <v>0</v>
      </c>
      <c r="H5" s="27">
        <f t="shared" si="1"/>
        <v>0</v>
      </c>
      <c r="I5" s="27">
        <f t="shared" si="1"/>
        <v>0</v>
      </c>
      <c r="J5" s="27">
        <f t="shared" si="1"/>
        <v>0</v>
      </c>
      <c r="K5" s="27">
        <f t="shared" si="1"/>
        <v>0</v>
      </c>
      <c r="L5" s="27">
        <f t="shared" si="1"/>
        <v>0</v>
      </c>
      <c r="M5" s="27">
        <f t="shared" si="1"/>
        <v>0</v>
      </c>
      <c r="N5" s="27">
        <f t="shared" si="1"/>
        <v>0</v>
      </c>
      <c r="O5" s="27">
        <f t="shared" ref="O5:O15" si="2">SUM(C5:N5)</f>
        <v>105.3993</v>
      </c>
      <c r="P5" s="28">
        <f t="shared" si="0"/>
        <v>0.135981550767643</v>
      </c>
    </row>
    <row r="6" s="37" customFormat="1" ht="18" customHeight="1" spans="1:16">
      <c r="A6" s="34" t="s">
        <v>50</v>
      </c>
      <c r="B6" s="27">
        <f>B7+B8</f>
        <v>735.9</v>
      </c>
      <c r="C6" s="27">
        <f>费用预算执行明细!C4</f>
        <v>24.8893</v>
      </c>
      <c r="D6" s="27">
        <f>费用预算执行明细!D4</f>
        <v>23.58</v>
      </c>
      <c r="E6" s="27">
        <f>费用预算执行明细!E4</f>
        <v>23.66</v>
      </c>
      <c r="F6" s="27">
        <f>费用预算执行明细!F4</f>
        <v>25.24</v>
      </c>
      <c r="G6" s="27">
        <f>费用预算执行明细!G4</f>
        <v>0</v>
      </c>
      <c r="H6" s="27">
        <f>费用预算执行明细!H4</f>
        <v>0</v>
      </c>
      <c r="I6" s="27">
        <f>费用预算执行明细!I4</f>
        <v>0</v>
      </c>
      <c r="J6" s="27">
        <f>费用预算执行明细!J4</f>
        <v>0</v>
      </c>
      <c r="K6" s="27">
        <f>费用预算执行明细!K4</f>
        <v>0</v>
      </c>
      <c r="L6" s="27">
        <f>费用预算执行明细!L4</f>
        <v>0</v>
      </c>
      <c r="M6" s="27">
        <f>费用预算执行明细!M4</f>
        <v>0</v>
      </c>
      <c r="N6" s="27">
        <f>费用预算执行明细!N4</f>
        <v>0</v>
      </c>
      <c r="O6" s="27">
        <f t="shared" si="2"/>
        <v>97.3693</v>
      </c>
      <c r="P6" s="28">
        <f t="shared" si="0"/>
        <v>0.13231322190515</v>
      </c>
    </row>
    <row r="7" s="38" customFormat="1" ht="18" customHeight="1" spans="1:16">
      <c r="A7" s="42" t="s">
        <v>51</v>
      </c>
      <c r="B7" s="32">
        <f>费用预算执行明细!B5</f>
        <v>298.77</v>
      </c>
      <c r="C7" s="32">
        <f>费用预算执行明细!C5</f>
        <v>24.89</v>
      </c>
      <c r="D7" s="32">
        <f>费用预算执行明细!D5</f>
        <v>23.48</v>
      </c>
      <c r="E7" s="32">
        <f>费用预算执行明细!E5</f>
        <v>23.55</v>
      </c>
      <c r="F7" s="32">
        <f>费用预算执行明细!F5</f>
        <v>23.68</v>
      </c>
      <c r="G7" s="32">
        <f>费用预算执行明细!G5</f>
        <v>0</v>
      </c>
      <c r="H7" s="32">
        <f>费用预算执行明细!H5</f>
        <v>0</v>
      </c>
      <c r="I7" s="32">
        <f>费用预算执行明细!I5</f>
        <v>0</v>
      </c>
      <c r="J7" s="32">
        <f>费用预算执行明细!J5</f>
        <v>0</v>
      </c>
      <c r="K7" s="32">
        <f>费用预算执行明细!K5</f>
        <v>0</v>
      </c>
      <c r="L7" s="32">
        <f>费用预算执行明细!L5</f>
        <v>0</v>
      </c>
      <c r="M7" s="32">
        <f>费用预算执行明细!M5</f>
        <v>0</v>
      </c>
      <c r="N7" s="32">
        <f>费用预算执行明细!N5</f>
        <v>0</v>
      </c>
      <c r="O7" s="32">
        <f t="shared" si="2"/>
        <v>95.6</v>
      </c>
      <c r="P7" s="33">
        <f t="shared" si="0"/>
        <v>0.31997857883991</v>
      </c>
    </row>
    <row r="8" s="38" customFormat="1" ht="18" customHeight="1" spans="1:16">
      <c r="A8" s="42" t="s">
        <v>52</v>
      </c>
      <c r="B8" s="32">
        <f>费用预算执行明细!B14</f>
        <v>437.13</v>
      </c>
      <c r="C8" s="32">
        <f>费用预算执行明细!C14</f>
        <v>-0.0007</v>
      </c>
      <c r="D8" s="32">
        <f>费用预算执行明细!D14</f>
        <v>0.1</v>
      </c>
      <c r="E8" s="32">
        <f>费用预算执行明细!E14</f>
        <v>0.11</v>
      </c>
      <c r="F8" s="32">
        <f>费用预算执行明细!F14</f>
        <v>1.56</v>
      </c>
      <c r="G8" s="32">
        <f>费用预算执行明细!G14</f>
        <v>0</v>
      </c>
      <c r="H8" s="32">
        <f>费用预算执行明细!H14</f>
        <v>0</v>
      </c>
      <c r="I8" s="32">
        <f>费用预算执行明细!I14</f>
        <v>0</v>
      </c>
      <c r="J8" s="32">
        <f>费用预算执行明细!J14</f>
        <v>0</v>
      </c>
      <c r="K8" s="32">
        <f>费用预算执行明细!K14</f>
        <v>0</v>
      </c>
      <c r="L8" s="32">
        <f>费用预算执行明细!L14</f>
        <v>0</v>
      </c>
      <c r="M8" s="32">
        <f>费用预算执行明细!M14</f>
        <v>0</v>
      </c>
      <c r="N8" s="32">
        <f>费用预算执行明细!N14</f>
        <v>0</v>
      </c>
      <c r="O8" s="32">
        <f t="shared" si="2"/>
        <v>1.7693</v>
      </c>
      <c r="P8" s="33">
        <f t="shared" si="0"/>
        <v>0.00404753734586965</v>
      </c>
    </row>
    <row r="9" s="37" customFormat="1" ht="18" customHeight="1" spans="1:16">
      <c r="A9" s="34" t="s">
        <v>30</v>
      </c>
      <c r="B9" s="27">
        <f>B10</f>
        <v>39.2</v>
      </c>
      <c r="C9" s="27">
        <f>费用预算执行明细!C46</f>
        <v>0.55</v>
      </c>
      <c r="D9" s="27">
        <f>费用预算执行明细!D46</f>
        <v>1.84</v>
      </c>
      <c r="E9" s="27">
        <f>费用预算执行明细!E46</f>
        <v>0</v>
      </c>
      <c r="F9" s="27">
        <f>费用预算执行明细!F46</f>
        <v>5.64</v>
      </c>
      <c r="G9" s="27">
        <f>费用预算执行明细!G46</f>
        <v>0</v>
      </c>
      <c r="H9" s="27">
        <f>费用预算执行明细!H46</f>
        <v>0</v>
      </c>
      <c r="I9" s="27">
        <f>费用预算执行明细!I46</f>
        <v>0</v>
      </c>
      <c r="J9" s="27">
        <f>费用预算执行明细!J46</f>
        <v>0</v>
      </c>
      <c r="K9" s="27">
        <f>费用预算执行明细!K46</f>
        <v>0</v>
      </c>
      <c r="L9" s="27">
        <f>费用预算执行明细!L46</f>
        <v>0</v>
      </c>
      <c r="M9" s="27">
        <f>费用预算执行明细!M46</f>
        <v>0</v>
      </c>
      <c r="N9" s="27">
        <f>费用预算执行明细!N46</f>
        <v>0</v>
      </c>
      <c r="O9" s="27">
        <f t="shared" si="2"/>
        <v>8.03</v>
      </c>
      <c r="P9" s="28">
        <f t="shared" si="0"/>
        <v>0.20484693877551</v>
      </c>
    </row>
    <row r="10" s="38" customFormat="1" ht="18" customHeight="1" spans="1:16">
      <c r="A10" s="42" t="s">
        <v>53</v>
      </c>
      <c r="B10" s="32">
        <v>39.2</v>
      </c>
      <c r="C10" s="32">
        <f>费用预算执行明细!C47</f>
        <v>0.55</v>
      </c>
      <c r="D10" s="32">
        <f>费用预算执行明细!D47</f>
        <v>1.84</v>
      </c>
      <c r="E10" s="32">
        <f>费用预算执行明细!E47</f>
        <v>0</v>
      </c>
      <c r="F10" s="32">
        <f>费用预算执行明细!F47</f>
        <v>5.64</v>
      </c>
      <c r="G10" s="32">
        <f>费用预算执行明细!G47</f>
        <v>0</v>
      </c>
      <c r="H10" s="32">
        <f>费用预算执行明细!H47</f>
        <v>0</v>
      </c>
      <c r="I10" s="32">
        <f>费用预算执行明细!I47</f>
        <v>0</v>
      </c>
      <c r="J10" s="32">
        <f>费用预算执行明细!J47</f>
        <v>0</v>
      </c>
      <c r="K10" s="32">
        <f>费用预算执行明细!K47</f>
        <v>0</v>
      </c>
      <c r="L10" s="32">
        <f>费用预算执行明细!L47</f>
        <v>0</v>
      </c>
      <c r="M10" s="32">
        <f>费用预算执行明细!M47</f>
        <v>0</v>
      </c>
      <c r="N10" s="32">
        <f>费用预算执行明细!N47</f>
        <v>0</v>
      </c>
      <c r="O10" s="32">
        <f t="shared" si="2"/>
        <v>8.03</v>
      </c>
      <c r="P10" s="33">
        <f t="shared" ref="P10:P15" si="3">IFERROR(O10/B10,)</f>
        <v>0.20484693877551</v>
      </c>
    </row>
    <row r="11" s="38" customFormat="1" ht="18" customHeight="1" spans="1:16">
      <c r="A11" s="42" t="s">
        <v>54</v>
      </c>
      <c r="B11" s="32">
        <v>0</v>
      </c>
      <c r="C11" s="32">
        <f>费用预算执行明细!C80</f>
        <v>0</v>
      </c>
      <c r="D11" s="32">
        <f>费用预算执行明细!D80</f>
        <v>0</v>
      </c>
      <c r="E11" s="32">
        <f>费用预算执行明细!E80</f>
        <v>0</v>
      </c>
      <c r="F11" s="32">
        <f>费用预算执行明细!F80</f>
        <v>0</v>
      </c>
      <c r="G11" s="32">
        <f>费用预算执行明细!G80</f>
        <v>0</v>
      </c>
      <c r="H11" s="32">
        <f>费用预算执行明细!H80</f>
        <v>0</v>
      </c>
      <c r="I11" s="32">
        <f>费用预算执行明细!I80</f>
        <v>0</v>
      </c>
      <c r="J11" s="32">
        <f>费用预算执行明细!J80</f>
        <v>0</v>
      </c>
      <c r="K11" s="32">
        <f>费用预算执行明细!K80</f>
        <v>0</v>
      </c>
      <c r="L11" s="32">
        <f>费用预算执行明细!L80</f>
        <v>0</v>
      </c>
      <c r="M11" s="32">
        <f>费用预算执行明细!M80</f>
        <v>0</v>
      </c>
      <c r="N11" s="32">
        <f>费用预算执行明细!N80</f>
        <v>0</v>
      </c>
      <c r="O11" s="32">
        <f t="shared" si="2"/>
        <v>0</v>
      </c>
      <c r="P11" s="33">
        <f t="shared" si="3"/>
        <v>0</v>
      </c>
    </row>
    <row r="12" s="39" customFormat="1" ht="18" customHeight="1" spans="1:16">
      <c r="A12" s="43" t="s">
        <v>33</v>
      </c>
      <c r="B12" s="44">
        <v>52</v>
      </c>
      <c r="C12" s="45">
        <v>0</v>
      </c>
      <c r="D12" s="45">
        <v>0</v>
      </c>
      <c r="E12" s="45">
        <v>0</v>
      </c>
      <c r="F12" s="45">
        <v>0</v>
      </c>
      <c r="G12" s="45"/>
      <c r="H12" s="45"/>
      <c r="I12" s="45"/>
      <c r="J12" s="45"/>
      <c r="K12" s="45"/>
      <c r="L12" s="45"/>
      <c r="M12" s="45"/>
      <c r="N12" s="45"/>
      <c r="O12" s="44">
        <f t="shared" si="2"/>
        <v>0</v>
      </c>
      <c r="P12" s="28">
        <f t="shared" si="3"/>
        <v>0</v>
      </c>
    </row>
    <row r="13" s="37" customFormat="1" ht="18" customHeight="1" spans="1:16">
      <c r="A13" s="34" t="s">
        <v>55</v>
      </c>
      <c r="B13" s="41">
        <v>1108.99</v>
      </c>
      <c r="C13" s="41">
        <v>91</v>
      </c>
      <c r="D13" s="41">
        <v>91</v>
      </c>
      <c r="E13" s="41">
        <v>176.32</v>
      </c>
      <c r="F13" s="41">
        <v>119.39</v>
      </c>
      <c r="G13" s="41"/>
      <c r="H13" s="41"/>
      <c r="I13" s="41"/>
      <c r="J13" s="41"/>
      <c r="K13" s="41"/>
      <c r="L13" s="41"/>
      <c r="M13" s="41"/>
      <c r="N13" s="41"/>
      <c r="O13" s="27">
        <f t="shared" si="2"/>
        <v>477.71</v>
      </c>
      <c r="P13" s="28">
        <f t="shared" si="3"/>
        <v>0.430761323366306</v>
      </c>
    </row>
    <row r="14" s="37" customFormat="1" ht="18" customHeight="1" spans="1:16">
      <c r="A14" s="34" t="s">
        <v>56</v>
      </c>
      <c r="B14" s="27">
        <v>-14.95</v>
      </c>
      <c r="C14" s="41">
        <v>-2.455</v>
      </c>
      <c r="D14" s="41">
        <v>-1.08</v>
      </c>
      <c r="E14" s="41">
        <v>2</v>
      </c>
      <c r="F14" s="41">
        <v>0.07</v>
      </c>
      <c r="G14" s="41"/>
      <c r="H14" s="41"/>
      <c r="I14" s="41"/>
      <c r="J14" s="41"/>
      <c r="K14" s="41"/>
      <c r="L14" s="41"/>
      <c r="M14" s="41"/>
      <c r="N14" s="41"/>
      <c r="O14" s="27">
        <f t="shared" si="2"/>
        <v>-1.465</v>
      </c>
      <c r="P14" s="28">
        <f t="shared" si="3"/>
        <v>0.0979933110367893</v>
      </c>
    </row>
    <row r="15" s="37" customFormat="1" ht="18" customHeight="1" spans="1:16">
      <c r="A15" s="34" t="s">
        <v>57</v>
      </c>
      <c r="B15" s="41">
        <v>336.94</v>
      </c>
      <c r="C15" s="41">
        <v>24.83</v>
      </c>
      <c r="D15" s="41">
        <v>24.69</v>
      </c>
      <c r="E15" s="41">
        <v>24.27</v>
      </c>
      <c r="F15" s="41">
        <v>25.46</v>
      </c>
      <c r="G15" s="41"/>
      <c r="H15" s="41"/>
      <c r="I15" s="41"/>
      <c r="J15" s="41"/>
      <c r="K15" s="41"/>
      <c r="L15" s="41"/>
      <c r="M15" s="41"/>
      <c r="N15" s="41"/>
      <c r="O15" s="27">
        <f t="shared" si="2"/>
        <v>99.25</v>
      </c>
      <c r="P15" s="28">
        <f t="shared" si="3"/>
        <v>0.29456283017748</v>
      </c>
    </row>
    <row r="16" s="37" customFormat="1" ht="18" customHeight="1" spans="1:16">
      <c r="A16" s="34" t="s">
        <v>58</v>
      </c>
      <c r="B16" s="28">
        <v>0.0920443145622756</v>
      </c>
      <c r="C16" s="28">
        <f>IFERROR(C9/C4,)</f>
        <v>0.00477306257051115</v>
      </c>
      <c r="D16" s="28">
        <f t="shared" ref="D16:O16" si="4">IFERROR(D9/D4,)</f>
        <v>0.018840876510342</v>
      </c>
      <c r="E16" s="28">
        <f t="shared" si="4"/>
        <v>0</v>
      </c>
      <c r="F16" s="28">
        <f t="shared" si="4"/>
        <v>0.0550082902565103</v>
      </c>
      <c r="G16" s="28">
        <f t="shared" si="4"/>
        <v>0</v>
      </c>
      <c r="H16" s="28">
        <f t="shared" si="4"/>
        <v>0</v>
      </c>
      <c r="I16" s="28">
        <f t="shared" si="4"/>
        <v>0</v>
      </c>
      <c r="J16" s="28">
        <f t="shared" si="4"/>
        <v>0</v>
      </c>
      <c r="K16" s="28">
        <f t="shared" si="4"/>
        <v>0</v>
      </c>
      <c r="L16" s="28">
        <f t="shared" si="4"/>
        <v>0</v>
      </c>
      <c r="M16" s="28">
        <f t="shared" si="4"/>
        <v>0</v>
      </c>
      <c r="N16" s="28">
        <f t="shared" si="4"/>
        <v>0</v>
      </c>
      <c r="O16" s="28">
        <f t="shared" si="4"/>
        <v>0.0194322774241948</v>
      </c>
      <c r="P16" s="28"/>
    </row>
    <row r="17" ht="32.1" customHeight="1" spans="1:16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7"/>
    </row>
    <row r="18" s="37" customFormat="1" ht="18" customHeight="1" spans="1:16">
      <c r="A18" s="34" t="s">
        <v>59</v>
      </c>
      <c r="B18" s="27">
        <v>398.58</v>
      </c>
      <c r="C18" s="27">
        <f>C4-C6-C9-C15</f>
        <v>64.9607</v>
      </c>
      <c r="D18" s="27">
        <f>D4-D6-D9-D15</f>
        <v>47.55</v>
      </c>
      <c r="E18" s="27">
        <f>E4-E6-E9-E15</f>
        <v>49.88</v>
      </c>
      <c r="F18" s="27">
        <f>F4-F6-F9-F15</f>
        <v>46.19</v>
      </c>
      <c r="G18" s="27">
        <f t="shared" ref="G18:O18" si="5">G4-G6-G9-G15</f>
        <v>0</v>
      </c>
      <c r="H18" s="27">
        <f t="shared" si="5"/>
        <v>0</v>
      </c>
      <c r="I18" s="27">
        <f t="shared" si="5"/>
        <v>0</v>
      </c>
      <c r="J18" s="27">
        <f t="shared" si="5"/>
        <v>0</v>
      </c>
      <c r="K18" s="27">
        <f t="shared" si="5"/>
        <v>0</v>
      </c>
      <c r="L18" s="27">
        <f t="shared" si="5"/>
        <v>0</v>
      </c>
      <c r="M18" s="27">
        <f t="shared" si="5"/>
        <v>0</v>
      </c>
      <c r="N18" s="27">
        <f t="shared" si="5"/>
        <v>0</v>
      </c>
      <c r="O18" s="27">
        <f t="shared" si="5"/>
        <v>208.5807</v>
      </c>
      <c r="P18" s="28">
        <f>IFERROR(O18/B18,)</f>
        <v>0.523309498720458</v>
      </c>
    </row>
    <row r="19" ht="18" customHeight="1" spans="1:16">
      <c r="A19" s="48" t="s">
        <v>60</v>
      </c>
      <c r="B19" s="49"/>
      <c r="C19" s="50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2"/>
      <c r="O19" s="49"/>
      <c r="P19" s="28">
        <f>IFERROR(O19/B19,)</f>
        <v>0</v>
      </c>
    </row>
    <row r="20" ht="32.1" customHeight="1" spans="1:16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53"/>
    </row>
    <row r="21" ht="18" customHeight="1" spans="1:16">
      <c r="A21" s="54" t="s">
        <v>45</v>
      </c>
      <c r="B21" s="55" t="s">
        <v>46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3"/>
    </row>
    <row r="22" ht="18" customHeight="1" spans="1:16">
      <c r="A22" s="54"/>
      <c r="B22" s="55" t="s">
        <v>47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3"/>
    </row>
    <row r="23" ht="18" customHeight="1" spans="1:16">
      <c r="A23" s="54"/>
      <c r="B23" s="55" t="s">
        <v>48</v>
      </c>
      <c r="C23" s="14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</sheetData>
  <mergeCells count="9">
    <mergeCell ref="A1:P1"/>
    <mergeCell ref="C2:N2"/>
    <mergeCell ref="B21:O21"/>
    <mergeCell ref="B22:O22"/>
    <mergeCell ref="A2:A3"/>
    <mergeCell ref="A21:A23"/>
    <mergeCell ref="B2:B3"/>
    <mergeCell ref="O2:O3"/>
    <mergeCell ref="P2:P3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Q87"/>
  <sheetViews>
    <sheetView zoomScale="90" zoomScaleNormal="90" workbookViewId="0">
      <pane xSplit="2" ySplit="3" topLeftCell="C73" activePane="bottomRight" state="frozen"/>
      <selection/>
      <selection pane="topRight"/>
      <selection pane="bottomLeft"/>
      <selection pane="bottomRight" activeCell="F14" sqref="F14"/>
    </sheetView>
  </sheetViews>
  <sheetFormatPr defaultColWidth="9" defaultRowHeight="15.9" customHeight="1"/>
  <cols>
    <col min="1" max="1" width="19.8833333333333" style="17" customWidth="1"/>
    <col min="2" max="2" width="12.4416666666667" style="17" customWidth="1"/>
    <col min="3" max="14" width="7.66666666666667" customWidth="1"/>
    <col min="15" max="15" width="12.4416666666667" style="17" customWidth="1"/>
    <col min="16" max="16" width="9.10833333333333" style="18" customWidth="1"/>
    <col min="17" max="16384" width="8.88333333333333" style="17"/>
  </cols>
  <sheetData>
    <row r="1" s="1" customFormat="1" ht="32.1" customHeight="1" spans="1:17">
      <c r="A1" s="3" t="s">
        <v>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15" customFormat="1" customHeight="1" spans="1:17">
      <c r="A2" s="19" t="s">
        <v>2</v>
      </c>
      <c r="B2" s="19" t="s">
        <v>3</v>
      </c>
      <c r="C2" s="20" t="s">
        <v>62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 t="s">
        <v>5</v>
      </c>
      <c r="P2" s="22" t="s">
        <v>6</v>
      </c>
      <c r="Q2" s="23" t="s">
        <v>63</v>
      </c>
    </row>
    <row r="3" s="16" customFormat="1" customHeight="1" spans="1:17">
      <c r="A3" s="19"/>
      <c r="B3" s="19"/>
      <c r="C3" s="24" t="s">
        <v>8</v>
      </c>
      <c r="D3" s="21" t="s">
        <v>9</v>
      </c>
      <c r="E3" s="24" t="s">
        <v>10</v>
      </c>
      <c r="F3" s="21" t="s">
        <v>11</v>
      </c>
      <c r="G3" s="24" t="s">
        <v>12</v>
      </c>
      <c r="H3" s="21" t="s">
        <v>13</v>
      </c>
      <c r="I3" s="24" t="s">
        <v>14</v>
      </c>
      <c r="J3" s="21" t="s">
        <v>15</v>
      </c>
      <c r="K3" s="24" t="s">
        <v>16</v>
      </c>
      <c r="L3" s="21" t="s">
        <v>17</v>
      </c>
      <c r="M3" s="24" t="s">
        <v>18</v>
      </c>
      <c r="N3" s="25" t="s">
        <v>19</v>
      </c>
      <c r="O3" s="21"/>
      <c r="P3" s="22"/>
    </row>
    <row r="4" customHeight="1" spans="1:17">
      <c r="A4" s="26" t="s">
        <v>27</v>
      </c>
      <c r="B4" s="27">
        <f>B14+B5</f>
        <v>735.9</v>
      </c>
      <c r="C4" s="27">
        <f>C14+C5</f>
        <v>24.8893</v>
      </c>
      <c r="D4" s="27">
        <f t="shared" ref="D4:N4" si="0">D14+D5</f>
        <v>23.58</v>
      </c>
      <c r="E4" s="27">
        <f t="shared" si="0"/>
        <v>23.66</v>
      </c>
      <c r="F4" s="27">
        <f t="shared" si="0"/>
        <v>25.24</v>
      </c>
      <c r="G4" s="27">
        <f t="shared" si="0"/>
        <v>0</v>
      </c>
      <c r="H4" s="27">
        <f t="shared" si="0"/>
        <v>0</v>
      </c>
      <c r="I4" s="27">
        <f t="shared" si="0"/>
        <v>0</v>
      </c>
      <c r="J4" s="27">
        <f t="shared" si="0"/>
        <v>0</v>
      </c>
      <c r="K4" s="27">
        <f t="shared" si="0"/>
        <v>0</v>
      </c>
      <c r="L4" s="27">
        <f t="shared" si="0"/>
        <v>0</v>
      </c>
      <c r="M4" s="27">
        <f t="shared" si="0"/>
        <v>0</v>
      </c>
      <c r="N4" s="27">
        <f t="shared" si="0"/>
        <v>0</v>
      </c>
      <c r="O4" s="27">
        <f>SUM(C4:N4)</f>
        <v>97.3693</v>
      </c>
      <c r="P4" s="28">
        <f t="shared" ref="P4:P69" si="1">IFERROR(O4/B4,)</f>
        <v>0.13231322190515</v>
      </c>
    </row>
    <row r="5" customHeight="1" spans="1:17">
      <c r="A5" s="27" t="s">
        <v>64</v>
      </c>
      <c r="B5" s="27">
        <f>SUM(B6:B13)</f>
        <v>298.77</v>
      </c>
      <c r="C5" s="27">
        <f t="shared" ref="C5:N5" si="2">SUM(C6:C13)</f>
        <v>24.89</v>
      </c>
      <c r="D5" s="27">
        <f t="shared" si="2"/>
        <v>23.48</v>
      </c>
      <c r="E5" s="27">
        <f t="shared" si="2"/>
        <v>23.55</v>
      </c>
      <c r="F5" s="27">
        <f t="shared" si="2"/>
        <v>23.68</v>
      </c>
      <c r="G5" s="27">
        <f t="shared" si="2"/>
        <v>0</v>
      </c>
      <c r="H5" s="27">
        <f t="shared" si="2"/>
        <v>0</v>
      </c>
      <c r="I5" s="27">
        <f t="shared" si="2"/>
        <v>0</v>
      </c>
      <c r="J5" s="27">
        <f t="shared" si="2"/>
        <v>0</v>
      </c>
      <c r="K5" s="27">
        <f t="shared" si="2"/>
        <v>0</v>
      </c>
      <c r="L5" s="27">
        <f t="shared" si="2"/>
        <v>0</v>
      </c>
      <c r="M5" s="27">
        <f t="shared" si="2"/>
        <v>0</v>
      </c>
      <c r="N5" s="27">
        <f t="shared" si="2"/>
        <v>0</v>
      </c>
      <c r="O5" s="27">
        <f t="shared" ref="O5:O38" si="3">SUM(C5:N5)</f>
        <v>95.6</v>
      </c>
      <c r="P5" s="28">
        <f t="shared" si="1"/>
        <v>0.31997857883991</v>
      </c>
    </row>
    <row r="6" customHeight="1" spans="1:17">
      <c r="A6" s="29" t="s">
        <v>65</v>
      </c>
      <c r="B6" s="30">
        <v>225.63</v>
      </c>
      <c r="C6" s="30">
        <v>19.6</v>
      </c>
      <c r="D6" s="30">
        <v>18.55</v>
      </c>
      <c r="E6" s="30">
        <v>18.21</v>
      </c>
      <c r="F6" s="30">
        <v>18.33</v>
      </c>
      <c r="G6" s="30"/>
      <c r="H6" s="30"/>
      <c r="I6" s="30"/>
      <c r="J6" s="30"/>
      <c r="K6" s="30"/>
      <c r="L6" s="31"/>
      <c r="M6" s="30"/>
      <c r="N6" s="30"/>
      <c r="O6" s="32">
        <f t="shared" si="3"/>
        <v>74.69</v>
      </c>
      <c r="P6" s="33">
        <f t="shared" si="1"/>
        <v>0.331028675264814</v>
      </c>
    </row>
    <row r="7" customHeight="1" spans="1:17">
      <c r="A7" s="29" t="s">
        <v>66</v>
      </c>
      <c r="B7" s="30">
        <v>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2">
        <f t="shared" si="3"/>
        <v>0</v>
      </c>
      <c r="P7" s="33">
        <f t="shared" si="1"/>
        <v>0</v>
      </c>
    </row>
    <row r="8" customHeight="1" spans="1:17">
      <c r="A8" s="29" t="s">
        <v>67</v>
      </c>
      <c r="B8" s="30">
        <v>0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2">
        <f t="shared" si="3"/>
        <v>0</v>
      </c>
      <c r="P8" s="33">
        <f t="shared" si="1"/>
        <v>0</v>
      </c>
    </row>
    <row r="9" customHeight="1" spans="1:17">
      <c r="A9" s="29" t="s">
        <v>68</v>
      </c>
      <c r="B9" s="30">
        <v>4.28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2">
        <f t="shared" si="3"/>
        <v>0</v>
      </c>
      <c r="P9" s="33">
        <f t="shared" si="1"/>
        <v>0</v>
      </c>
    </row>
    <row r="10" customHeight="1" spans="1:17">
      <c r="A10" s="29" t="s">
        <v>69</v>
      </c>
      <c r="B10" s="30">
        <v>5.66</v>
      </c>
      <c r="C10" s="30">
        <v>0.57</v>
      </c>
      <c r="D10" s="30">
        <v>0.21</v>
      </c>
      <c r="E10" s="30">
        <v>0.36</v>
      </c>
      <c r="F10" s="30">
        <v>0.37</v>
      </c>
      <c r="G10" s="30"/>
      <c r="H10" s="30"/>
      <c r="I10" s="30"/>
      <c r="J10" s="30"/>
      <c r="K10" s="30"/>
      <c r="L10" s="30"/>
      <c r="M10" s="30"/>
      <c r="N10" s="30"/>
      <c r="O10" s="32">
        <f t="shared" si="3"/>
        <v>1.51</v>
      </c>
      <c r="P10" s="33">
        <f t="shared" si="1"/>
        <v>0.26678445229682</v>
      </c>
    </row>
    <row r="11" customHeight="1" spans="1:17">
      <c r="A11" s="29" t="s">
        <v>70</v>
      </c>
      <c r="B11" s="30">
        <v>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2">
        <f t="shared" si="3"/>
        <v>0</v>
      </c>
      <c r="P11" s="33">
        <f t="shared" si="1"/>
        <v>0</v>
      </c>
    </row>
    <row r="12" customHeight="1" spans="1:17">
      <c r="A12" s="29" t="s">
        <v>71</v>
      </c>
      <c r="B12" s="30">
        <v>45.2</v>
      </c>
      <c r="C12" s="30">
        <v>3.17</v>
      </c>
      <c r="D12" s="30">
        <v>3.17</v>
      </c>
      <c r="E12" s="30">
        <v>3.35</v>
      </c>
      <c r="F12" s="30">
        <v>3.35</v>
      </c>
      <c r="G12" s="30"/>
      <c r="H12" s="30"/>
      <c r="I12" s="30"/>
      <c r="J12" s="30"/>
      <c r="K12" s="30"/>
      <c r="L12" s="30"/>
      <c r="M12" s="30"/>
      <c r="N12" s="30"/>
      <c r="O12" s="32">
        <f t="shared" si="3"/>
        <v>13.04</v>
      </c>
      <c r="P12" s="33">
        <f t="shared" si="1"/>
        <v>0.288495575221239</v>
      </c>
    </row>
    <row r="13" customHeight="1" spans="1:17">
      <c r="A13" s="29" t="s">
        <v>72</v>
      </c>
      <c r="B13" s="30">
        <v>18</v>
      </c>
      <c r="C13" s="30">
        <v>1.55</v>
      </c>
      <c r="D13" s="30">
        <v>1.55</v>
      </c>
      <c r="E13" s="30">
        <v>1.63</v>
      </c>
      <c r="F13" s="30">
        <v>1.63</v>
      </c>
      <c r="G13" s="30"/>
      <c r="H13" s="30"/>
      <c r="I13" s="30"/>
      <c r="J13" s="30"/>
      <c r="K13" s="30"/>
      <c r="L13" s="31"/>
      <c r="M13" s="30"/>
      <c r="N13" s="30"/>
      <c r="O13" s="32">
        <f t="shared" si="3"/>
        <v>6.36</v>
      </c>
      <c r="P13" s="33">
        <f t="shared" si="1"/>
        <v>0.353333333333333</v>
      </c>
    </row>
    <row r="14" customHeight="1" spans="1:17">
      <c r="A14" s="27" t="s">
        <v>73</v>
      </c>
      <c r="B14" s="27">
        <f>SUM(B15:B45)</f>
        <v>437.13</v>
      </c>
      <c r="C14" s="27">
        <f t="shared" ref="C14:N14" si="4">SUM(C15:C45)</f>
        <v>-0.0007</v>
      </c>
      <c r="D14" s="27">
        <f t="shared" si="4"/>
        <v>0.1</v>
      </c>
      <c r="E14" s="27">
        <f t="shared" si="4"/>
        <v>0.11</v>
      </c>
      <c r="F14" s="27">
        <f t="shared" si="4"/>
        <v>1.56</v>
      </c>
      <c r="G14" s="27">
        <f t="shared" si="4"/>
        <v>0</v>
      </c>
      <c r="H14" s="27">
        <f t="shared" si="4"/>
        <v>0</v>
      </c>
      <c r="I14" s="27">
        <f t="shared" si="4"/>
        <v>0</v>
      </c>
      <c r="J14" s="27">
        <f t="shared" si="4"/>
        <v>0</v>
      </c>
      <c r="K14" s="27">
        <f t="shared" si="4"/>
        <v>0</v>
      </c>
      <c r="L14" s="27">
        <f t="shared" si="4"/>
        <v>0</v>
      </c>
      <c r="M14" s="27">
        <f t="shared" si="4"/>
        <v>0</v>
      </c>
      <c r="N14" s="27">
        <f t="shared" si="4"/>
        <v>0</v>
      </c>
      <c r="O14" s="27">
        <f t="shared" si="3"/>
        <v>1.7693</v>
      </c>
      <c r="P14" s="28">
        <f t="shared" si="1"/>
        <v>0.00404753734586965</v>
      </c>
    </row>
    <row r="15" customHeight="1" spans="1:17">
      <c r="A15" s="29" t="s">
        <v>74</v>
      </c>
      <c r="B15" s="30">
        <v>0.6</v>
      </c>
      <c r="C15" s="30"/>
      <c r="D15" s="30"/>
      <c r="E15" s="30"/>
      <c r="F15" s="30">
        <v>0.12</v>
      </c>
      <c r="G15" s="30"/>
      <c r="H15" s="30"/>
      <c r="I15" s="30"/>
      <c r="J15" s="30"/>
      <c r="K15" s="30"/>
      <c r="L15" s="30"/>
      <c r="M15" s="30"/>
      <c r="N15" s="30"/>
      <c r="O15" s="32">
        <f t="shared" si="3"/>
        <v>0.12</v>
      </c>
      <c r="P15" s="33">
        <f t="shared" si="1"/>
        <v>0.2</v>
      </c>
    </row>
    <row r="16" customHeight="1" spans="1:17">
      <c r="A16" s="29" t="s">
        <v>75</v>
      </c>
      <c r="B16" s="30">
        <v>2</v>
      </c>
      <c r="C16" s="30"/>
      <c r="D16" s="30"/>
      <c r="E16" s="30"/>
      <c r="F16" s="30">
        <v>1.26</v>
      </c>
      <c r="G16" s="30"/>
      <c r="H16" s="30"/>
      <c r="I16" s="30"/>
      <c r="J16" s="30"/>
      <c r="K16" s="30"/>
      <c r="L16" s="30"/>
      <c r="M16" s="30"/>
      <c r="N16" s="30"/>
      <c r="O16" s="32">
        <f t="shared" si="3"/>
        <v>1.26</v>
      </c>
      <c r="P16" s="33">
        <f t="shared" si="1"/>
        <v>0.63</v>
      </c>
    </row>
    <row r="17" customHeight="1" spans="1:16">
      <c r="A17" s="29" t="s">
        <v>76</v>
      </c>
      <c r="B17" s="30">
        <v>0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2">
        <f t="shared" si="3"/>
        <v>0</v>
      </c>
      <c r="P17" s="33">
        <f t="shared" si="1"/>
        <v>0</v>
      </c>
    </row>
    <row r="18" customHeight="1" spans="1:16">
      <c r="A18" s="29" t="s">
        <v>77</v>
      </c>
      <c r="B18" s="30">
        <v>0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2">
        <f t="shared" si="3"/>
        <v>0</v>
      </c>
      <c r="P18" s="33">
        <f t="shared" si="1"/>
        <v>0</v>
      </c>
    </row>
    <row r="19" customHeight="1" spans="1:16">
      <c r="A19" s="29" t="s">
        <v>78</v>
      </c>
      <c r="B19" s="30">
        <v>0.2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2">
        <f t="shared" si="3"/>
        <v>0</v>
      </c>
      <c r="P19" s="33">
        <f t="shared" si="1"/>
        <v>0</v>
      </c>
    </row>
    <row r="20" customHeight="1" spans="1:16">
      <c r="A20" s="29" t="s">
        <v>79</v>
      </c>
      <c r="B20" s="30">
        <v>0.75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2">
        <f t="shared" si="3"/>
        <v>0</v>
      </c>
      <c r="P20" s="33">
        <f t="shared" si="1"/>
        <v>0</v>
      </c>
    </row>
    <row r="21" customHeight="1" spans="1:16">
      <c r="A21" s="29" t="s">
        <v>80</v>
      </c>
      <c r="B21" s="30">
        <v>0.32</v>
      </c>
      <c r="C21" s="30"/>
      <c r="D21" s="30">
        <v>0.07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2">
        <f t="shared" si="3"/>
        <v>0.07</v>
      </c>
      <c r="P21" s="33">
        <f t="shared" si="1"/>
        <v>0.21875</v>
      </c>
    </row>
    <row r="22" customHeight="1" spans="1:16">
      <c r="A22" s="29" t="s">
        <v>81</v>
      </c>
      <c r="B22" s="30">
        <v>0.2</v>
      </c>
      <c r="C22" s="30"/>
      <c r="D22" s="30"/>
      <c r="E22" s="30"/>
      <c r="F22" s="30">
        <v>0</v>
      </c>
      <c r="G22" s="30"/>
      <c r="H22" s="30"/>
      <c r="I22" s="30"/>
      <c r="J22" s="30"/>
      <c r="K22" s="30"/>
      <c r="L22" s="30"/>
      <c r="M22" s="30"/>
      <c r="N22" s="30"/>
      <c r="O22" s="32">
        <f t="shared" si="3"/>
        <v>0</v>
      </c>
      <c r="P22" s="33">
        <f t="shared" si="1"/>
        <v>0</v>
      </c>
    </row>
    <row r="23" customHeight="1" spans="1:16">
      <c r="A23" s="29" t="s">
        <v>82</v>
      </c>
      <c r="B23" s="30">
        <v>2</v>
      </c>
      <c r="C23" s="30"/>
      <c r="D23" s="30">
        <v>0.03</v>
      </c>
      <c r="E23" s="30">
        <v>0.02</v>
      </c>
      <c r="F23" s="30">
        <v>0.18</v>
      </c>
      <c r="G23" s="30"/>
      <c r="H23" s="30"/>
      <c r="I23" s="30"/>
      <c r="J23" s="30"/>
      <c r="K23" s="30"/>
      <c r="L23" s="30"/>
      <c r="M23" s="30"/>
      <c r="N23" s="30"/>
      <c r="O23" s="32">
        <f t="shared" si="3"/>
        <v>0.23</v>
      </c>
      <c r="P23" s="33">
        <f t="shared" si="1"/>
        <v>0.115</v>
      </c>
    </row>
    <row r="24" customHeight="1" spans="1:16">
      <c r="A24" s="29" t="s">
        <v>83</v>
      </c>
      <c r="B24" s="30">
        <v>0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2">
        <f t="shared" si="3"/>
        <v>0</v>
      </c>
      <c r="P24" s="33">
        <f t="shared" si="1"/>
        <v>0</v>
      </c>
    </row>
    <row r="25" customHeight="1" spans="1:16">
      <c r="A25" s="29" t="s">
        <v>84</v>
      </c>
      <c r="B25" s="30">
        <v>8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2">
        <f t="shared" si="3"/>
        <v>0</v>
      </c>
      <c r="P25" s="33">
        <f t="shared" si="1"/>
        <v>0</v>
      </c>
    </row>
    <row r="26" customHeight="1" spans="1:16">
      <c r="A26" s="29" t="s">
        <v>85</v>
      </c>
      <c r="B26" s="30">
        <v>0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2">
        <f t="shared" si="3"/>
        <v>0</v>
      </c>
      <c r="P26" s="33">
        <f t="shared" si="1"/>
        <v>0</v>
      </c>
    </row>
    <row r="27" customHeight="1" spans="1:16">
      <c r="A27" s="29" t="s">
        <v>86</v>
      </c>
      <c r="B27" s="30">
        <v>0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2">
        <f t="shared" si="3"/>
        <v>0</v>
      </c>
      <c r="P27" s="33">
        <f t="shared" si="1"/>
        <v>0</v>
      </c>
    </row>
    <row r="28" customHeight="1" spans="1:16">
      <c r="A28" s="29" t="s">
        <v>87</v>
      </c>
      <c r="B28" s="30">
        <v>0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2">
        <f t="shared" si="3"/>
        <v>0</v>
      </c>
      <c r="P28" s="33">
        <f t="shared" si="1"/>
        <v>0</v>
      </c>
    </row>
    <row r="29" customHeight="1" spans="1:16">
      <c r="A29" s="29" t="s">
        <v>88</v>
      </c>
      <c r="B29" s="30">
        <f>93-60</f>
        <v>33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2">
        <f t="shared" si="3"/>
        <v>0</v>
      </c>
      <c r="P29" s="33">
        <f t="shared" si="1"/>
        <v>0</v>
      </c>
    </row>
    <row r="30" customHeight="1" spans="1:16">
      <c r="A30" s="29" t="s">
        <v>89</v>
      </c>
      <c r="B30" s="30">
        <v>13.5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2">
        <f t="shared" si="3"/>
        <v>0</v>
      </c>
      <c r="P30" s="33">
        <f t="shared" si="1"/>
        <v>0</v>
      </c>
    </row>
    <row r="31" customHeight="1" spans="1:16">
      <c r="A31" s="29" t="s">
        <v>90</v>
      </c>
      <c r="B31" s="30">
        <v>0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2">
        <f t="shared" si="3"/>
        <v>0</v>
      </c>
      <c r="P31" s="33">
        <f t="shared" si="1"/>
        <v>0</v>
      </c>
    </row>
    <row r="32" customHeight="1" spans="1:16">
      <c r="A32" s="29" t="s">
        <v>91</v>
      </c>
      <c r="B32" s="30">
        <v>0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2">
        <f t="shared" si="3"/>
        <v>0</v>
      </c>
      <c r="P32" s="33">
        <f t="shared" si="1"/>
        <v>0</v>
      </c>
    </row>
    <row r="33" customHeight="1" spans="1:16">
      <c r="A33" s="29" t="s">
        <v>92</v>
      </c>
      <c r="B33" s="30">
        <v>0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2">
        <f t="shared" si="3"/>
        <v>0</v>
      </c>
      <c r="P33" s="33">
        <f t="shared" si="1"/>
        <v>0</v>
      </c>
    </row>
    <row r="34" customHeight="1" spans="1:16">
      <c r="A34" s="29" t="s">
        <v>93</v>
      </c>
      <c r="B34" s="30">
        <v>0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2">
        <f t="shared" si="3"/>
        <v>0</v>
      </c>
      <c r="P34" s="33">
        <f t="shared" si="1"/>
        <v>0</v>
      </c>
    </row>
    <row r="35" customHeight="1" spans="1:16">
      <c r="A35" s="29" t="s">
        <v>94</v>
      </c>
      <c r="B35" s="30">
        <v>0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2">
        <f t="shared" si="3"/>
        <v>0</v>
      </c>
      <c r="P35" s="33">
        <f t="shared" si="1"/>
        <v>0</v>
      </c>
    </row>
    <row r="36" customHeight="1" spans="1:16">
      <c r="A36" s="29" t="s">
        <v>95</v>
      </c>
      <c r="B36" s="30">
        <v>0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2">
        <f t="shared" si="3"/>
        <v>0</v>
      </c>
      <c r="P36" s="33">
        <f t="shared" si="1"/>
        <v>0</v>
      </c>
    </row>
    <row r="37" customHeight="1" spans="1:16">
      <c r="A37" s="29" t="s">
        <v>96</v>
      </c>
      <c r="B37" s="30">
        <v>0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2">
        <f t="shared" si="3"/>
        <v>0</v>
      </c>
      <c r="P37" s="33">
        <f t="shared" si="1"/>
        <v>0</v>
      </c>
    </row>
    <row r="38" customHeight="1" spans="1:16">
      <c r="A38" s="29" t="s">
        <v>97</v>
      </c>
      <c r="B38" s="30">
        <v>0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2">
        <f t="shared" si="3"/>
        <v>0</v>
      </c>
      <c r="P38" s="33">
        <f t="shared" si="1"/>
        <v>0</v>
      </c>
    </row>
    <row r="39" customHeight="1" spans="1:16">
      <c r="A39" s="29" t="s">
        <v>98</v>
      </c>
      <c r="B39" s="30">
        <v>10</v>
      </c>
      <c r="C39" s="30">
        <v>-0.0007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2">
        <f t="shared" ref="O39:O85" si="5">SUM(C39:N39)</f>
        <v>-0.0007</v>
      </c>
      <c r="P39" s="33">
        <f t="shared" si="1"/>
        <v>-7e-5</v>
      </c>
    </row>
    <row r="40" customHeight="1" spans="1:16">
      <c r="A40" s="29" t="s">
        <v>99</v>
      </c>
      <c r="B40" s="30">
        <v>226.56</v>
      </c>
      <c r="C40" s="30"/>
      <c r="D40" s="30"/>
      <c r="E40" s="30">
        <v>0.09</v>
      </c>
      <c r="F40" s="30"/>
      <c r="G40" s="30"/>
      <c r="H40" s="30"/>
      <c r="I40" s="30"/>
      <c r="J40" s="30"/>
      <c r="K40" s="30"/>
      <c r="L40" s="30"/>
      <c r="M40" s="30"/>
      <c r="N40" s="30"/>
      <c r="O40" s="32">
        <f t="shared" si="5"/>
        <v>0.09</v>
      </c>
      <c r="P40" s="33">
        <f t="shared" si="1"/>
        <v>0.000397245762711864</v>
      </c>
    </row>
    <row r="41" customHeight="1" spans="1:16">
      <c r="A41" s="29" t="s">
        <v>100</v>
      </c>
      <c r="B41" s="30">
        <v>130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2">
        <f t="shared" si="5"/>
        <v>0</v>
      </c>
      <c r="P41" s="33">
        <f t="shared" si="1"/>
        <v>0</v>
      </c>
    </row>
    <row r="42" customHeight="1" spans="1:16">
      <c r="A42" s="29" t="s">
        <v>101</v>
      </c>
      <c r="B42" s="30">
        <v>0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2">
        <f t="shared" si="5"/>
        <v>0</v>
      </c>
      <c r="P42" s="33">
        <f t="shared" si="1"/>
        <v>0</v>
      </c>
    </row>
    <row r="43" customHeight="1" spans="1:16">
      <c r="A43" s="29" t="s">
        <v>102</v>
      </c>
      <c r="B43" s="30">
        <v>0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2">
        <f t="shared" si="5"/>
        <v>0</v>
      </c>
      <c r="P43" s="33">
        <f t="shared" si="1"/>
        <v>0</v>
      </c>
    </row>
    <row r="44" customHeight="1" spans="1:16">
      <c r="A44" s="29" t="s">
        <v>103</v>
      </c>
      <c r="B44" s="30">
        <v>0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2">
        <f t="shared" si="5"/>
        <v>0</v>
      </c>
      <c r="P44" s="33">
        <f t="shared" si="1"/>
        <v>0</v>
      </c>
    </row>
    <row r="45" customHeight="1" spans="1:16">
      <c r="A45" s="29" t="s">
        <v>104</v>
      </c>
      <c r="B45" s="30">
        <v>10</v>
      </c>
      <c r="C45" s="30"/>
      <c r="D45" s="30"/>
      <c r="E45" s="30">
        <v>0</v>
      </c>
      <c r="F45" s="30"/>
      <c r="G45" s="30"/>
      <c r="H45" s="30"/>
      <c r="I45" s="30"/>
      <c r="J45" s="30"/>
      <c r="K45" s="30"/>
      <c r="L45" s="30"/>
      <c r="M45" s="30"/>
      <c r="N45" s="30"/>
      <c r="O45" s="32">
        <f t="shared" si="5"/>
        <v>0</v>
      </c>
      <c r="P45" s="33">
        <f t="shared" si="1"/>
        <v>0</v>
      </c>
    </row>
    <row r="46" customHeight="1" spans="1:16">
      <c r="A46" s="34" t="s">
        <v>30</v>
      </c>
      <c r="B46" s="27">
        <f>B47+B80</f>
        <v>39.2</v>
      </c>
      <c r="C46" s="27">
        <f t="shared" ref="C46:N46" si="6">C47+C80</f>
        <v>0.55</v>
      </c>
      <c r="D46" s="27">
        <f t="shared" si="6"/>
        <v>1.84</v>
      </c>
      <c r="E46" s="27">
        <f t="shared" si="6"/>
        <v>0</v>
      </c>
      <c r="F46" s="27">
        <f t="shared" si="6"/>
        <v>5.64</v>
      </c>
      <c r="G46" s="27">
        <f t="shared" si="6"/>
        <v>0</v>
      </c>
      <c r="H46" s="27">
        <f t="shared" si="6"/>
        <v>0</v>
      </c>
      <c r="I46" s="27">
        <f t="shared" si="6"/>
        <v>0</v>
      </c>
      <c r="J46" s="27">
        <f t="shared" si="6"/>
        <v>0</v>
      </c>
      <c r="K46" s="27">
        <f t="shared" si="6"/>
        <v>0</v>
      </c>
      <c r="L46" s="27">
        <f t="shared" si="6"/>
        <v>0</v>
      </c>
      <c r="M46" s="27">
        <f t="shared" si="6"/>
        <v>0</v>
      </c>
      <c r="N46" s="27">
        <f t="shared" si="6"/>
        <v>0</v>
      </c>
      <c r="O46" s="27">
        <f t="shared" si="5"/>
        <v>8.03</v>
      </c>
      <c r="P46" s="28">
        <f t="shared" si="1"/>
        <v>0.20484693877551</v>
      </c>
    </row>
    <row r="47" customHeight="1" spans="1:16">
      <c r="A47" s="27" t="s">
        <v>105</v>
      </c>
      <c r="B47" s="27">
        <f>SUM(B48:B79)</f>
        <v>39.2</v>
      </c>
      <c r="C47" s="27">
        <f t="shared" ref="C47:N47" si="7">SUM(C48:C79)</f>
        <v>0.55</v>
      </c>
      <c r="D47" s="27">
        <f t="shared" si="7"/>
        <v>1.84</v>
      </c>
      <c r="E47" s="27">
        <f t="shared" si="7"/>
        <v>0</v>
      </c>
      <c r="F47" s="27">
        <f t="shared" si="7"/>
        <v>5.64</v>
      </c>
      <c r="G47" s="27">
        <f t="shared" si="7"/>
        <v>0</v>
      </c>
      <c r="H47" s="27">
        <f t="shared" si="7"/>
        <v>0</v>
      </c>
      <c r="I47" s="27">
        <f t="shared" si="7"/>
        <v>0</v>
      </c>
      <c r="J47" s="27">
        <f t="shared" si="7"/>
        <v>0</v>
      </c>
      <c r="K47" s="27">
        <f t="shared" si="7"/>
        <v>0</v>
      </c>
      <c r="L47" s="27">
        <f t="shared" si="7"/>
        <v>0</v>
      </c>
      <c r="M47" s="27">
        <f t="shared" si="7"/>
        <v>0</v>
      </c>
      <c r="N47" s="27">
        <f t="shared" si="7"/>
        <v>0</v>
      </c>
      <c r="O47" s="27">
        <f t="shared" si="5"/>
        <v>8.03</v>
      </c>
      <c r="P47" s="28">
        <f t="shared" si="1"/>
        <v>0.20484693877551</v>
      </c>
    </row>
    <row r="48" customHeight="1" spans="1:16">
      <c r="A48" s="29" t="s">
        <v>74</v>
      </c>
      <c r="B48" s="30">
        <v>0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2">
        <f t="shared" si="5"/>
        <v>0</v>
      </c>
      <c r="P48" s="33">
        <f t="shared" si="1"/>
        <v>0</v>
      </c>
    </row>
    <row r="49" customHeight="1" spans="1:16">
      <c r="A49" s="29" t="s">
        <v>75</v>
      </c>
      <c r="B49" s="30">
        <v>0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2">
        <f t="shared" si="5"/>
        <v>0</v>
      </c>
      <c r="P49" s="33">
        <f t="shared" si="1"/>
        <v>0</v>
      </c>
    </row>
    <row r="50" customHeight="1" spans="1:16">
      <c r="A50" s="29" t="s">
        <v>76</v>
      </c>
      <c r="B50" s="30">
        <v>10</v>
      </c>
      <c r="C50" s="30"/>
      <c r="D50" s="30">
        <v>0.35</v>
      </c>
      <c r="E50" s="30"/>
      <c r="F50" s="30">
        <v>0.36</v>
      </c>
      <c r="G50" s="30"/>
      <c r="H50" s="30"/>
      <c r="I50" s="30"/>
      <c r="J50" s="30"/>
      <c r="K50" s="30"/>
      <c r="L50" s="30"/>
      <c r="M50" s="30"/>
      <c r="N50" s="30"/>
      <c r="O50" s="32">
        <f t="shared" si="5"/>
        <v>0.71</v>
      </c>
      <c r="P50" s="33">
        <f t="shared" si="1"/>
        <v>0.071</v>
      </c>
    </row>
    <row r="51" customHeight="1" spans="1:16">
      <c r="A51" s="29" t="s">
        <v>77</v>
      </c>
      <c r="B51" s="30">
        <v>0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2">
        <f t="shared" si="5"/>
        <v>0</v>
      </c>
      <c r="P51" s="33">
        <f t="shared" si="1"/>
        <v>0</v>
      </c>
    </row>
    <row r="52" customHeight="1" spans="1:16">
      <c r="A52" s="29" t="s">
        <v>78</v>
      </c>
      <c r="B52" s="30">
        <v>0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2">
        <f t="shared" si="5"/>
        <v>0</v>
      </c>
      <c r="P52" s="33">
        <f t="shared" si="1"/>
        <v>0</v>
      </c>
    </row>
    <row r="53" customHeight="1" spans="1:16">
      <c r="A53" s="29" t="s">
        <v>79</v>
      </c>
      <c r="B53" s="30">
        <v>0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2">
        <f t="shared" si="5"/>
        <v>0</v>
      </c>
      <c r="P53" s="33">
        <f t="shared" si="1"/>
        <v>0</v>
      </c>
    </row>
    <row r="54" customHeight="1" spans="1:16">
      <c r="A54" s="29" t="s">
        <v>80</v>
      </c>
      <c r="B54" s="30">
        <v>0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2">
        <f t="shared" si="5"/>
        <v>0</v>
      </c>
      <c r="P54" s="33">
        <f t="shared" si="1"/>
        <v>0</v>
      </c>
    </row>
    <row r="55" customHeight="1" spans="1:16">
      <c r="A55" s="29" t="s">
        <v>81</v>
      </c>
      <c r="B55" s="30">
        <v>0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2">
        <f t="shared" si="5"/>
        <v>0</v>
      </c>
      <c r="P55" s="33">
        <f t="shared" si="1"/>
        <v>0</v>
      </c>
    </row>
    <row r="56" customHeight="1" spans="1:16">
      <c r="A56" s="29" t="s">
        <v>82</v>
      </c>
      <c r="B56" s="30">
        <v>0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2">
        <f t="shared" si="5"/>
        <v>0</v>
      </c>
      <c r="P56" s="33">
        <f t="shared" si="1"/>
        <v>0</v>
      </c>
    </row>
    <row r="57" customHeight="1" spans="1:16">
      <c r="A57" s="29" t="s">
        <v>83</v>
      </c>
      <c r="B57" s="30">
        <v>0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2">
        <f t="shared" si="5"/>
        <v>0</v>
      </c>
      <c r="P57" s="33">
        <f t="shared" si="1"/>
        <v>0</v>
      </c>
    </row>
    <row r="58" customHeight="1" spans="1:16">
      <c r="A58" s="29" t="s">
        <v>84</v>
      </c>
      <c r="B58" s="30">
        <v>0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2">
        <f t="shared" si="5"/>
        <v>0</v>
      </c>
      <c r="P58" s="33">
        <f t="shared" si="1"/>
        <v>0</v>
      </c>
    </row>
    <row r="59" customHeight="1" spans="1:16">
      <c r="A59" s="29" t="s">
        <v>70</v>
      </c>
      <c r="B59" s="30">
        <v>0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2">
        <f t="shared" si="5"/>
        <v>0</v>
      </c>
      <c r="P59" s="33">
        <f t="shared" si="1"/>
        <v>0</v>
      </c>
    </row>
    <row r="60" customHeight="1" spans="1:16">
      <c r="A60" s="29" t="s">
        <v>86</v>
      </c>
      <c r="B60" s="30">
        <v>0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2">
        <f t="shared" si="5"/>
        <v>0</v>
      </c>
      <c r="P60" s="33">
        <f t="shared" si="1"/>
        <v>0</v>
      </c>
    </row>
    <row r="61" customHeight="1" spans="1:16">
      <c r="A61" s="29" t="s">
        <v>87</v>
      </c>
      <c r="B61" s="30">
        <v>5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2">
        <f t="shared" si="5"/>
        <v>0</v>
      </c>
      <c r="P61" s="33">
        <f t="shared" si="1"/>
        <v>0</v>
      </c>
    </row>
    <row r="62" customHeight="1" spans="1:16">
      <c r="A62" s="29" t="s">
        <v>88</v>
      </c>
      <c r="B62" s="30">
        <v>0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2">
        <f t="shared" si="5"/>
        <v>0</v>
      </c>
      <c r="P62" s="33">
        <f t="shared" si="1"/>
        <v>0</v>
      </c>
    </row>
    <row r="63" customHeight="1" spans="1:16">
      <c r="A63" s="29" t="s">
        <v>89</v>
      </c>
      <c r="B63" s="30">
        <v>7.5</v>
      </c>
      <c r="C63" s="30">
        <v>-0.29</v>
      </c>
      <c r="D63" s="30">
        <v>0.3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2">
        <f t="shared" si="5"/>
        <v>0.01</v>
      </c>
      <c r="P63" s="33">
        <f t="shared" si="1"/>
        <v>0.00133333333333333</v>
      </c>
    </row>
    <row r="64" customHeight="1" spans="1:16">
      <c r="A64" s="29" t="s">
        <v>90</v>
      </c>
      <c r="B64" s="30">
        <v>0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2">
        <f t="shared" si="5"/>
        <v>0</v>
      </c>
      <c r="P64" s="33">
        <f t="shared" si="1"/>
        <v>0</v>
      </c>
    </row>
    <row r="65" customHeight="1" spans="1:16">
      <c r="A65" s="29" t="s">
        <v>91</v>
      </c>
      <c r="B65" s="30">
        <v>0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2">
        <f t="shared" si="5"/>
        <v>0</v>
      </c>
      <c r="P65" s="33">
        <f t="shared" si="1"/>
        <v>0</v>
      </c>
    </row>
    <row r="66" customHeight="1" spans="1:16">
      <c r="A66" s="29" t="s">
        <v>92</v>
      </c>
      <c r="B66" s="30">
        <v>0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2">
        <f t="shared" si="5"/>
        <v>0</v>
      </c>
      <c r="P66" s="33">
        <f t="shared" si="1"/>
        <v>0</v>
      </c>
    </row>
    <row r="67" customHeight="1" spans="1:16">
      <c r="A67" s="29" t="s">
        <v>93</v>
      </c>
      <c r="B67" s="30">
        <v>0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2">
        <f t="shared" si="5"/>
        <v>0</v>
      </c>
      <c r="P67" s="33">
        <f t="shared" si="1"/>
        <v>0</v>
      </c>
    </row>
    <row r="68" customHeight="1" spans="1:16">
      <c r="A68" s="29" t="s">
        <v>68</v>
      </c>
      <c r="B68" s="30">
        <v>0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2">
        <f t="shared" si="5"/>
        <v>0</v>
      </c>
      <c r="P68" s="33">
        <f t="shared" si="1"/>
        <v>0</v>
      </c>
    </row>
    <row r="69" customHeight="1" spans="1:16">
      <c r="A69" s="29" t="s">
        <v>94</v>
      </c>
      <c r="B69" s="30">
        <v>0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2">
        <f t="shared" si="5"/>
        <v>0</v>
      </c>
      <c r="P69" s="33">
        <f t="shared" si="1"/>
        <v>0</v>
      </c>
    </row>
    <row r="70" customHeight="1" spans="1:16">
      <c r="A70" s="29" t="s">
        <v>95</v>
      </c>
      <c r="B70" s="30">
        <v>0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2">
        <f t="shared" si="5"/>
        <v>0</v>
      </c>
      <c r="P70" s="33">
        <f t="shared" ref="P70:P85" si="8">IFERROR(O70/B70,)</f>
        <v>0</v>
      </c>
    </row>
    <row r="71" customHeight="1" spans="1:16">
      <c r="A71" s="29" t="s">
        <v>96</v>
      </c>
      <c r="B71" s="30">
        <v>0</v>
      </c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2">
        <f t="shared" si="5"/>
        <v>0</v>
      </c>
      <c r="P71" s="33">
        <f t="shared" si="8"/>
        <v>0</v>
      </c>
    </row>
    <row r="72" customHeight="1" spans="1:16">
      <c r="A72" s="29" t="s">
        <v>97</v>
      </c>
      <c r="B72" s="30">
        <v>0</v>
      </c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2">
        <f t="shared" si="5"/>
        <v>0</v>
      </c>
      <c r="P72" s="33">
        <f t="shared" si="8"/>
        <v>0</v>
      </c>
    </row>
    <row r="73" customHeight="1" spans="1:16">
      <c r="A73" s="29" t="s">
        <v>98</v>
      </c>
      <c r="B73" s="30">
        <v>0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2">
        <f t="shared" si="5"/>
        <v>0</v>
      </c>
      <c r="P73" s="33">
        <f t="shared" si="8"/>
        <v>0</v>
      </c>
    </row>
    <row r="74" customHeight="1" spans="1:16">
      <c r="A74" s="29" t="s">
        <v>99</v>
      </c>
      <c r="B74" s="30">
        <v>0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2">
        <f t="shared" si="5"/>
        <v>0</v>
      </c>
      <c r="P74" s="33">
        <f t="shared" si="8"/>
        <v>0</v>
      </c>
    </row>
    <row r="75" customHeight="1" spans="1:16">
      <c r="A75" s="29" t="s">
        <v>106</v>
      </c>
      <c r="B75" s="30">
        <v>0</v>
      </c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2">
        <f t="shared" si="5"/>
        <v>0</v>
      </c>
      <c r="P75" s="33">
        <f t="shared" si="8"/>
        <v>0</v>
      </c>
    </row>
    <row r="76" customHeight="1" spans="1:16">
      <c r="A76" s="29" t="s">
        <v>101</v>
      </c>
      <c r="B76" s="30">
        <v>0</v>
      </c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2">
        <f t="shared" si="5"/>
        <v>0</v>
      </c>
      <c r="P76" s="33">
        <f t="shared" si="8"/>
        <v>0</v>
      </c>
    </row>
    <row r="77" customHeight="1" spans="1:16">
      <c r="A77" s="29" t="s">
        <v>102</v>
      </c>
      <c r="B77" s="30">
        <v>10</v>
      </c>
      <c r="C77" s="30"/>
      <c r="D77" s="30">
        <v>1.19</v>
      </c>
      <c r="E77" s="30"/>
      <c r="F77" s="30">
        <v>5.28</v>
      </c>
      <c r="G77" s="30"/>
      <c r="H77" s="30"/>
      <c r="I77" s="30"/>
      <c r="J77" s="30"/>
      <c r="K77" s="30"/>
      <c r="L77" s="30"/>
      <c r="M77" s="30"/>
      <c r="N77" s="30"/>
      <c r="O77" s="32">
        <f t="shared" si="5"/>
        <v>6.47</v>
      </c>
      <c r="P77" s="33">
        <f t="shared" si="8"/>
        <v>0.647</v>
      </c>
    </row>
    <row r="78" customHeight="1" spans="1:16">
      <c r="A78" s="29" t="s">
        <v>103</v>
      </c>
      <c r="B78" s="30">
        <v>6.7</v>
      </c>
      <c r="C78" s="30">
        <v>0.84</v>
      </c>
      <c r="D78" s="30"/>
      <c r="E78" s="30"/>
      <c r="F78" s="30"/>
      <c r="G78" s="30"/>
      <c r="H78" s="30"/>
      <c r="I78" s="30"/>
      <c r="J78" s="30"/>
      <c r="K78" s="30"/>
      <c r="L78" s="31"/>
      <c r="M78" s="30"/>
      <c r="N78" s="30"/>
      <c r="O78" s="32">
        <f t="shared" si="5"/>
        <v>0.84</v>
      </c>
      <c r="P78" s="33">
        <f t="shared" si="8"/>
        <v>0.125373134328358</v>
      </c>
    </row>
    <row r="79" customHeight="1" spans="1:16">
      <c r="A79" s="29" t="s">
        <v>104</v>
      </c>
      <c r="B79" s="30">
        <v>0</v>
      </c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2">
        <f t="shared" si="5"/>
        <v>0</v>
      </c>
      <c r="P79" s="33">
        <f t="shared" si="8"/>
        <v>0</v>
      </c>
    </row>
    <row r="80" customHeight="1" spans="1:16">
      <c r="A80" s="27" t="s">
        <v>107</v>
      </c>
      <c r="B80" s="27">
        <f>SUM(B81:B85)</f>
        <v>0</v>
      </c>
      <c r="C80" s="27">
        <f t="shared" ref="C80:N80" si="9">SUM(C81:C85)</f>
        <v>0</v>
      </c>
      <c r="D80" s="27">
        <f t="shared" si="9"/>
        <v>0</v>
      </c>
      <c r="E80" s="27">
        <f t="shared" si="9"/>
        <v>0</v>
      </c>
      <c r="F80" s="27">
        <f t="shared" si="9"/>
        <v>0</v>
      </c>
      <c r="G80" s="27">
        <f t="shared" si="9"/>
        <v>0</v>
      </c>
      <c r="H80" s="27">
        <f t="shared" si="9"/>
        <v>0</v>
      </c>
      <c r="I80" s="27">
        <f t="shared" si="9"/>
        <v>0</v>
      </c>
      <c r="J80" s="27">
        <f t="shared" si="9"/>
        <v>0</v>
      </c>
      <c r="K80" s="27">
        <f t="shared" si="9"/>
        <v>0</v>
      </c>
      <c r="L80" s="27">
        <f t="shared" si="9"/>
        <v>0</v>
      </c>
      <c r="M80" s="27">
        <f t="shared" si="9"/>
        <v>0</v>
      </c>
      <c r="N80" s="27">
        <f t="shared" si="9"/>
        <v>0</v>
      </c>
      <c r="O80" s="27">
        <f t="shared" si="5"/>
        <v>0</v>
      </c>
      <c r="P80" s="28">
        <f t="shared" si="8"/>
        <v>0</v>
      </c>
    </row>
    <row r="81" customHeight="1" spans="1:16">
      <c r="A81" s="29" t="s">
        <v>108</v>
      </c>
      <c r="B81" s="30">
        <v>0</v>
      </c>
      <c r="C81" s="30"/>
      <c r="D81" s="30"/>
      <c r="E81" s="30"/>
      <c r="F81" s="30"/>
      <c r="G81" s="30"/>
      <c r="H81" s="30"/>
      <c r="I81" s="30"/>
      <c r="J81" s="30"/>
      <c r="K81" s="30"/>
      <c r="L81" s="35"/>
      <c r="M81" s="30"/>
      <c r="N81" s="30"/>
      <c r="O81" s="27">
        <f t="shared" si="5"/>
        <v>0</v>
      </c>
      <c r="P81" s="33"/>
    </row>
    <row r="82" customHeight="1" spans="1:16">
      <c r="A82" s="29" t="s">
        <v>109</v>
      </c>
      <c r="B82" s="30">
        <v>0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2">
        <f t="shared" si="5"/>
        <v>0</v>
      </c>
      <c r="P82" s="33">
        <f t="shared" si="8"/>
        <v>0</v>
      </c>
    </row>
    <row r="83" customHeight="1" spans="1:16">
      <c r="A83" s="29" t="s">
        <v>110</v>
      </c>
      <c r="B83" s="30">
        <v>0</v>
      </c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2">
        <f t="shared" si="5"/>
        <v>0</v>
      </c>
      <c r="P83" s="33">
        <f t="shared" si="8"/>
        <v>0</v>
      </c>
    </row>
    <row r="84" customHeight="1" spans="1:16">
      <c r="A84" s="29" t="s">
        <v>111</v>
      </c>
      <c r="B84" s="30">
        <v>0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2">
        <f t="shared" si="5"/>
        <v>0</v>
      </c>
      <c r="P84" s="33">
        <f t="shared" si="8"/>
        <v>0</v>
      </c>
    </row>
    <row r="85" customHeight="1" spans="1:16">
      <c r="A85" s="29" t="s">
        <v>112</v>
      </c>
      <c r="B85" s="30">
        <v>0</v>
      </c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2">
        <f t="shared" si="5"/>
        <v>0</v>
      </c>
      <c r="P85" s="33">
        <f t="shared" si="8"/>
        <v>0</v>
      </c>
    </row>
    <row r="86" customHeight="1" spans="1:16">
      <c r="A86" s="17" t="s">
        <v>113</v>
      </c>
      <c r="C86">
        <v>0.08</v>
      </c>
      <c r="D86">
        <v>0.08</v>
      </c>
      <c r="E86">
        <v>0.08</v>
      </c>
      <c r="F86">
        <v>0.08</v>
      </c>
    </row>
    <row r="87" customHeight="1" spans="1:16">
      <c r="A87" s="13" t="s">
        <v>114</v>
      </c>
      <c r="B87" s="14"/>
    </row>
  </sheetData>
  <mergeCells count="6">
    <mergeCell ref="A1:P1"/>
    <mergeCell ref="C2:N2"/>
    <mergeCell ref="A2:A3"/>
    <mergeCell ref="B2:B3"/>
    <mergeCell ref="O2:O3"/>
    <mergeCell ref="P2:P3"/>
  </mergeCells>
  <pageMargins left="0.748031496062992" right="0.748031496062992" top="0.984251968503937" bottom="0.984251968503937" header="0.511811023622047" footer="0.511811023622047"/>
  <pageSetup paperSize="9" scale="91" fitToHeight="0" orientation="landscape"/>
  <headerFooter/>
  <ignoredErrors>
    <ignoredError sqref="O2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D19" sqref="D19"/>
    </sheetView>
  </sheetViews>
  <sheetFormatPr defaultColWidth="8.88333333333333" defaultRowHeight="15.9" customHeight="1"/>
  <cols>
    <col min="1" max="2" width="15.4416666666667" customWidth="1"/>
    <col min="3" max="3" width="55" customWidth="1"/>
    <col min="4" max="8" width="15.4416666666667" customWidth="1"/>
  </cols>
  <sheetData>
    <row r="1" s="1" customFormat="1" ht="32.1" customHeight="1" spans="1:16">
      <c r="A1" s="3" t="s">
        <v>115</v>
      </c>
      <c r="B1" s="3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</row>
    <row r="2" customHeight="1" spans="1:16">
      <c r="A2" s="5" t="s">
        <v>116</v>
      </c>
      <c r="B2" s="5" t="s">
        <v>117</v>
      </c>
      <c r="C2" s="5" t="s">
        <v>118</v>
      </c>
      <c r="D2" s="5" t="s">
        <v>119</v>
      </c>
      <c r="E2" s="5" t="s">
        <v>120</v>
      </c>
      <c r="F2" s="5" t="s">
        <v>121</v>
      </c>
      <c r="G2" s="6" t="s">
        <v>3</v>
      </c>
      <c r="H2" s="6" t="s">
        <v>5</v>
      </c>
    </row>
    <row r="3" s="2" customFormat="1" customHeight="1" spans="1:16">
      <c r="A3" s="7" t="s">
        <v>122</v>
      </c>
      <c r="B3" s="7" t="s">
        <v>123</v>
      </c>
      <c r="C3" s="8" t="s">
        <v>124</v>
      </c>
      <c r="D3" s="9"/>
      <c r="E3" s="9"/>
      <c r="F3" s="9"/>
      <c r="G3" s="9"/>
      <c r="H3" s="9"/>
    </row>
    <row r="4" s="2" customFormat="1" customHeight="1" spans="1:16">
      <c r="A4" s="7"/>
      <c r="B4" s="7"/>
      <c r="C4" s="8" t="s">
        <v>125</v>
      </c>
      <c r="D4" s="9"/>
      <c r="E4" s="9"/>
      <c r="F4" s="9"/>
      <c r="G4" s="9"/>
      <c r="H4" s="9"/>
    </row>
    <row r="5" s="2" customFormat="1" customHeight="1" spans="1:16">
      <c r="A5" s="7"/>
      <c r="B5" s="7"/>
      <c r="C5" s="8" t="s">
        <v>126</v>
      </c>
      <c r="D5" s="9"/>
      <c r="E5" s="9"/>
      <c r="F5" s="9"/>
      <c r="G5" s="9"/>
      <c r="H5" s="9"/>
    </row>
    <row r="6" s="2" customFormat="1" customHeight="1" spans="1:16">
      <c r="A6" s="7" t="s">
        <v>127</v>
      </c>
      <c r="B6" s="7" t="s">
        <v>128</v>
      </c>
      <c r="C6" s="8" t="s">
        <v>129</v>
      </c>
      <c r="D6" s="9"/>
      <c r="E6" s="9"/>
      <c r="F6" s="9"/>
      <c r="G6" s="9"/>
      <c r="H6" s="9"/>
    </row>
    <row r="7" s="2" customFormat="1" customHeight="1" spans="1:16">
      <c r="A7" s="7" t="s">
        <v>130</v>
      </c>
      <c r="B7" s="7" t="s">
        <v>130</v>
      </c>
      <c r="C7" s="8" t="s">
        <v>131</v>
      </c>
      <c r="D7" s="9"/>
      <c r="E7" s="9"/>
      <c r="F7" s="9"/>
      <c r="G7" s="9">
        <v>7</v>
      </c>
      <c r="H7" s="9"/>
    </row>
    <row r="8" s="2" customFormat="1" customHeight="1" spans="1:16">
      <c r="A8" s="7"/>
      <c r="B8" s="7"/>
      <c r="C8" s="8" t="s">
        <v>132</v>
      </c>
      <c r="D8" s="9"/>
      <c r="E8" s="9"/>
      <c r="F8" s="9"/>
      <c r="G8" s="9">
        <v>45</v>
      </c>
      <c r="H8" s="9"/>
    </row>
    <row r="9" customHeight="1" spans="1:16">
      <c r="A9" s="10" t="s">
        <v>133</v>
      </c>
      <c r="B9" s="10"/>
      <c r="C9" s="10"/>
      <c r="D9" s="10"/>
      <c r="E9" s="10"/>
      <c r="F9" s="10"/>
      <c r="G9" s="11">
        <f>SUM(G3:G8)</f>
        <v>52</v>
      </c>
      <c r="H9" s="12">
        <f>SUM(H3:H5)</f>
        <v>0</v>
      </c>
    </row>
    <row r="11" customHeight="1" spans="1:16">
      <c r="A11" s="13" t="s">
        <v>114</v>
      </c>
      <c r="B11" s="14"/>
    </row>
  </sheetData>
  <mergeCells count="6">
    <mergeCell ref="A1:H1"/>
    <mergeCell ref="A9:F9"/>
    <mergeCell ref="A3:A5"/>
    <mergeCell ref="A7:A8"/>
    <mergeCell ref="B3:B5"/>
    <mergeCell ref="B7:B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指标统计</vt:lpstr>
      <vt:lpstr>预算执行汇总</vt:lpstr>
      <vt:lpstr>费用预算执行明细</vt:lpstr>
      <vt:lpstr>资本性支出计划与执行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youhu</dc:creator>
  <cp:lastModifiedBy>lxj</cp:lastModifiedBy>
  <dcterms:created xsi:type="dcterms:W3CDTF">2023-12-28T04:28:00Z</dcterms:created>
  <cp:lastPrinted>2024-11-06T04:14:00Z</cp:lastPrinted>
  <dcterms:modified xsi:type="dcterms:W3CDTF">2026-05-23T01:00:34Z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8507C0AA06BE434BB0529C3E523FDB6C_13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