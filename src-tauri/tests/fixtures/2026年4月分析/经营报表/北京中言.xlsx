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G:\1.中言2023.3.21\18、上报君康\2026\"/>
    </mc:Choice>
  </mc:AlternateContent>
  <xr:revisionPtr revIDLastSave="0" documentId="8_{4EAF9FB8-8D3A-4990-968E-00EADEF2E6B8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指标统计" sheetId="5" r:id="rId1"/>
    <sheet name="预算执行汇总" sheetId="3" r:id="rId2"/>
    <sheet name="费用预算执行明细" sheetId="2" r:id="rId3"/>
    <sheet name="资本性支出计划与执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" i="5" l="1"/>
  <c r="F4" i="3"/>
  <c r="G5" i="5"/>
  <c r="F13" i="3"/>
  <c r="O13" i="3"/>
  <c r="P13" i="3" s="1"/>
  <c r="F14" i="3"/>
  <c r="F15" i="3"/>
  <c r="O15" i="3" s="1"/>
  <c r="P15" i="3" s="1"/>
  <c r="F10" i="2"/>
  <c r="F6" i="2"/>
  <c r="F5" i="2" s="1"/>
  <c r="F7" i="3" s="1"/>
  <c r="F9" i="2"/>
  <c r="F65" i="2"/>
  <c r="F52" i="2"/>
  <c r="F49" i="2" s="1"/>
  <c r="F48" i="2" s="1"/>
  <c r="F9" i="3" s="1"/>
  <c r="F23" i="2"/>
  <c r="F17" i="2"/>
  <c r="F15" i="2" s="1"/>
  <c r="F16" i="2"/>
  <c r="O16" i="2" s="1"/>
  <c r="P16" i="2" s="1"/>
  <c r="F22" i="2"/>
  <c r="F20" i="2"/>
  <c r="F80" i="2"/>
  <c r="E80" i="2"/>
  <c r="F6" i="5"/>
  <c r="P6" i="5" s="1"/>
  <c r="Q6" i="5" s="1"/>
  <c r="E15" i="3"/>
  <c r="E14" i="3"/>
  <c r="E4" i="3"/>
  <c r="E36" i="2"/>
  <c r="O36" i="2" s="1"/>
  <c r="P36" i="2" s="1"/>
  <c r="E12" i="3"/>
  <c r="O12" i="3" s="1"/>
  <c r="P12" i="3" s="1"/>
  <c r="H6" i="4"/>
  <c r="E13" i="3"/>
  <c r="E10" i="2"/>
  <c r="O10" i="2" s="1"/>
  <c r="P10" i="2" s="1"/>
  <c r="E9" i="2"/>
  <c r="E6" i="2"/>
  <c r="E65" i="2"/>
  <c r="E52" i="2"/>
  <c r="E23" i="2"/>
  <c r="E17" i="2"/>
  <c r="O17" i="2" s="1"/>
  <c r="P17" i="2" s="1"/>
  <c r="E16" i="2"/>
  <c r="E22" i="2"/>
  <c r="E20" i="2"/>
  <c r="E6" i="5"/>
  <c r="E5" i="5"/>
  <c r="D15" i="3"/>
  <c r="D14" i="3"/>
  <c r="D13" i="3"/>
  <c r="D9" i="2"/>
  <c r="D10" i="2"/>
  <c r="D6" i="2"/>
  <c r="D65" i="2"/>
  <c r="D43" i="2"/>
  <c r="C52" i="2"/>
  <c r="D52" i="2"/>
  <c r="D17" i="2"/>
  <c r="D16" i="2"/>
  <c r="D22" i="2"/>
  <c r="D64" i="2"/>
  <c r="D4" i="3"/>
  <c r="C80" i="2"/>
  <c r="C9" i="2"/>
  <c r="C10" i="2"/>
  <c r="B12" i="3"/>
  <c r="C14" i="5"/>
  <c r="C12" i="5"/>
  <c r="C11" i="5"/>
  <c r="C10" i="5"/>
  <c r="C9" i="5"/>
  <c r="C8" i="5"/>
  <c r="C7" i="5"/>
  <c r="C4" i="5"/>
  <c r="C5" i="5"/>
  <c r="C13" i="3"/>
  <c r="C6" i="2"/>
  <c r="C17" i="2"/>
  <c r="C16" i="2"/>
  <c r="C22" i="2"/>
  <c r="C20" i="2"/>
  <c r="G21" i="4"/>
  <c r="C5" i="2"/>
  <c r="C7" i="3"/>
  <c r="D5" i="2"/>
  <c r="G5" i="2"/>
  <c r="H5" i="2"/>
  <c r="I5" i="2"/>
  <c r="J5" i="2"/>
  <c r="K5" i="2"/>
  <c r="L5" i="2"/>
  <c r="M5" i="2"/>
  <c r="N5" i="2"/>
  <c r="D15" i="2"/>
  <c r="D4" i="2"/>
  <c r="G15" i="2"/>
  <c r="G4" i="2"/>
  <c r="H15" i="2"/>
  <c r="H4" i="2"/>
  <c r="I15" i="2"/>
  <c r="I4" i="2"/>
  <c r="J15" i="2"/>
  <c r="J4" i="2"/>
  <c r="K15" i="2"/>
  <c r="K4" i="2"/>
  <c r="L15" i="2"/>
  <c r="L4" i="2"/>
  <c r="M15" i="2"/>
  <c r="M4" i="2"/>
  <c r="N15" i="2"/>
  <c r="N4" i="2"/>
  <c r="B15" i="2"/>
  <c r="B5" i="2"/>
  <c r="B4" i="2"/>
  <c r="C15" i="2"/>
  <c r="O14" i="3"/>
  <c r="P14" i="3" s="1"/>
  <c r="H20" i="4"/>
  <c r="H19" i="4"/>
  <c r="H18" i="4"/>
  <c r="H17" i="4"/>
  <c r="H16" i="4"/>
  <c r="H5" i="4"/>
  <c r="H4" i="4"/>
  <c r="H3" i="4"/>
  <c r="O87" i="2"/>
  <c r="P87" i="2"/>
  <c r="O86" i="2"/>
  <c r="P86" i="2"/>
  <c r="O85" i="2"/>
  <c r="P85" i="2"/>
  <c r="O84" i="2"/>
  <c r="P84" i="2"/>
  <c r="O83" i="2"/>
  <c r="N82" i="2"/>
  <c r="N11" i="3"/>
  <c r="M82" i="2"/>
  <c r="L82" i="2"/>
  <c r="L11" i="3"/>
  <c r="K82" i="2"/>
  <c r="J82" i="2"/>
  <c r="J11" i="3"/>
  <c r="I82" i="2"/>
  <c r="I11" i="3"/>
  <c r="H82" i="2"/>
  <c r="H11" i="3"/>
  <c r="G82" i="2"/>
  <c r="G11" i="3"/>
  <c r="F82" i="2"/>
  <c r="F11" i="3"/>
  <c r="E82" i="2"/>
  <c r="E11" i="3"/>
  <c r="D82" i="2"/>
  <c r="C82" i="2"/>
  <c r="C11" i="3"/>
  <c r="B82" i="2"/>
  <c r="O81" i="2"/>
  <c r="P81" i="2" s="1"/>
  <c r="O80" i="2"/>
  <c r="P80" i="2" s="1"/>
  <c r="O79" i="2"/>
  <c r="P79" i="2"/>
  <c r="O78" i="2"/>
  <c r="P78" i="2"/>
  <c r="O77" i="2"/>
  <c r="P77" i="2"/>
  <c r="O76" i="2"/>
  <c r="P76" i="2"/>
  <c r="O75" i="2"/>
  <c r="P75" i="2"/>
  <c r="O74" i="2"/>
  <c r="P74" i="2"/>
  <c r="O73" i="2"/>
  <c r="P73" i="2"/>
  <c r="O72" i="2"/>
  <c r="P72" i="2"/>
  <c r="O71" i="2"/>
  <c r="P71" i="2"/>
  <c r="O70" i="2"/>
  <c r="P70" i="2"/>
  <c r="O69" i="2"/>
  <c r="P69" i="2"/>
  <c r="O68" i="2"/>
  <c r="P68" i="2"/>
  <c r="O67" i="2"/>
  <c r="P67" i="2"/>
  <c r="O66" i="2"/>
  <c r="P66" i="2"/>
  <c r="O65" i="2"/>
  <c r="P65" i="2" s="1"/>
  <c r="O64" i="2"/>
  <c r="P64" i="2"/>
  <c r="O63" i="2"/>
  <c r="P63" i="2"/>
  <c r="O62" i="2"/>
  <c r="P62" i="2"/>
  <c r="O61" i="2"/>
  <c r="P61" i="2"/>
  <c r="O60" i="2"/>
  <c r="P60" i="2"/>
  <c r="O59" i="2"/>
  <c r="P59" i="2"/>
  <c r="O58" i="2"/>
  <c r="P58" i="2"/>
  <c r="O57" i="2"/>
  <c r="P57" i="2"/>
  <c r="O56" i="2"/>
  <c r="P56" i="2"/>
  <c r="O55" i="2"/>
  <c r="P55" i="2"/>
  <c r="O54" i="2"/>
  <c r="P54" i="2"/>
  <c r="O53" i="2"/>
  <c r="P53" i="2"/>
  <c r="O52" i="2"/>
  <c r="P52" i="2" s="1"/>
  <c r="O51" i="2"/>
  <c r="P51" i="2"/>
  <c r="O50" i="2"/>
  <c r="P50" i="2"/>
  <c r="N49" i="2"/>
  <c r="M49" i="2"/>
  <c r="L49" i="2"/>
  <c r="L10" i="3"/>
  <c r="K49" i="2"/>
  <c r="J49" i="2"/>
  <c r="I49" i="2"/>
  <c r="I10" i="3"/>
  <c r="H49" i="2"/>
  <c r="H10" i="3"/>
  <c r="G49" i="2"/>
  <c r="G10" i="3"/>
  <c r="E49" i="2"/>
  <c r="D49" i="2"/>
  <c r="D48" i="2"/>
  <c r="D9" i="3"/>
  <c r="C49" i="2"/>
  <c r="C10" i="3"/>
  <c r="B49" i="2"/>
  <c r="M48" i="2"/>
  <c r="M9" i="3"/>
  <c r="O47" i="2"/>
  <c r="P47" i="2"/>
  <c r="O46" i="2"/>
  <c r="P46" i="2"/>
  <c r="O44" i="2"/>
  <c r="P44" i="2"/>
  <c r="O43" i="2"/>
  <c r="P43" i="2"/>
  <c r="O42" i="2"/>
  <c r="P42" i="2"/>
  <c r="O41" i="2"/>
  <c r="P41" i="2"/>
  <c r="O40" i="2"/>
  <c r="P40" i="2"/>
  <c r="O39" i="2"/>
  <c r="P39" i="2"/>
  <c r="O38" i="2"/>
  <c r="P38" i="2"/>
  <c r="O37" i="2"/>
  <c r="P37" i="2"/>
  <c r="O35" i="2"/>
  <c r="P35" i="2"/>
  <c r="O34" i="2"/>
  <c r="P34" i="2"/>
  <c r="O33" i="2"/>
  <c r="P33" i="2"/>
  <c r="O32" i="2"/>
  <c r="P32" i="2"/>
  <c r="O31" i="2"/>
  <c r="P31" i="2"/>
  <c r="O30" i="2"/>
  <c r="P30" i="2"/>
  <c r="O28" i="2"/>
  <c r="P28" i="2"/>
  <c r="O27" i="2"/>
  <c r="P27" i="2"/>
  <c r="O26" i="2"/>
  <c r="P26" i="2"/>
  <c r="O25" i="2"/>
  <c r="P25" i="2"/>
  <c r="O24" i="2"/>
  <c r="P24" i="2"/>
  <c r="O23" i="2"/>
  <c r="P23" i="2" s="1"/>
  <c r="O22" i="2"/>
  <c r="P22" i="2" s="1"/>
  <c r="O21" i="2"/>
  <c r="P21" i="2"/>
  <c r="O20" i="2"/>
  <c r="P20" i="2" s="1"/>
  <c r="O19" i="2"/>
  <c r="P19" i="2"/>
  <c r="O18" i="2"/>
  <c r="P18" i="2" s="1"/>
  <c r="O14" i="2"/>
  <c r="P14" i="2"/>
  <c r="O8" i="2"/>
  <c r="P8" i="2"/>
  <c r="O7" i="2"/>
  <c r="P7" i="2"/>
  <c r="P19" i="3"/>
  <c r="M11" i="3"/>
  <c r="D11" i="3"/>
  <c r="N10" i="3"/>
  <c r="M10" i="3"/>
  <c r="K10" i="3"/>
  <c r="J10" i="3"/>
  <c r="N8" i="3"/>
  <c r="M8" i="3"/>
  <c r="L8" i="3"/>
  <c r="K8" i="3"/>
  <c r="J8" i="3"/>
  <c r="I8" i="3"/>
  <c r="H8" i="3"/>
  <c r="G8" i="3"/>
  <c r="D8" i="3"/>
  <c r="N7" i="3"/>
  <c r="M7" i="3"/>
  <c r="L7" i="3"/>
  <c r="K7" i="3"/>
  <c r="J7" i="3"/>
  <c r="I7" i="3"/>
  <c r="H7" i="3"/>
  <c r="G7" i="3"/>
  <c r="D7" i="3"/>
  <c r="N6" i="3"/>
  <c r="M6" i="3"/>
  <c r="M18" i="3"/>
  <c r="L6" i="3"/>
  <c r="K6" i="3"/>
  <c r="J6" i="3"/>
  <c r="I6" i="3"/>
  <c r="H6" i="3"/>
  <c r="G6" i="3"/>
  <c r="D6" i="3"/>
  <c r="Q20" i="5"/>
  <c r="P20" i="5" a="1"/>
  <c r="P20" i="5"/>
  <c r="Q19" i="5"/>
  <c r="P19" i="5" a="1"/>
  <c r="P19" i="5"/>
  <c r="Q18" i="5"/>
  <c r="P18" i="5" a="1"/>
  <c r="P18" i="5"/>
  <c r="Q17" i="5"/>
  <c r="P17" i="5" a="1"/>
  <c r="P17" i="5"/>
  <c r="P16" i="5"/>
  <c r="Q16" i="5" s="1"/>
  <c r="P15" i="5"/>
  <c r="Q15" i="5" s="1"/>
  <c r="D4" i="5" a="1"/>
  <c r="D4" i="5" s="1"/>
  <c r="P4" i="5" s="1"/>
  <c r="Q4" i="5" s="1"/>
  <c r="J48" i="2"/>
  <c r="J9" i="3"/>
  <c r="C4" i="2"/>
  <c r="C6" i="3"/>
  <c r="C8" i="3"/>
  <c r="H21" i="4"/>
  <c r="B48" i="2"/>
  <c r="N48" i="2"/>
  <c r="N9" i="3"/>
  <c r="N18" i="3"/>
  <c r="L48" i="2"/>
  <c r="L9" i="3"/>
  <c r="L16" i="3"/>
  <c r="K48" i="2"/>
  <c r="K9" i="3"/>
  <c r="K16" i="3"/>
  <c r="H48" i="2"/>
  <c r="H9" i="3"/>
  <c r="H16" i="3"/>
  <c r="H18" i="3"/>
  <c r="G48" i="2"/>
  <c r="G9" i="3"/>
  <c r="G5" i="3"/>
  <c r="C48" i="2"/>
  <c r="D5" i="3"/>
  <c r="D16" i="3"/>
  <c r="J18" i="3"/>
  <c r="J16" i="3"/>
  <c r="J5" i="3"/>
  <c r="G18" i="3"/>
  <c r="G16" i="3"/>
  <c r="M16" i="3"/>
  <c r="M5" i="3"/>
  <c r="D18" i="3"/>
  <c r="K11" i="3"/>
  <c r="I48" i="2"/>
  <c r="I9" i="3"/>
  <c r="O82" i="2"/>
  <c r="P82" i="2"/>
  <c r="D10" i="3"/>
  <c r="O4" i="3"/>
  <c r="P4" i="3" s="1"/>
  <c r="C9" i="3"/>
  <c r="C16" i="3"/>
  <c r="L5" i="3"/>
  <c r="K18" i="3"/>
  <c r="N5" i="3"/>
  <c r="N16" i="3"/>
  <c r="L18" i="3"/>
  <c r="C5" i="3"/>
  <c r="H5" i="3"/>
  <c r="K5" i="3"/>
  <c r="O11" i="3"/>
  <c r="P11" i="3"/>
  <c r="I16" i="3"/>
  <c r="I5" i="3"/>
  <c r="C18" i="3"/>
  <c r="D5" i="5"/>
  <c r="I18" i="3"/>
  <c r="O9" i="2" l="1"/>
  <c r="P9" i="2" s="1"/>
  <c r="F4" i="2"/>
  <c r="F6" i="3" s="1"/>
  <c r="F5" i="3" s="1"/>
  <c r="F8" i="3"/>
  <c r="F16" i="3"/>
  <c r="F10" i="3"/>
  <c r="O49" i="2"/>
  <c r="P49" i="2" s="1"/>
  <c r="E5" i="2"/>
  <c r="E7" i="3" s="1"/>
  <c r="O7" i="3" s="1"/>
  <c r="P7" i="3" s="1"/>
  <c r="O6" i="2"/>
  <c r="P6" i="2" s="1"/>
  <c r="E10" i="3"/>
  <c r="E15" i="2"/>
  <c r="E8" i="3" s="1"/>
  <c r="O45" i="2"/>
  <c r="P45" i="2" s="1"/>
  <c r="E48" i="2"/>
  <c r="E9" i="3" s="1"/>
  <c r="F18" i="3" l="1"/>
  <c r="O10" i="3"/>
  <c r="P10" i="3" s="1"/>
  <c r="O8" i="3"/>
  <c r="P8" i="3" s="1"/>
  <c r="O5" i="2"/>
  <c r="P5" i="2" s="1"/>
  <c r="O48" i="2"/>
  <c r="P48" i="2" s="1"/>
  <c r="E4" i="2"/>
  <c r="E6" i="3" s="1"/>
  <c r="O6" i="3" s="1"/>
  <c r="P6" i="3" s="1"/>
  <c r="O15" i="2"/>
  <c r="P15" i="2" s="1"/>
  <c r="E16" i="3"/>
  <c r="O9" i="3"/>
  <c r="P9" i="3" s="1"/>
  <c r="O16" i="3" l="1"/>
  <c r="E18" i="3"/>
  <c r="F5" i="5" s="1"/>
  <c r="P5" i="5" s="1"/>
  <c r="Q5" i="5" s="1"/>
  <c r="O4" i="2"/>
  <c r="P4" i="2" s="1"/>
  <c r="O18" i="3"/>
  <c r="P18" i="3" s="1"/>
  <c r="E5" i="3"/>
  <c r="D7" i="5" l="1" a="1"/>
  <c r="O5" i="3"/>
  <c r="P5" i="3" s="1"/>
  <c r="P14" i="5" l="1"/>
  <c r="Q14" i="5" s="1"/>
  <c r="P10" i="5"/>
  <c r="Q10" i="5" s="1"/>
  <c r="P9" i="5"/>
  <c r="Q9" i="5" s="1"/>
  <c r="P8" i="5"/>
  <c r="Q8" i="5" s="1"/>
  <c r="P13" i="5"/>
  <c r="Q13" i="5" s="1"/>
  <c r="D7" i="5"/>
  <c r="P7" i="5" s="1"/>
  <c r="Q7" i="5" s="1"/>
  <c r="P12" i="5"/>
  <c r="Q12" i="5" s="1"/>
  <c r="P11" i="5"/>
  <c r="Q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刘琪</author>
  </authors>
  <commentList>
    <comment ref="D43" authorId="0" shapeId="0" xr:uid="{22CF984F-FF4B-4E70-89EC-D4EC7334579C}">
      <text>
        <r>
          <rPr>
            <b/>
            <sz val="9"/>
            <color indexed="81"/>
            <rFont val="宋体"/>
            <family val="3"/>
            <charset val="134"/>
          </rPr>
          <t>食堂经营许可证代办费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<sst xmlns="http://schemas.openxmlformats.org/spreadsheetml/2006/main" count="241" uniqueCount="146">
  <si>
    <t>指标</t>
  </si>
  <si>
    <t>项目</t>
  </si>
  <si>
    <t>2025年实际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</si>
  <si>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</si>
  <si>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</si>
  <si>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</si>
  <si>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</si>
  <si>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</si>
  <si>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</si>
  <si>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</si>
  <si>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</si>
  <si>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</si>
  <si>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</si>
  <si>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</si>
  <si>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</si>
  <si>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</si>
  <si>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</si>
  <si>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</si>
  <si>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</si>
  <si>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</si>
  <si>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</si>
  <si>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</si>
  <si>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</si>
  <si>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</si>
  <si>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</si>
  <si>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</si>
  <si>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</si>
  <si>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</si>
  <si>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</si>
  <si>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</si>
  <si>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</si>
  <si>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</si>
  <si>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</si>
  <si>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</si>
  <si>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</si>
  <si>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</si>
  <si>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</si>
  <si>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</si>
  <si>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</si>
  <si>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</si>
  <si>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</si>
  <si>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</si>
  <si>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</si>
  <si>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</si>
  <si>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</si>
  <si>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</si>
  <si>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</si>
  <si>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</si>
  <si>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</si>
  <si>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</si>
  <si>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</si>
  <si>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</si>
  <si>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</si>
  <si>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</si>
  <si>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</si>
  <si>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</si>
  <si>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</si>
  <si>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2025年预算执行情况</t>
  </si>
  <si>
    <t>人力费用合计</t>
  </si>
  <si>
    <t>固定工资</t>
  </si>
  <si>
    <t>绩效工资</t>
  </si>
  <si>
    <t>奖金</t>
  </si>
  <si>
    <t>福利费</t>
  </si>
  <si>
    <t>固定费用支出合计</t>
  </si>
  <si>
    <t>邮寄费</t>
  </si>
  <si>
    <t>差旅费</t>
  </si>
  <si>
    <t>业务招待费</t>
  </si>
  <si>
    <t>汽车费</t>
  </si>
  <si>
    <t>低值易耗品及修理费</t>
  </si>
  <si>
    <t>信息系统费</t>
  </si>
  <si>
    <t>通讯费</t>
  </si>
  <si>
    <t>交通费</t>
  </si>
  <si>
    <t>办公费</t>
  </si>
  <si>
    <t>会议费</t>
  </si>
  <si>
    <t>水电费</t>
  </si>
  <si>
    <t>招聘费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</si>
  <si>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</si>
  <si>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</si>
  <si>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</si>
  <si>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</si>
  <si>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</si>
  <si>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</si>
  <si>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</si>
  <si>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</si>
  <si>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</si>
  <si>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</si>
  <si>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</si>
  <si>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</si>
  <si>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</si>
  <si>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</si>
  <si>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开办费</t>
  </si>
  <si>
    <t>存货盘存</t>
  </si>
  <si>
    <t>销售代理费</t>
  </si>
  <si>
    <t>销售佣金</t>
  </si>
  <si>
    <t>其他</t>
  </si>
  <si>
    <t>变动费用支出合计</t>
  </si>
  <si>
    <t>营业成本支出合计</t>
  </si>
  <si>
    <t>空置房物业费</t>
  </si>
  <si>
    <t>客房成本</t>
  </si>
  <si>
    <t>餐饮成本</t>
  </si>
  <si>
    <t>会务成本</t>
  </si>
  <si>
    <t>中厨房外包人力成本</t>
  </si>
  <si>
    <t>需填列</t>
  </si>
  <si>
    <t>资产类别</t>
  </si>
  <si>
    <t>资产类型</t>
  </si>
  <si>
    <t>资产名称</t>
  </si>
  <si>
    <t>数量</t>
  </si>
  <si>
    <t>单价</t>
  </si>
  <si>
    <t>金额</t>
  </si>
  <si>
    <t>资本性支出合计</t>
  </si>
  <si>
    <t>五险一金</t>
  </si>
  <si>
    <t>辞退补偿</t>
  </si>
  <si>
    <t>其他人力费用</t>
  </si>
  <si>
    <t>培训费</t>
    <phoneticPr fontId="33" type="noConversion"/>
  </si>
  <si>
    <t>办公软件</t>
  </si>
  <si>
    <t>大堂钢结构防火喷涂更新</t>
  </si>
  <si>
    <t>新租客户精装交付装修费用</t>
  </si>
  <si>
    <t>空调机组改造（君康VIP层）</t>
  </si>
  <si>
    <t>空调系统板换清洗（冷热）</t>
  </si>
  <si>
    <t>其他长期支出</t>
    <phoneticPr fontId="33" type="noConversion"/>
  </si>
  <si>
    <t>长期待摊费用</t>
  </si>
  <si>
    <t>无形资产</t>
  </si>
  <si>
    <t>北京中言房地产开发有限公司2026年预算执行情况明细表</t>
    <phoneticPr fontId="33" type="noConversion"/>
  </si>
  <si>
    <t>北京中言房地产开发有限公司2026年预算执行情况汇总表</t>
    <phoneticPr fontId="33" type="noConversion"/>
  </si>
  <si>
    <t>北京中言房地产开发有限公司2026年经营指标统计表</t>
    <phoneticPr fontId="33" type="noConversion"/>
  </si>
  <si>
    <t>北京中言房地产开发有限公司2026年资本性支出执行情况明细表</t>
    <phoneticPr fontId="33" type="noConversion"/>
  </si>
  <si>
    <t>电动窗帘维保</t>
  </si>
  <si>
    <t>高压配电室电容及直流屏电容更换</t>
  </si>
  <si>
    <t>IT机房用电改造</t>
  </si>
  <si>
    <t>大厦结构漏水及外围石材维修</t>
  </si>
  <si>
    <t>幕墙结构安全检测</t>
  </si>
  <si>
    <t>28层改造费用</t>
  </si>
  <si>
    <t>大堂增加大型LED宣传屏</t>
  </si>
  <si>
    <t>高区智慧照明修复</t>
  </si>
  <si>
    <t>地下停车场智能管理平台及照明节能改造等</t>
  </si>
  <si>
    <t>大堂速通门人脸识别系统改造</t>
  </si>
  <si>
    <t>地下餐厅设施环境改造</t>
  </si>
  <si>
    <t>固定资产整理及管理系统</t>
  </si>
  <si>
    <t>历史遗留未决诉讼款（仅影响现金流量表期末余额）</t>
  </si>
  <si>
    <t>2026年预算</t>
    <phoneticPr fontId="33" type="noConversion"/>
  </si>
  <si>
    <t>2026年实际</t>
    <phoneticPr fontId="33" type="noConversion"/>
  </si>
  <si>
    <t>在建工程</t>
  </si>
  <si>
    <t>工会经费</t>
  </si>
  <si>
    <t>临时工及劳务外包</t>
  </si>
  <si>
    <t>2026年执行情况</t>
    <phoneticPr fontId="33" type="noConversion"/>
  </si>
  <si>
    <t>4月收到富泽人寿租金及保证金3115.37万元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</si>
</sst>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0_ ;[Red]_ * \-#,##0.00_ ;_ * &quot;-&quot;??_ ;_ @_ "/>
    <numFmt numFmtId="181" formatCode="_ * #,##0_ ;_ * \-#,##0_ ;_ * &quot;-&quot;??_ ;_ @_ "/>
  </numFmts>
  <fonts count="37">
    <font>
      <sz val="11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rgb="FF000000"/>
      <name val="等距更纱黑体 Slab SC"/>
      <charset val="134"/>
    </font>
    <font>
      <sz val="10"/>
      <color rgb="FF000000"/>
      <name val="等距更纱黑体 Slab SC"/>
      <charset val="134"/>
    </font>
    <font>
      <b/>
      <sz val="10"/>
      <color rgb="FF0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3"/>
      <charset val="134"/>
    </font>
    <font>
      <sz val="12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0" fontId="30" fillId="0" borderId="0"/>
    <xf numFmtId="176" fontId="29" fillId="0" borderId="0">
      <alignment vertical="center"/>
    </xf>
    <xf numFmtId="176" fontId="31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177" fontId="29" fillId="0" borderId="0" applyFont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1" xfId="6" applyNumberFormat="1" applyFont="1" applyFill="1" applyBorder="1" applyAlignment="1">
      <alignment horizontal="center" vertical="center" wrapText="1"/>
    </xf>
    <xf numFmtId="0" fontId="4" fillId="2" borderId="1" xfId="6" applyNumberFormat="1" applyFont="1" applyFill="1" applyBorder="1" applyAlignment="1">
      <alignment horizontal="center" vertical="center"/>
    </xf>
    <xf numFmtId="43" fontId="5" fillId="3" borderId="1" xfId="6" applyFont="1" applyFill="1" applyBorder="1" applyAlignment="1">
      <alignment horizontal="left" vertical="center"/>
    </xf>
    <xf numFmtId="43" fontId="5" fillId="3" borderId="1" xfId="6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8" fontId="4" fillId="2" borderId="2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43" fontId="11" fillId="7" borderId="1" xfId="0" applyNumberFormat="1" applyFont="1" applyFill="1" applyBorder="1">
      <alignment vertical="center"/>
    </xf>
    <xf numFmtId="43" fontId="11" fillId="3" borderId="1" xfId="0" applyNumberFormat="1" applyFont="1" applyFill="1" applyBorder="1">
      <alignment vertical="center"/>
    </xf>
    <xf numFmtId="0" fontId="6" fillId="6" borderId="1" xfId="0" applyFont="1" applyFill="1" applyBorder="1">
      <alignment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6" fillId="6" borderId="1" xfId="1" applyNumberFormat="1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0" fillId="0" borderId="0" xfId="1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11" fillId="0" borderId="1" xfId="0" applyFont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43" fontId="6" fillId="6" borderId="6" xfId="0" applyNumberFormat="1" applyFont="1" applyFill="1" applyBorder="1">
      <alignment vertical="center"/>
    </xf>
    <xf numFmtId="43" fontId="6" fillId="6" borderId="7" xfId="0" applyNumberFormat="1" applyFont="1" applyFill="1" applyBorder="1">
      <alignment vertical="center"/>
    </xf>
    <xf numFmtId="0" fontId="7" fillId="0" borderId="0" xfId="0" applyFont="1" applyAlignment="1">
      <alignment horizontal="left" vertical="center"/>
    </xf>
    <xf numFmtId="43" fontId="6" fillId="6" borderId="8" xfId="0" applyNumberFormat="1" applyFont="1" applyFill="1" applyBorder="1">
      <alignment vertical="center"/>
    </xf>
    <xf numFmtId="10" fontId="7" fillId="0" borderId="0" xfId="1" applyNumberFormat="1" applyFont="1">
      <alignment vertical="center"/>
    </xf>
    <xf numFmtId="0" fontId="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8" borderId="1" xfId="0" applyFont="1" applyFill="1" applyBorder="1" applyAlignment="1">
      <alignment horizontal="left" vertical="center" wrapText="1"/>
    </xf>
    <xf numFmtId="43" fontId="6" fillId="9" borderId="1" xfId="0" applyNumberFormat="1" applyFont="1" applyFill="1" applyBorder="1">
      <alignment vertical="center"/>
    </xf>
    <xf numFmtId="0" fontId="21" fillId="8" borderId="1" xfId="0" applyFont="1" applyFill="1" applyBorder="1" applyAlignment="1">
      <alignment horizontal="left" vertical="center" wrapText="1" indent="1"/>
    </xf>
    <xf numFmtId="0" fontId="22" fillId="8" borderId="1" xfId="0" applyFont="1" applyFill="1" applyBorder="1" applyAlignment="1">
      <alignment horizontal="left" vertical="center" wrapText="1" indent="2"/>
    </xf>
    <xf numFmtId="43" fontId="11" fillId="8" borderId="1" xfId="0" applyNumberFormat="1" applyFont="1" applyFill="1" applyBorder="1">
      <alignment vertical="center"/>
    </xf>
    <xf numFmtId="179" fontId="24" fillId="10" borderId="1" xfId="0" applyNumberFormat="1" applyFont="1" applyFill="1" applyBorder="1">
      <alignment vertical="center"/>
    </xf>
    <xf numFmtId="179" fontId="24" fillId="9" borderId="1" xfId="0" applyNumberFormat="1" applyFont="1" applyFill="1" applyBorder="1">
      <alignment vertical="center"/>
    </xf>
    <xf numFmtId="180" fontId="24" fillId="10" borderId="1" xfId="0" applyNumberFormat="1" applyFont="1" applyFill="1" applyBorder="1">
      <alignment vertical="center"/>
    </xf>
    <xf numFmtId="180" fontId="24" fillId="9" borderId="1" xfId="0" applyNumberFormat="1" applyFont="1" applyFill="1" applyBorder="1">
      <alignment vertical="center"/>
    </xf>
    <xf numFmtId="43" fontId="6" fillId="8" borderId="1" xfId="0" applyNumberFormat="1" applyFont="1" applyFill="1" applyBorder="1">
      <alignment vertical="center"/>
    </xf>
    <xf numFmtId="179" fontId="6" fillId="6" borderId="1" xfId="1" applyNumberFormat="1" applyFont="1" applyFill="1" applyBorder="1">
      <alignment vertical="center"/>
    </xf>
    <xf numFmtId="180" fontId="6" fillId="6" borderId="1" xfId="1" applyNumberFormat="1" applyFont="1" applyFill="1" applyBorder="1">
      <alignment vertical="center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 shrinkToFi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10" fontId="6" fillId="6" borderId="1" xfId="1" applyNumberFormat="1" applyFont="1" applyFill="1" applyBorder="1">
      <alignment vertical="center"/>
    </xf>
    <xf numFmtId="10" fontId="11" fillId="5" borderId="1" xfId="1" applyNumberFormat="1" applyFont="1" applyFill="1" applyBorder="1">
      <alignment vertical="center"/>
    </xf>
    <xf numFmtId="10" fontId="6" fillId="0" borderId="1" xfId="1" applyNumberFormat="1" applyFont="1" applyBorder="1">
      <alignment vertical="center"/>
    </xf>
    <xf numFmtId="43" fontId="6" fillId="5" borderId="1" xfId="6" applyFont="1" applyFill="1" applyBorder="1" applyAlignment="1"/>
    <xf numFmtId="9" fontId="6" fillId="6" borderId="1" xfId="1" applyFont="1" applyFill="1" applyBorder="1">
      <alignment vertical="center"/>
    </xf>
    <xf numFmtId="9" fontId="11" fillId="5" borderId="1" xfId="1" applyFont="1" applyFill="1" applyBorder="1">
      <alignment vertical="center"/>
    </xf>
    <xf numFmtId="9" fontId="10" fillId="0" borderId="0" xfId="1" applyFont="1">
      <alignment vertical="center"/>
    </xf>
    <xf numFmtId="0" fontId="5" fillId="0" borderId="1" xfId="6" applyNumberFormat="1" applyFont="1" applyFill="1" applyBorder="1" applyAlignment="1">
      <alignment horizontal="left" vertical="center" wrapText="1"/>
    </xf>
    <xf numFmtId="181" fontId="5" fillId="0" borderId="1" xfId="6" applyNumberFormat="1" applyFont="1" applyFill="1" applyBorder="1" applyAlignment="1">
      <alignment horizontal="center" vertical="center" wrapText="1"/>
    </xf>
    <xf numFmtId="43" fontId="6" fillId="5" borderId="1" xfId="8" applyFont="1" applyFill="1" applyBorder="1" applyAlignment="1"/>
    <xf numFmtId="43" fontId="6" fillId="6" borderId="1" xfId="8" applyFont="1" applyFill="1" applyBorder="1">
      <alignment vertical="center"/>
    </xf>
    <xf numFmtId="10" fontId="25" fillId="2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6" fillId="4" borderId="1" xfId="6" applyNumberFormat="1" applyFont="1" applyFill="1" applyBorder="1" applyAlignment="1">
      <alignment horizontal="center"/>
    </xf>
    <xf numFmtId="0" fontId="5" fillId="0" borderId="9" xfId="6" applyNumberFormat="1" applyFont="1" applyFill="1" applyBorder="1" applyAlignment="1">
      <alignment horizontal="center" vertical="center" wrapText="1"/>
    </xf>
    <xf numFmtId="0" fontId="5" fillId="0" borderId="10" xfId="6" applyNumberFormat="1" applyFont="1" applyFill="1" applyBorder="1" applyAlignment="1">
      <alignment horizontal="center" vertical="center" wrapText="1"/>
    </xf>
  </cellXfs>
  <cellStyles count="9">
    <cellStyle name="百分比" xfId="1" builtinId="5"/>
    <cellStyle name="常规" xfId="0" builtinId="0"/>
    <cellStyle name="常规 11 2 3" xfId="2" xr:uid="{00000000-0005-0000-0000-000031000000}"/>
    <cellStyle name="常规 2" xfId="3" xr:uid="{00000000-0005-0000-0000-000032000000}"/>
    <cellStyle name="常规 2 2 2 5" xfId="4" xr:uid="{00000000-0005-0000-0000-000033000000}"/>
    <cellStyle name="常规 7 3" xfId="5" xr:uid="{00000000-0005-0000-0000-000034000000}"/>
    <cellStyle name="千位分隔" xfId="8" builtinId="3"/>
    <cellStyle name="千位分隔 17" xfId="6" xr:uid="{00000000-0005-0000-0000-000035000000}"/>
    <cellStyle name="千位分隔 2 2 6" xfId="7" xr:uid="{00000000-0005-0000-0000-000036000000}"/>
  </cellStyles>
  <dxfs count="0"/>
  <tableStyles count="0" defaultTableStyle="TableStyleMedium2" defaultPivotStyle="PivotStyleLight16"/>
  <colors>
    <mruColors>
      <color rgb="FFFCE4D6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pane xSplit="3" ySplit="3" topLeftCell="F4" activePane="bottomRight" state="frozen"/>
      <selection pane="topRight"/>
      <selection pane="bottomLeft"/>
      <selection pane="bottomRight" activeCell="R11" sqref="R11"/>
    </sheetView>
  </sheetViews>
  <sheetFormatPr defaultColWidth="8.875" defaultRowHeight="15.95" customHeight="1"/>
  <cols>
    <col min="1" max="1" width="8.875" style="7" customWidth="1"/>
    <col min="2" max="2" width="23.625" style="7" customWidth="1"/>
    <col min="3" max="3" width="16.75" style="7" customWidth="1"/>
    <col min="4" max="5" width="10.625" style="7" customWidth="1"/>
    <col min="6" max="6" width="10.25" style="7" customWidth="1"/>
    <col min="7" max="7" width="10.625" style="7" customWidth="1"/>
    <col min="8" max="8" width="10.5" style="7" customWidth="1"/>
    <col min="9" max="9" width="10.875" style="7" customWidth="1"/>
    <col min="10" max="11" width="11.25" style="7" customWidth="1"/>
    <col min="12" max="12" width="12.25" style="7" customWidth="1"/>
    <col min="13" max="13" width="11.875" style="7" customWidth="1"/>
    <col min="14" max="14" width="13.125" style="7" customWidth="1"/>
    <col min="15" max="15" width="12.125" style="7" customWidth="1"/>
    <col min="16" max="16" width="12.5" style="7" customWidth="1"/>
    <col min="17" max="17" width="13.875" style="41" customWidth="1"/>
    <col min="18" max="18" width="33.25" style="7" customWidth="1"/>
    <col min="19" max="16384" width="8.875" style="7"/>
  </cols>
  <sheetData>
    <row r="1" spans="1:18" s="42" customFormat="1" ht="36" customHeight="1">
      <c r="A1" s="75" t="s">
        <v>124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8" s="43" customFormat="1" ht="24.95" customHeight="1">
      <c r="A2" s="78" t="s">
        <v>0</v>
      </c>
      <c r="B2" s="78" t="s">
        <v>1</v>
      </c>
      <c r="C2" s="78" t="s">
        <v>139</v>
      </c>
      <c r="D2" s="76" t="s">
        <v>144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8" t="s">
        <v>140</v>
      </c>
      <c r="Q2" s="87" t="s">
        <v>3</v>
      </c>
      <c r="R2" s="74" t="s">
        <v>4</v>
      </c>
    </row>
    <row r="3" spans="1:18" s="43" customFormat="1" ht="24.95" customHeight="1">
      <c r="A3" s="78"/>
      <c r="B3" s="78"/>
      <c r="C3" s="78"/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78"/>
      <c r="Q3" s="87"/>
      <c r="R3" s="74"/>
    </row>
    <row r="4" spans="1:18" s="44" customFormat="1" ht="24.95" customHeight="1">
      <c r="A4" s="79" t="s">
        <v>17</v>
      </c>
      <c r="B4" s="47" t="s">
        <v>18</v>
      </c>
      <c r="C4" s="16">
        <f>预算执行汇总!B4</f>
        <v>8093.173110091745</v>
      </c>
      <c r="D4" s="16" cm="1">
        <f t="array" ref="D4:O4">预算执行汇总!C4:N4</f>
        <v>580.60930599999995</v>
      </c>
      <c r="E4" s="16">
        <v>567.20523600000001</v>
      </c>
      <c r="F4" s="16">
        <v>1148.022471</v>
      </c>
      <c r="G4" s="16">
        <v>769.80497000000014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f>SUM(D4:O4)</f>
        <v>3065.6419830000004</v>
      </c>
      <c r="Q4" s="57">
        <f>IFERROR((P4-C4)/ABS(C4)+1,)</f>
        <v>0.3787935759309673</v>
      </c>
      <c r="R4" s="59"/>
    </row>
    <row r="5" spans="1:18" s="44" customFormat="1" ht="24.95" customHeight="1">
      <c r="A5" s="80"/>
      <c r="B5" s="47" t="s">
        <v>19</v>
      </c>
      <c r="C5" s="29">
        <f>预算执行汇总!B18</f>
        <v>3056.2075270917449</v>
      </c>
      <c r="D5" s="29">
        <f>预算执行汇总!C18</f>
        <v>309.20647499999995</v>
      </c>
      <c r="E5" s="29">
        <f>预算执行汇总!D18</f>
        <v>296.73436800000002</v>
      </c>
      <c r="F5" s="29">
        <f>预算执行汇总!E18</f>
        <v>885.00292000000002</v>
      </c>
      <c r="G5" s="29">
        <f>预算执行汇总!F18</f>
        <v>493.4492800000001</v>
      </c>
      <c r="H5" s="29"/>
      <c r="I5" s="29"/>
      <c r="J5" s="29"/>
      <c r="K5" s="29"/>
      <c r="L5" s="29"/>
      <c r="M5" s="29"/>
      <c r="N5" s="29"/>
      <c r="O5" s="29"/>
      <c r="P5" s="16">
        <f t="shared" ref="P5:P14" si="0">SUM(D5:O5)</f>
        <v>1984.393043</v>
      </c>
      <c r="Q5" s="57">
        <f t="shared" ref="Q5:Q14" si="1">IFERROR(P5/C5,)</f>
        <v>0.64929918057244229</v>
      </c>
      <c r="R5" s="60" t="s">
        <v>20</v>
      </c>
    </row>
    <row r="6" spans="1:18" s="44" customFormat="1" ht="24.95" customHeight="1">
      <c r="A6" s="81"/>
      <c r="B6" s="47" t="s">
        <v>21</v>
      </c>
      <c r="C6" s="29">
        <v>112.83541569000045</v>
      </c>
      <c r="D6" s="29">
        <v>85.643993999999992</v>
      </c>
      <c r="E6" s="48">
        <f>8832769.96/10000</f>
        <v>883.27699600000005</v>
      </c>
      <c r="F6" s="29">
        <f>-7155354.41/10000</f>
        <v>-715.53544099999999</v>
      </c>
      <c r="G6" s="29">
        <f>27193822.25/10000-370.52</f>
        <v>2348.8622249999999</v>
      </c>
      <c r="H6" s="29"/>
      <c r="I6" s="29"/>
      <c r="J6" s="29"/>
      <c r="K6" s="29"/>
      <c r="L6" s="29"/>
      <c r="M6" s="29"/>
      <c r="N6" s="29"/>
      <c r="O6" s="29"/>
      <c r="P6" s="16">
        <f t="shared" si="0"/>
        <v>2602.2477739999999</v>
      </c>
      <c r="Q6" s="57">
        <f t="shared" si="1"/>
        <v>23.062331610044424</v>
      </c>
      <c r="R6" s="59" t="s">
        <v>145</v>
      </c>
    </row>
    <row r="7" spans="1:18" s="44" customFormat="1" ht="24.95" customHeight="1">
      <c r="A7" s="82" t="s">
        <v>22</v>
      </c>
      <c r="B7" s="47" t="s">
        <v>23</v>
      </c>
      <c r="C7" s="16">
        <f>预算执行汇总!B6</f>
        <v>637.27558299999998</v>
      </c>
      <c r="D7" s="16" cm="1">
        <f t="array" ref="D7:O14">预算执行汇总!C5:N12</f>
        <v>46.856168000000004</v>
      </c>
      <c r="E7" s="16">
        <v>43.405380000000008</v>
      </c>
      <c r="F7" s="16">
        <v>50.429416000000003</v>
      </c>
      <c r="G7" s="16">
        <v>56.655602000000002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f t="shared" si="0"/>
        <v>197.346566</v>
      </c>
      <c r="Q7" s="57">
        <f t="shared" si="1"/>
        <v>0.3096722536755343</v>
      </c>
      <c r="R7" s="59"/>
    </row>
    <row r="8" spans="1:18" s="44" customFormat="1" ht="24.95" customHeight="1">
      <c r="A8" s="83"/>
      <c r="B8" s="49" t="s">
        <v>24</v>
      </c>
      <c r="C8" s="16">
        <f>预算执行汇总!B6</f>
        <v>637.27558299999998</v>
      </c>
      <c r="D8" s="16">
        <v>32.585219000000002</v>
      </c>
      <c r="E8" s="16">
        <v>39.025355000000005</v>
      </c>
      <c r="F8" s="16">
        <v>37.531035000000003</v>
      </c>
      <c r="G8" s="16">
        <v>37.76773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f t="shared" si="0"/>
        <v>146.90933900000002</v>
      </c>
      <c r="Q8" s="57">
        <f t="shared" si="1"/>
        <v>0.23052717367330866</v>
      </c>
      <c r="R8" s="59"/>
    </row>
    <row r="9" spans="1:18" s="45" customFormat="1" ht="24.95" customHeight="1">
      <c r="A9" s="83"/>
      <c r="B9" s="50" t="s">
        <v>25</v>
      </c>
      <c r="C9" s="51">
        <f>预算执行汇总!B7</f>
        <v>484.75</v>
      </c>
      <c r="D9" s="51">
        <v>32.253202000000002</v>
      </c>
      <c r="E9" s="51">
        <v>36.318083000000001</v>
      </c>
      <c r="F9" s="51">
        <v>35.989898000000004</v>
      </c>
      <c r="G9" s="51">
        <v>36.802751999999998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16">
        <f t="shared" si="0"/>
        <v>141.363935</v>
      </c>
      <c r="Q9" s="57">
        <f t="shared" si="1"/>
        <v>0.29162235172769468</v>
      </c>
      <c r="R9" s="61"/>
    </row>
    <row r="10" spans="1:18" s="45" customFormat="1" ht="24.95" customHeight="1">
      <c r="A10" s="83"/>
      <c r="B10" s="50" t="s">
        <v>26</v>
      </c>
      <c r="C10" s="51">
        <f>预算执行汇总!B8</f>
        <v>152.52558299999998</v>
      </c>
      <c r="D10" s="51">
        <v>0.33201699999999995</v>
      </c>
      <c r="E10" s="51">
        <v>2.7072719999999997</v>
      </c>
      <c r="F10" s="51">
        <v>1.541137</v>
      </c>
      <c r="G10" s="51">
        <v>0.96497799999999989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16">
        <f t="shared" si="0"/>
        <v>5.5454039999999996</v>
      </c>
      <c r="Q10" s="57">
        <f t="shared" si="1"/>
        <v>3.6357205728562929E-2</v>
      </c>
      <c r="R10" s="61"/>
    </row>
    <row r="11" spans="1:18" s="44" customFormat="1" ht="24.95" customHeight="1">
      <c r="A11" s="83"/>
      <c r="B11" s="49" t="s">
        <v>27</v>
      </c>
      <c r="C11" s="16">
        <f>预算执行汇总!B9</f>
        <v>1626.6899999999998</v>
      </c>
      <c r="D11" s="16">
        <v>14.270949</v>
      </c>
      <c r="E11" s="16">
        <v>4.3800249999999998</v>
      </c>
      <c r="F11" s="16">
        <v>12.898381000000001</v>
      </c>
      <c r="G11" s="16">
        <v>18.887872000000002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f t="shared" si="0"/>
        <v>50.437227</v>
      </c>
      <c r="Q11" s="57">
        <f t="shared" si="1"/>
        <v>3.1006047249322245E-2</v>
      </c>
      <c r="R11" s="61"/>
    </row>
    <row r="12" spans="1:18" s="45" customFormat="1" ht="24.95" customHeight="1">
      <c r="A12" s="83"/>
      <c r="B12" s="50" t="s">
        <v>28</v>
      </c>
      <c r="C12" s="51">
        <f>预算执行汇总!B10</f>
        <v>1626.6899999999998</v>
      </c>
      <c r="D12" s="51">
        <v>14.270949</v>
      </c>
      <c r="E12" s="51">
        <v>4.3800249999999998</v>
      </c>
      <c r="F12" s="51">
        <v>12.898381000000001</v>
      </c>
      <c r="G12" s="51">
        <v>18.887872000000002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6">
        <f t="shared" si="0"/>
        <v>50.437227</v>
      </c>
      <c r="Q12" s="57">
        <f t="shared" si="1"/>
        <v>3.1006047249322245E-2</v>
      </c>
      <c r="R12" s="61"/>
    </row>
    <row r="13" spans="1:18" s="45" customFormat="1" ht="24.95" customHeight="1">
      <c r="A13" s="83"/>
      <c r="B13" s="50" t="s">
        <v>29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6">
        <f t="shared" si="0"/>
        <v>0</v>
      </c>
      <c r="Q13" s="57">
        <f t="shared" si="1"/>
        <v>0</v>
      </c>
      <c r="R13" s="61"/>
    </row>
    <row r="14" spans="1:18" s="46" customFormat="1" ht="24.95" customHeight="1">
      <c r="A14" s="84"/>
      <c r="B14" s="47" t="s">
        <v>30</v>
      </c>
      <c r="C14" s="16">
        <f>预算执行汇总!B12</f>
        <v>842</v>
      </c>
      <c r="D14" s="16">
        <v>0</v>
      </c>
      <c r="E14" s="16">
        <v>0</v>
      </c>
      <c r="F14" s="16">
        <v>1.9359419999999998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f t="shared" si="0"/>
        <v>1.9359419999999998</v>
      </c>
      <c r="Q14" s="57">
        <f t="shared" si="1"/>
        <v>2.2992185273159145E-3</v>
      </c>
      <c r="R14" s="62"/>
    </row>
    <row r="15" spans="1:18" s="46" customFormat="1" ht="24.95" customHeight="1">
      <c r="A15" s="85" t="s">
        <v>31</v>
      </c>
      <c r="B15" s="47" t="s">
        <v>32</v>
      </c>
      <c r="C15" s="52">
        <v>0.65</v>
      </c>
      <c r="D15" s="53">
        <v>0.64129999999999998</v>
      </c>
      <c r="E15" s="53">
        <v>0.64129999999999998</v>
      </c>
      <c r="F15" s="53">
        <v>0.6774</v>
      </c>
      <c r="G15" s="53">
        <v>0.6694</v>
      </c>
      <c r="H15" s="53"/>
      <c r="I15" s="53"/>
      <c r="J15" s="53"/>
      <c r="K15" s="53"/>
      <c r="L15" s="53"/>
      <c r="M15" s="53"/>
      <c r="N15" s="53"/>
      <c r="O15" s="53"/>
      <c r="P15" s="57">
        <f>IFERROR(AVERAGE(D15:O15),)</f>
        <v>0.65734999999999999</v>
      </c>
      <c r="Q15" s="57">
        <f t="shared" ref="Q15:Q20" si="2">IFERROR(P15/C15,)</f>
        <v>1.0113076923076922</v>
      </c>
      <c r="R15" s="61" t="s">
        <v>33</v>
      </c>
    </row>
    <row r="16" spans="1:18" s="46" customFormat="1" ht="24.95" customHeight="1">
      <c r="A16" s="85"/>
      <c r="B16" s="47" t="s">
        <v>34</v>
      </c>
      <c r="C16" s="52">
        <v>0.95</v>
      </c>
      <c r="D16" s="53">
        <v>0.8</v>
      </c>
      <c r="E16" s="53">
        <v>0.85</v>
      </c>
      <c r="F16" s="53">
        <v>0.96</v>
      </c>
      <c r="G16" s="53">
        <v>0.98</v>
      </c>
      <c r="H16" s="53"/>
      <c r="I16" s="53"/>
      <c r="J16" s="53"/>
      <c r="K16" s="53"/>
      <c r="L16" s="53"/>
      <c r="M16" s="53"/>
      <c r="N16" s="53"/>
      <c r="O16" s="53"/>
      <c r="P16" s="57">
        <f>IFERROR(AVERAGE(D16:O16),)</f>
        <v>0.89749999999999996</v>
      </c>
      <c r="Q16" s="57">
        <f t="shared" si="2"/>
        <v>0.94473684210526321</v>
      </c>
      <c r="R16" s="61" t="s">
        <v>35</v>
      </c>
    </row>
    <row r="17" spans="1:18" s="46" customFormat="1" ht="24.95" customHeight="1">
      <c r="A17" s="85"/>
      <c r="B17" s="47" t="s">
        <v>36</v>
      </c>
      <c r="C17" s="54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8" cm="1">
        <f t="array" ref="P17">IFERROR(INDEX(D17:O17,0,MATCH(9.99999999999999E+307,D17:O17)),)</f>
        <v>0</v>
      </c>
      <c r="Q17" s="57">
        <f t="shared" si="2"/>
        <v>0</v>
      </c>
      <c r="R17" s="61" t="s">
        <v>37</v>
      </c>
    </row>
    <row r="18" spans="1:18" s="46" customFormat="1" ht="24.95" customHeight="1">
      <c r="A18" s="85"/>
      <c r="B18" s="47" t="s">
        <v>38</v>
      </c>
      <c r="C18" s="5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8" cm="1">
        <f t="array" ref="P18">IFERROR(INDEX(D18:O18,0,MATCH(9.99999999999999E+307,D18:O18)),)</f>
        <v>0</v>
      </c>
      <c r="Q18" s="57">
        <f t="shared" si="2"/>
        <v>0</v>
      </c>
      <c r="R18" s="61" t="s">
        <v>39</v>
      </c>
    </row>
    <row r="19" spans="1:18" s="46" customFormat="1" ht="24.95" customHeight="1">
      <c r="A19" s="85"/>
      <c r="B19" s="47" t="s">
        <v>40</v>
      </c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8" cm="1">
        <f t="array" ref="P19">IFERROR(INDEX(D19:O19,0,MATCH(9.99999999999999E+307,D19:O19)),)</f>
        <v>0</v>
      </c>
      <c r="Q19" s="57">
        <f t="shared" si="2"/>
        <v>0</v>
      </c>
      <c r="R19" s="61" t="s">
        <v>39</v>
      </c>
    </row>
    <row r="20" spans="1:18" ht="24.95" customHeight="1">
      <c r="A20" s="85"/>
      <c r="B20" s="47" t="s">
        <v>41</v>
      </c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8" cm="1">
        <f t="array" ref="P20">IFERROR(INDEX(D20:O20,0,MATCH(9.99999999999999E+307,D20:O20)),)</f>
        <v>0</v>
      </c>
      <c r="Q20" s="57">
        <f t="shared" si="2"/>
        <v>0</v>
      </c>
      <c r="R20" s="61" t="s">
        <v>39</v>
      </c>
    </row>
    <row r="21" spans="1:18" ht="15.95" customHeight="1">
      <c r="A21" s="86" t="s">
        <v>42</v>
      </c>
      <c r="B21" s="77" t="s">
        <v>43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Q21" s="7"/>
    </row>
    <row r="22" spans="1:18" ht="15.95" customHeight="1">
      <c r="A22" s="86"/>
      <c r="B22" s="77" t="s">
        <v>44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Q22" s="7"/>
    </row>
    <row r="23" spans="1:18" ht="15.95" customHeight="1">
      <c r="A23" s="86"/>
      <c r="B23" s="39" t="s">
        <v>45</v>
      </c>
      <c r="C23" s="8"/>
    </row>
  </sheetData>
  <mergeCells count="14">
    <mergeCell ref="R2:R3"/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</mergeCells>
  <phoneticPr fontId="3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 activeCell="P4" sqref="P4"/>
    </sheetView>
  </sheetViews>
  <sheetFormatPr defaultColWidth="8.875" defaultRowHeight="15.95" customHeight="1"/>
  <cols>
    <col min="1" max="1" width="17.75" customWidth="1"/>
    <col min="2" max="2" width="13.625" customWidth="1"/>
    <col min="3" max="3" width="10.25" customWidth="1"/>
    <col min="4" max="4" width="13.375" customWidth="1"/>
    <col min="5" max="5" width="10.75" customWidth="1"/>
    <col min="6" max="6" width="9.75" customWidth="1"/>
    <col min="7" max="7" width="9.25" customWidth="1"/>
    <col min="8" max="8" width="10.25" customWidth="1"/>
    <col min="9" max="9" width="10.5" customWidth="1"/>
    <col min="10" max="10" width="9.75" customWidth="1"/>
    <col min="11" max="11" width="10.125" customWidth="1"/>
    <col min="12" max="14" width="7.625" customWidth="1"/>
    <col min="15" max="15" width="12.5" customWidth="1"/>
    <col min="16" max="16" width="11.25" style="28" customWidth="1"/>
  </cols>
  <sheetData>
    <row r="1" spans="1:16" s="1" customFormat="1" ht="32.1" customHeight="1">
      <c r="A1" s="75" t="s">
        <v>123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1:16" s="24" customFormat="1" ht="18" customHeight="1">
      <c r="A2" s="78" t="s">
        <v>1</v>
      </c>
      <c r="B2" s="78" t="s">
        <v>139</v>
      </c>
      <c r="C2" s="76" t="s">
        <v>144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8" t="s">
        <v>140</v>
      </c>
      <c r="P2" s="87" t="s">
        <v>3</v>
      </c>
    </row>
    <row r="3" spans="1:16" s="24" customFormat="1" ht="18" customHeight="1">
      <c r="A3" s="78"/>
      <c r="B3" s="78"/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  <c r="L3" s="14" t="s">
        <v>14</v>
      </c>
      <c r="M3" s="14" t="s">
        <v>15</v>
      </c>
      <c r="N3" s="14" t="s">
        <v>16</v>
      </c>
      <c r="O3" s="78"/>
      <c r="P3" s="87"/>
    </row>
    <row r="4" spans="1:16" s="25" customFormat="1" ht="18" customHeight="1">
      <c r="A4" s="19" t="s">
        <v>18</v>
      </c>
      <c r="B4" s="29">
        <v>8093.173110091745</v>
      </c>
      <c r="C4" s="29">
        <v>580.60930599999995</v>
      </c>
      <c r="D4" s="29">
        <f>5672052.36/10000</f>
        <v>567.20523600000001</v>
      </c>
      <c r="E4" s="29">
        <f>11480224.71/10000</f>
        <v>1148.022471</v>
      </c>
      <c r="F4" s="29">
        <f>(11097338.88-3399289.18)/10000</f>
        <v>769.80497000000014</v>
      </c>
      <c r="G4" s="29"/>
      <c r="H4" s="29"/>
      <c r="I4" s="29"/>
      <c r="J4" s="29"/>
      <c r="K4" s="29"/>
      <c r="L4" s="29"/>
      <c r="M4" s="29"/>
      <c r="N4" s="29"/>
      <c r="O4" s="16">
        <f>SUM(C4:N4)</f>
        <v>3065.6419830000004</v>
      </c>
      <c r="P4" s="63">
        <f t="shared" ref="P4:P9" si="0">IFERROR(O4/B4,)</f>
        <v>0.37879357593096735</v>
      </c>
    </row>
    <row r="5" spans="1:16" s="25" customFormat="1" ht="18" customHeight="1">
      <c r="A5" s="19" t="s">
        <v>23</v>
      </c>
      <c r="B5" s="16">
        <v>2263.9655829999997</v>
      </c>
      <c r="C5" s="16">
        <f t="shared" ref="C5:N5" si="1">C6+C9</f>
        <v>46.856168000000004</v>
      </c>
      <c r="D5" s="16">
        <f t="shared" si="1"/>
        <v>43.405380000000008</v>
      </c>
      <c r="E5" s="16">
        <f t="shared" si="1"/>
        <v>50.429416000000003</v>
      </c>
      <c r="F5" s="16">
        <f t="shared" si="1"/>
        <v>56.655602000000002</v>
      </c>
      <c r="G5" s="16">
        <f t="shared" si="1"/>
        <v>0</v>
      </c>
      <c r="H5" s="16">
        <f t="shared" si="1"/>
        <v>0</v>
      </c>
      <c r="I5" s="16">
        <f t="shared" si="1"/>
        <v>0</v>
      </c>
      <c r="J5" s="16">
        <f t="shared" si="1"/>
        <v>0</v>
      </c>
      <c r="K5" s="16">
        <f t="shared" si="1"/>
        <v>0</v>
      </c>
      <c r="L5" s="16">
        <f t="shared" si="1"/>
        <v>0</v>
      </c>
      <c r="M5" s="16">
        <f t="shared" si="1"/>
        <v>0</v>
      </c>
      <c r="N5" s="16">
        <f t="shared" si="1"/>
        <v>0</v>
      </c>
      <c r="O5" s="16">
        <f t="shared" ref="O5:O15" si="2">SUM(C5:N5)</f>
        <v>197.346566</v>
      </c>
      <c r="P5" s="63">
        <f t="shared" si="0"/>
        <v>8.716853625420154E-2</v>
      </c>
    </row>
    <row r="6" spans="1:16" s="25" customFormat="1" ht="18" customHeight="1">
      <c r="A6" s="19" t="s">
        <v>46</v>
      </c>
      <c r="B6" s="16">
        <v>637.27558299999998</v>
      </c>
      <c r="C6" s="16">
        <f>费用预算执行明细!C4</f>
        <v>32.585219000000002</v>
      </c>
      <c r="D6" s="16">
        <f>费用预算执行明细!D4</f>
        <v>39.025355000000005</v>
      </c>
      <c r="E6" s="16">
        <f>费用预算执行明细!E4</f>
        <v>37.531035000000003</v>
      </c>
      <c r="F6" s="16">
        <f>费用预算执行明细!F4</f>
        <v>37.76773</v>
      </c>
      <c r="G6" s="16">
        <f>费用预算执行明细!G4</f>
        <v>0</v>
      </c>
      <c r="H6" s="16">
        <f>费用预算执行明细!H4</f>
        <v>0</v>
      </c>
      <c r="I6" s="16">
        <f>费用预算执行明细!I4</f>
        <v>0</v>
      </c>
      <c r="J6" s="16">
        <f>费用预算执行明细!J4</f>
        <v>0</v>
      </c>
      <c r="K6" s="16">
        <f>费用预算执行明细!K4</f>
        <v>0</v>
      </c>
      <c r="L6" s="16">
        <f>费用预算执行明细!L4</f>
        <v>0</v>
      </c>
      <c r="M6" s="16">
        <f>费用预算执行明细!M4</f>
        <v>0</v>
      </c>
      <c r="N6" s="16">
        <f>费用预算执行明细!N4</f>
        <v>0</v>
      </c>
      <c r="O6" s="16">
        <f t="shared" si="2"/>
        <v>146.90933900000002</v>
      </c>
      <c r="P6" s="63">
        <f t="shared" si="0"/>
        <v>0.23052717367330866</v>
      </c>
    </row>
    <row r="7" spans="1:16" s="26" customFormat="1" ht="18" customHeight="1">
      <c r="A7" s="30" t="s">
        <v>47</v>
      </c>
      <c r="B7" s="23">
        <v>484.75</v>
      </c>
      <c r="C7" s="23">
        <f>费用预算执行明细!C5</f>
        <v>32.253202000000002</v>
      </c>
      <c r="D7" s="23">
        <f>费用预算执行明细!D5</f>
        <v>36.318083000000001</v>
      </c>
      <c r="E7" s="23">
        <f>费用预算执行明细!E5</f>
        <v>35.989898000000004</v>
      </c>
      <c r="F7" s="23">
        <f>费用预算执行明细!F5</f>
        <v>36.802751999999998</v>
      </c>
      <c r="G7" s="23">
        <f>费用预算执行明细!G5</f>
        <v>0</v>
      </c>
      <c r="H7" s="23">
        <f>费用预算执行明细!H5</f>
        <v>0</v>
      </c>
      <c r="I7" s="23">
        <f>费用预算执行明细!I5</f>
        <v>0</v>
      </c>
      <c r="J7" s="23">
        <f>费用预算执行明细!J5</f>
        <v>0</v>
      </c>
      <c r="K7" s="23">
        <f>费用预算执行明细!K5</f>
        <v>0</v>
      </c>
      <c r="L7" s="23">
        <f>费用预算执行明细!L5</f>
        <v>0</v>
      </c>
      <c r="M7" s="23">
        <f>费用预算执行明细!M5</f>
        <v>0</v>
      </c>
      <c r="N7" s="23">
        <f>费用预算执行明细!N5</f>
        <v>0</v>
      </c>
      <c r="O7" s="23">
        <f t="shared" si="2"/>
        <v>141.363935</v>
      </c>
      <c r="P7" s="64">
        <f t="shared" si="0"/>
        <v>0.29162235172769468</v>
      </c>
    </row>
    <row r="8" spans="1:16" s="26" customFormat="1" ht="18" customHeight="1">
      <c r="A8" s="30" t="s">
        <v>48</v>
      </c>
      <c r="B8" s="23">
        <v>152.52558299999998</v>
      </c>
      <c r="C8" s="23">
        <f>费用预算执行明细!C15</f>
        <v>0.33201699999999995</v>
      </c>
      <c r="D8" s="23">
        <f>费用预算执行明细!D15</f>
        <v>2.7072719999999997</v>
      </c>
      <c r="E8" s="23">
        <f>费用预算执行明细!E15</f>
        <v>1.541137</v>
      </c>
      <c r="F8" s="23">
        <f>费用预算执行明细!F15</f>
        <v>0.96497799999999989</v>
      </c>
      <c r="G8" s="23">
        <f>费用预算执行明细!G15</f>
        <v>0</v>
      </c>
      <c r="H8" s="23">
        <f>费用预算执行明细!H15</f>
        <v>0</v>
      </c>
      <c r="I8" s="23">
        <f>费用预算执行明细!I15</f>
        <v>0</v>
      </c>
      <c r="J8" s="23">
        <f>费用预算执行明细!J15</f>
        <v>0</v>
      </c>
      <c r="K8" s="23">
        <f>费用预算执行明细!K15</f>
        <v>0</v>
      </c>
      <c r="L8" s="23">
        <f>费用预算执行明细!L15</f>
        <v>0</v>
      </c>
      <c r="M8" s="23">
        <f>费用预算执行明细!M15</f>
        <v>0</v>
      </c>
      <c r="N8" s="23">
        <f>费用预算执行明细!N15</f>
        <v>0</v>
      </c>
      <c r="O8" s="23">
        <f t="shared" si="2"/>
        <v>5.5454039999999996</v>
      </c>
      <c r="P8" s="64">
        <f t="shared" si="0"/>
        <v>3.6357205728562929E-2</v>
      </c>
    </row>
    <row r="9" spans="1:16" s="25" customFormat="1" ht="18" customHeight="1">
      <c r="A9" s="19" t="s">
        <v>27</v>
      </c>
      <c r="B9" s="16">
        <v>1626.6899999999998</v>
      </c>
      <c r="C9" s="16">
        <f>费用预算执行明细!C48</f>
        <v>14.270949</v>
      </c>
      <c r="D9" s="16">
        <f>费用预算执行明细!D48</f>
        <v>4.3800249999999998</v>
      </c>
      <c r="E9" s="16">
        <f>费用预算执行明细!E48</f>
        <v>12.898381000000001</v>
      </c>
      <c r="F9" s="16">
        <f>费用预算执行明细!F48</f>
        <v>18.887872000000002</v>
      </c>
      <c r="G9" s="16">
        <f>费用预算执行明细!G48</f>
        <v>0</v>
      </c>
      <c r="H9" s="16">
        <f>费用预算执行明细!H48</f>
        <v>0</v>
      </c>
      <c r="I9" s="16">
        <f>费用预算执行明细!I48</f>
        <v>0</v>
      </c>
      <c r="J9" s="16">
        <f>费用预算执行明细!J48</f>
        <v>0</v>
      </c>
      <c r="K9" s="16">
        <f>费用预算执行明细!K48</f>
        <v>0</v>
      </c>
      <c r="L9" s="16">
        <f>费用预算执行明细!L48</f>
        <v>0</v>
      </c>
      <c r="M9" s="16">
        <f>费用预算执行明细!M48</f>
        <v>0</v>
      </c>
      <c r="N9" s="16">
        <f>费用预算执行明细!N48</f>
        <v>0</v>
      </c>
      <c r="O9" s="16">
        <f t="shared" si="2"/>
        <v>50.437227</v>
      </c>
      <c r="P9" s="63">
        <f t="shared" si="0"/>
        <v>3.1006047249322245E-2</v>
      </c>
    </row>
    <row r="10" spans="1:16" s="26" customFormat="1" ht="18" customHeight="1">
      <c r="A10" s="30" t="s">
        <v>49</v>
      </c>
      <c r="B10" s="23">
        <v>1626.6899999999998</v>
      </c>
      <c r="C10" s="23">
        <f>费用预算执行明细!C49</f>
        <v>14.270949</v>
      </c>
      <c r="D10" s="23">
        <f>费用预算执行明细!D49</f>
        <v>4.3800249999999998</v>
      </c>
      <c r="E10" s="23">
        <f>费用预算执行明细!E49</f>
        <v>12.898381000000001</v>
      </c>
      <c r="F10" s="23">
        <f>费用预算执行明细!F49</f>
        <v>18.887872000000002</v>
      </c>
      <c r="G10" s="23">
        <f>费用预算执行明细!G49</f>
        <v>0</v>
      </c>
      <c r="H10" s="23">
        <f>费用预算执行明细!H49</f>
        <v>0</v>
      </c>
      <c r="I10" s="23">
        <f>费用预算执行明细!I49</f>
        <v>0</v>
      </c>
      <c r="J10" s="23">
        <f>费用预算执行明细!J49</f>
        <v>0</v>
      </c>
      <c r="K10" s="23">
        <f>费用预算执行明细!K49</f>
        <v>0</v>
      </c>
      <c r="L10" s="23">
        <f>费用预算执行明细!L49</f>
        <v>0</v>
      </c>
      <c r="M10" s="23">
        <f>费用预算执行明细!M49</f>
        <v>0</v>
      </c>
      <c r="N10" s="23">
        <f>费用预算执行明细!N49</f>
        <v>0</v>
      </c>
      <c r="O10" s="23">
        <f t="shared" si="2"/>
        <v>50.437227</v>
      </c>
      <c r="P10" s="64">
        <f t="shared" ref="P10:P15" si="3">IFERROR(O10/B10,)</f>
        <v>3.1006047249322245E-2</v>
      </c>
    </row>
    <row r="11" spans="1:16" s="26" customFormat="1" ht="18" customHeight="1">
      <c r="A11" s="30" t="s">
        <v>50</v>
      </c>
      <c r="B11" s="23"/>
      <c r="C11" s="23">
        <f>费用预算执行明细!C82</f>
        <v>0</v>
      </c>
      <c r="D11" s="23">
        <f>费用预算执行明细!D82</f>
        <v>0</v>
      </c>
      <c r="E11" s="23">
        <f>费用预算执行明细!E82</f>
        <v>0</v>
      </c>
      <c r="F11" s="23">
        <f>费用预算执行明细!F82</f>
        <v>0</v>
      </c>
      <c r="G11" s="23">
        <f>费用预算执行明细!G82</f>
        <v>0</v>
      </c>
      <c r="H11" s="23">
        <f>费用预算执行明细!H82</f>
        <v>0</v>
      </c>
      <c r="I11" s="23">
        <f>费用预算执行明细!I82</f>
        <v>0</v>
      </c>
      <c r="J11" s="23">
        <f>费用预算执行明细!J82</f>
        <v>0</v>
      </c>
      <c r="K11" s="23">
        <f>费用预算执行明细!K82</f>
        <v>0</v>
      </c>
      <c r="L11" s="23">
        <f>费用预算执行明细!L82</f>
        <v>0</v>
      </c>
      <c r="M11" s="23">
        <f>费用预算执行明细!M82</f>
        <v>0</v>
      </c>
      <c r="N11" s="23">
        <f>费用预算执行明细!N82</f>
        <v>0</v>
      </c>
      <c r="O11" s="23">
        <f t="shared" si="2"/>
        <v>0</v>
      </c>
      <c r="P11" s="64">
        <f t="shared" si="3"/>
        <v>0</v>
      </c>
    </row>
    <row r="12" spans="1:16" s="27" customFormat="1" ht="18" customHeight="1">
      <c r="A12" s="31" t="s">
        <v>30</v>
      </c>
      <c r="B12" s="32">
        <f>资本性支出计划与执行!G21</f>
        <v>842</v>
      </c>
      <c r="C12" s="33">
        <v>0</v>
      </c>
      <c r="D12" s="33">
        <v>0</v>
      </c>
      <c r="E12" s="33">
        <f>资本性支出计划与执行!H21</f>
        <v>1.9359419999999998</v>
      </c>
      <c r="F12" s="33">
        <v>0</v>
      </c>
      <c r="G12" s="33"/>
      <c r="H12" s="33"/>
      <c r="I12" s="33"/>
      <c r="J12" s="33"/>
      <c r="K12" s="33"/>
      <c r="L12" s="33"/>
      <c r="M12" s="33"/>
      <c r="N12" s="33"/>
      <c r="O12" s="32">
        <f t="shared" si="2"/>
        <v>1.9359419999999998</v>
      </c>
      <c r="P12" s="63">
        <f t="shared" si="3"/>
        <v>2.2992185273159145E-3</v>
      </c>
    </row>
    <row r="13" spans="1:16" s="25" customFormat="1" ht="18" customHeight="1">
      <c r="A13" s="19" t="s">
        <v>51</v>
      </c>
      <c r="B13" s="29">
        <v>7040.7201480000003</v>
      </c>
      <c r="C13" s="29">
        <f>5757901.02/10000+1244.88/10000</f>
        <v>575.91458999999998</v>
      </c>
      <c r="D13" s="29">
        <f>(5690413.94+62504.75+5367.73)/10000+1244.88/10000</f>
        <v>575.9531300000001</v>
      </c>
      <c r="E13" s="29">
        <f>(62504.75+1244.88+5367.73+5690413.94)/10000</f>
        <v>575.9531300000001</v>
      </c>
      <c r="F13" s="29">
        <f>(5690413.94+62504.75+5367.73+1244.88)/10000</f>
        <v>575.9531300000001</v>
      </c>
      <c r="G13" s="29"/>
      <c r="H13" s="29"/>
      <c r="I13" s="29"/>
      <c r="J13" s="29"/>
      <c r="K13" s="29"/>
      <c r="L13" s="29"/>
      <c r="M13" s="29"/>
      <c r="N13" s="29"/>
      <c r="O13" s="16">
        <f t="shared" si="2"/>
        <v>2303.7739800000004</v>
      </c>
      <c r="P13" s="63">
        <f t="shared" si="3"/>
        <v>0.32720715091259728</v>
      </c>
    </row>
    <row r="14" spans="1:16" s="25" customFormat="1" ht="18" customHeight="1">
      <c r="A14" s="19" t="s">
        <v>52</v>
      </c>
      <c r="B14" s="16">
        <v>1487.4</v>
      </c>
      <c r="C14" s="29">
        <v>0.32496900000000001</v>
      </c>
      <c r="D14" s="29">
        <f>680.43/10000</f>
        <v>6.8042999999999992E-2</v>
      </c>
      <c r="E14" s="29">
        <f>3657547.43/10000</f>
        <v>365.75474300000002</v>
      </c>
      <c r="F14" s="29">
        <f>534.76/10000</f>
        <v>5.3475999999999996E-2</v>
      </c>
      <c r="G14" s="29"/>
      <c r="H14" s="29"/>
      <c r="I14" s="29"/>
      <c r="J14" s="29"/>
      <c r="K14" s="29"/>
      <c r="L14" s="29"/>
      <c r="M14" s="29"/>
      <c r="N14" s="29"/>
      <c r="O14" s="16">
        <f t="shared" si="2"/>
        <v>366.20123100000001</v>
      </c>
      <c r="P14" s="63">
        <f t="shared" si="3"/>
        <v>0.24620225292456635</v>
      </c>
    </row>
    <row r="15" spans="1:16" s="25" customFormat="1" ht="18" customHeight="1">
      <c r="A15" s="19" t="s">
        <v>53</v>
      </c>
      <c r="B15" s="29">
        <v>2833</v>
      </c>
      <c r="C15" s="29">
        <v>224.546663</v>
      </c>
      <c r="D15" s="29">
        <f>2270654.88/10000</f>
        <v>227.06548799999999</v>
      </c>
      <c r="E15" s="29">
        <f>2125901.35/10000</f>
        <v>212.590135</v>
      </c>
      <c r="F15" s="29">
        <f>2197000.88/10000</f>
        <v>219.70008799999999</v>
      </c>
      <c r="G15" s="29"/>
      <c r="H15" s="29"/>
      <c r="I15" s="29"/>
      <c r="J15" s="29"/>
      <c r="K15" s="29"/>
      <c r="L15" s="29"/>
      <c r="M15" s="29"/>
      <c r="N15" s="29"/>
      <c r="O15" s="16">
        <f t="shared" si="2"/>
        <v>883.90237400000001</v>
      </c>
      <c r="P15" s="63">
        <f t="shared" si="3"/>
        <v>0.31200224991175435</v>
      </c>
    </row>
    <row r="16" spans="1:16" s="25" customFormat="1" ht="18" customHeight="1">
      <c r="A16" s="19" t="s">
        <v>54</v>
      </c>
      <c r="B16" s="21"/>
      <c r="C16" s="73">
        <f>IFERROR(C9/C4,)</f>
        <v>2.457926328862528E-2</v>
      </c>
      <c r="D16" s="73">
        <f t="shared" ref="D16:O16" si="4">IFERROR(D9/D4,)</f>
        <v>7.7221166554957534E-3</v>
      </c>
      <c r="E16" s="73">
        <f t="shared" si="4"/>
        <v>1.1235303598861351E-2</v>
      </c>
      <c r="F16" s="73">
        <f t="shared" si="4"/>
        <v>2.4535918493745239E-2</v>
      </c>
      <c r="G16" s="73">
        <f t="shared" si="4"/>
        <v>0</v>
      </c>
      <c r="H16" s="73">
        <f t="shared" si="4"/>
        <v>0</v>
      </c>
      <c r="I16" s="73">
        <f t="shared" si="4"/>
        <v>0</v>
      </c>
      <c r="J16" s="73">
        <f t="shared" si="4"/>
        <v>0</v>
      </c>
      <c r="K16" s="73">
        <f t="shared" si="4"/>
        <v>0</v>
      </c>
      <c r="L16" s="73">
        <f t="shared" si="4"/>
        <v>0</v>
      </c>
      <c r="M16" s="73">
        <f t="shared" si="4"/>
        <v>0</v>
      </c>
      <c r="N16" s="73">
        <f t="shared" si="4"/>
        <v>0</v>
      </c>
      <c r="O16" s="73">
        <f t="shared" si="4"/>
        <v>1.6452419193007897E-2</v>
      </c>
      <c r="P16" s="63"/>
    </row>
    <row r="17" spans="1:16" ht="32.1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65"/>
    </row>
    <row r="18" spans="1:16" s="25" customFormat="1" ht="18" customHeight="1">
      <c r="A18" s="19" t="s">
        <v>55</v>
      </c>
      <c r="B18" s="16">
        <v>3056.2075270917449</v>
      </c>
      <c r="C18" s="16">
        <f>C4-C6-C9-C15</f>
        <v>309.20647499999995</v>
      </c>
      <c r="D18" s="16">
        <f>D4-D6-D9-D15</f>
        <v>296.73436800000002</v>
      </c>
      <c r="E18" s="16">
        <f>E4-E6-E9-E15</f>
        <v>885.00292000000002</v>
      </c>
      <c r="F18" s="16">
        <f>F4-F6-F9-F15</f>
        <v>493.4492800000001</v>
      </c>
      <c r="G18" s="16">
        <f t="shared" ref="G18:O18" si="5">G4-G6-G9-G15</f>
        <v>0</v>
      </c>
      <c r="H18" s="16">
        <f t="shared" si="5"/>
        <v>0</v>
      </c>
      <c r="I18" s="16">
        <f t="shared" si="5"/>
        <v>0</v>
      </c>
      <c r="J18" s="16">
        <f t="shared" si="5"/>
        <v>0</v>
      </c>
      <c r="K18" s="16">
        <f t="shared" si="5"/>
        <v>0</v>
      </c>
      <c r="L18" s="16">
        <f t="shared" si="5"/>
        <v>0</v>
      </c>
      <c r="M18" s="16">
        <f t="shared" si="5"/>
        <v>0</v>
      </c>
      <c r="N18" s="16">
        <f t="shared" si="5"/>
        <v>0</v>
      </c>
      <c r="O18" s="16">
        <f t="shared" si="5"/>
        <v>1984.3930430000007</v>
      </c>
      <c r="P18" s="63">
        <f>IFERROR(O18/B18,)</f>
        <v>0.64929918057244251</v>
      </c>
    </row>
    <row r="19" spans="1:16" ht="18" customHeight="1">
      <c r="A19" s="35" t="s">
        <v>56</v>
      </c>
      <c r="B19" s="36"/>
      <c r="C19" s="37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40"/>
      <c r="O19" s="36"/>
      <c r="P19" s="63">
        <f>IFERROR(O19/B19,)</f>
        <v>0</v>
      </c>
    </row>
    <row r="20" spans="1:16" ht="32.1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1"/>
    </row>
    <row r="21" spans="1:16" ht="18" customHeight="1">
      <c r="A21" s="86" t="s">
        <v>42</v>
      </c>
      <c r="B21" s="77" t="s">
        <v>43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41"/>
    </row>
    <row r="22" spans="1:16" ht="18" customHeight="1">
      <c r="A22" s="86"/>
      <c r="B22" s="77" t="s">
        <v>44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41"/>
    </row>
    <row r="23" spans="1:16" ht="18" customHeight="1">
      <c r="A23" s="86"/>
      <c r="B23" s="39" t="s">
        <v>45</v>
      </c>
      <c r="C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honeticPr fontId="3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89"/>
  <sheetViews>
    <sheetView workbookViewId="0">
      <pane xSplit="2" ySplit="3" topLeftCell="C4" activePane="bottomRight" state="frozen"/>
      <selection pane="topRight"/>
      <selection pane="bottomLeft"/>
      <selection pane="bottomRight" activeCell="F11" sqref="F11"/>
    </sheetView>
  </sheetViews>
  <sheetFormatPr defaultColWidth="8.875" defaultRowHeight="15.95" customHeight="1"/>
  <cols>
    <col min="1" max="1" width="19.875" style="12" customWidth="1"/>
    <col min="2" max="2" width="12.5" style="12" customWidth="1"/>
    <col min="3" max="14" width="7.625" customWidth="1"/>
    <col min="15" max="15" width="12.5" style="12" customWidth="1"/>
    <col min="16" max="16" width="9.125" style="69" customWidth="1"/>
    <col min="17" max="16384" width="8.875" style="12"/>
  </cols>
  <sheetData>
    <row r="1" spans="1:16" s="1" customFormat="1" ht="32.1" customHeight="1">
      <c r="A1" s="75" t="s">
        <v>122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1:16" s="10" customFormat="1" ht="15.95" customHeight="1">
      <c r="A2" s="78" t="s">
        <v>1</v>
      </c>
      <c r="B2" s="78" t="s">
        <v>139</v>
      </c>
      <c r="C2" s="76" t="s">
        <v>57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88" t="s">
        <v>2</v>
      </c>
      <c r="P2" s="89" t="s">
        <v>3</v>
      </c>
    </row>
    <row r="3" spans="1:16" s="11" customFormat="1" ht="15.95" customHeight="1">
      <c r="A3" s="78"/>
      <c r="B3" s="78"/>
      <c r="C3" s="13" t="s">
        <v>5</v>
      </c>
      <c r="D3" s="14" t="s">
        <v>6</v>
      </c>
      <c r="E3" s="13" t="s">
        <v>7</v>
      </c>
      <c r="F3" s="14" t="s">
        <v>8</v>
      </c>
      <c r="G3" s="13" t="s">
        <v>9</v>
      </c>
      <c r="H3" s="14" t="s">
        <v>10</v>
      </c>
      <c r="I3" s="13" t="s">
        <v>11</v>
      </c>
      <c r="J3" s="14" t="s">
        <v>12</v>
      </c>
      <c r="K3" s="13" t="s">
        <v>13</v>
      </c>
      <c r="L3" s="14" t="s">
        <v>14</v>
      </c>
      <c r="M3" s="13" t="s">
        <v>15</v>
      </c>
      <c r="N3" s="20" t="s">
        <v>16</v>
      </c>
      <c r="O3" s="88"/>
      <c r="P3" s="89"/>
    </row>
    <row r="4" spans="1:16" ht="15.95" customHeight="1">
      <c r="A4" s="15" t="s">
        <v>24</v>
      </c>
      <c r="B4" s="16">
        <f>B5+B15</f>
        <v>637.27558299999998</v>
      </c>
      <c r="C4" s="16">
        <f t="shared" ref="C4:N4" si="0">C5+C15</f>
        <v>32.585219000000002</v>
      </c>
      <c r="D4" s="16">
        <f t="shared" si="0"/>
        <v>39.025355000000005</v>
      </c>
      <c r="E4" s="16">
        <f t="shared" si="0"/>
        <v>37.531035000000003</v>
      </c>
      <c r="F4" s="16">
        <f t="shared" si="0"/>
        <v>37.76773</v>
      </c>
      <c r="G4" s="16">
        <f t="shared" si="0"/>
        <v>0</v>
      </c>
      <c r="H4" s="16">
        <f t="shared" si="0"/>
        <v>0</v>
      </c>
      <c r="I4" s="16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6">
        <f t="shared" si="0"/>
        <v>0</v>
      </c>
      <c r="N4" s="16">
        <f t="shared" si="0"/>
        <v>0</v>
      </c>
      <c r="O4" s="16">
        <f>SUM(C4:N4)</f>
        <v>146.90933900000002</v>
      </c>
      <c r="P4" s="67">
        <f t="shared" ref="P4:P71" si="1">IFERROR(O4/B4,)</f>
        <v>0.23052717367330866</v>
      </c>
    </row>
    <row r="5" spans="1:16" ht="15.95" customHeight="1">
      <c r="A5" s="16" t="s">
        <v>58</v>
      </c>
      <c r="B5" s="16">
        <f>SUM(B6:B14)</f>
        <v>484.75</v>
      </c>
      <c r="C5" s="16">
        <f t="shared" ref="C5:N5" si="2">SUM(C6:C14)</f>
        <v>32.253202000000002</v>
      </c>
      <c r="D5" s="16">
        <f t="shared" si="2"/>
        <v>36.318083000000001</v>
      </c>
      <c r="E5" s="16">
        <f t="shared" si="2"/>
        <v>35.989898000000004</v>
      </c>
      <c r="F5" s="16">
        <f t="shared" si="2"/>
        <v>36.802751999999998</v>
      </c>
      <c r="G5" s="16">
        <f t="shared" si="2"/>
        <v>0</v>
      </c>
      <c r="H5" s="16">
        <f t="shared" si="2"/>
        <v>0</v>
      </c>
      <c r="I5" s="16">
        <f t="shared" si="2"/>
        <v>0</v>
      </c>
      <c r="J5" s="16">
        <f t="shared" si="2"/>
        <v>0</v>
      </c>
      <c r="K5" s="16">
        <f t="shared" si="2"/>
        <v>0</v>
      </c>
      <c r="L5" s="16">
        <f t="shared" si="2"/>
        <v>0</v>
      </c>
      <c r="M5" s="16">
        <f t="shared" si="2"/>
        <v>0</v>
      </c>
      <c r="N5" s="16">
        <f t="shared" si="2"/>
        <v>0</v>
      </c>
      <c r="O5" s="16">
        <f t="shared" ref="O5:O40" si="3">SUM(C5:N5)</f>
        <v>141.363935</v>
      </c>
      <c r="P5" s="67">
        <f t="shared" si="1"/>
        <v>0.29162235172769468</v>
      </c>
    </row>
    <row r="6" spans="1:16" ht="15.95" customHeight="1">
      <c r="A6" s="17" t="s">
        <v>59</v>
      </c>
      <c r="B6" s="18">
        <v>297.72000000000003</v>
      </c>
      <c r="C6" s="18">
        <f>225310.64/10000</f>
        <v>22.531064000000001</v>
      </c>
      <c r="D6" s="18">
        <f>247732.28/10000</f>
        <v>24.773228</v>
      </c>
      <c r="E6" s="18">
        <f>(250751.43)/10000</f>
        <v>25.075143000000001</v>
      </c>
      <c r="F6" s="18">
        <f>260578.97/10000</f>
        <v>26.057897000000001</v>
      </c>
      <c r="G6" s="18"/>
      <c r="H6" s="18"/>
      <c r="I6" s="18"/>
      <c r="J6" s="22"/>
      <c r="K6" s="18"/>
      <c r="L6" s="22"/>
      <c r="M6" s="18"/>
      <c r="N6" s="18"/>
      <c r="O6" s="23">
        <f t="shared" si="3"/>
        <v>98.437331999999998</v>
      </c>
      <c r="P6" s="68">
        <f t="shared" si="1"/>
        <v>0.33063728335348647</v>
      </c>
    </row>
    <row r="7" spans="1:16" ht="15.95" customHeight="1">
      <c r="A7" s="17" t="s">
        <v>60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3">
        <f t="shared" si="3"/>
        <v>0</v>
      </c>
      <c r="P7" s="68">
        <f t="shared" si="1"/>
        <v>0</v>
      </c>
    </row>
    <row r="8" spans="1:16" ht="15.95" customHeight="1">
      <c r="A8" s="17" t="s">
        <v>61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23">
        <f t="shared" si="3"/>
        <v>0</v>
      </c>
      <c r="P8" s="68">
        <f t="shared" si="1"/>
        <v>0</v>
      </c>
    </row>
    <row r="9" spans="1:16" ht="15.95" customHeight="1">
      <c r="A9" s="17" t="s">
        <v>62</v>
      </c>
      <c r="B9" s="18">
        <v>16.899999999999999</v>
      </c>
      <c r="C9" s="18">
        <f>3207.55/10000</f>
        <v>0.32075500000000001</v>
      </c>
      <c r="D9" s="18">
        <f>3886.79/10000+8000/10000</f>
        <v>1.188679</v>
      </c>
      <c r="E9" s="18">
        <f>(3886.79+1699)/10000</f>
        <v>0.55857900000000005</v>
      </c>
      <c r="F9" s="18">
        <f>3886.79/10000</f>
        <v>0.388679</v>
      </c>
      <c r="G9" s="18"/>
      <c r="H9" s="18"/>
      <c r="I9" s="18"/>
      <c r="J9" s="18"/>
      <c r="K9" s="18"/>
      <c r="L9" s="18"/>
      <c r="M9" s="18"/>
      <c r="N9" s="18"/>
      <c r="O9" s="23">
        <f t="shared" si="3"/>
        <v>2.4566920000000003</v>
      </c>
      <c r="P9" s="68">
        <f t="shared" si="1"/>
        <v>0.14536639053254441</v>
      </c>
    </row>
    <row r="10" spans="1:16" ht="15.95" customHeight="1">
      <c r="A10" s="17" t="s">
        <v>110</v>
      </c>
      <c r="B10" s="18">
        <v>130.06</v>
      </c>
      <c r="C10" s="18">
        <f>(29291+64722.83)/10000</f>
        <v>9.4013830000000009</v>
      </c>
      <c r="D10" s="18">
        <f>(32171+71390.76)/10000</f>
        <v>10.356176</v>
      </c>
      <c r="E10" s="18">
        <f>(32171+71390.76)/10000</f>
        <v>10.356176</v>
      </c>
      <c r="F10" s="18">
        <f>(32171+71390.76)/10000</f>
        <v>10.356176</v>
      </c>
      <c r="G10" s="18"/>
      <c r="H10" s="18"/>
      <c r="I10" s="18"/>
      <c r="J10" s="18"/>
      <c r="K10" s="18"/>
      <c r="L10" s="18"/>
      <c r="M10" s="18"/>
      <c r="N10" s="18"/>
      <c r="O10" s="23">
        <f t="shared" si="3"/>
        <v>40.469910999999996</v>
      </c>
      <c r="P10" s="68">
        <f t="shared" si="1"/>
        <v>0.31116339381823771</v>
      </c>
    </row>
    <row r="11" spans="1:16" ht="15.95" customHeight="1">
      <c r="A11" s="17" t="s">
        <v>142</v>
      </c>
      <c r="B11" s="18">
        <v>5.95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  <c r="P11" s="68"/>
    </row>
    <row r="12" spans="1:16" ht="15.95" customHeight="1">
      <c r="A12" s="17" t="s">
        <v>111</v>
      </c>
      <c r="B12" s="18">
        <v>25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23"/>
      <c r="P12" s="68"/>
    </row>
    <row r="13" spans="1:16" ht="15.95" customHeight="1">
      <c r="A13" s="17" t="s">
        <v>75</v>
      </c>
      <c r="B13" s="18">
        <v>3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3"/>
      <c r="P13" s="68"/>
    </row>
    <row r="14" spans="1:16" ht="15.95" customHeight="1">
      <c r="A14" s="17" t="s">
        <v>112</v>
      </c>
      <c r="B14" s="18">
        <v>6.12</v>
      </c>
      <c r="C14" s="18"/>
      <c r="D14" s="18"/>
      <c r="E14" s="18"/>
      <c r="F14" s="18"/>
      <c r="G14" s="18"/>
      <c r="H14" s="18"/>
      <c r="I14" s="18"/>
      <c r="J14" s="22"/>
      <c r="K14" s="18"/>
      <c r="L14" s="22"/>
      <c r="M14" s="18"/>
      <c r="N14" s="18"/>
      <c r="O14" s="23">
        <f t="shared" si="3"/>
        <v>0</v>
      </c>
      <c r="P14" s="68">
        <f t="shared" si="1"/>
        <v>0</v>
      </c>
    </row>
    <row r="15" spans="1:16" ht="15.95" customHeight="1">
      <c r="A15" s="16" t="s">
        <v>63</v>
      </c>
      <c r="B15" s="16">
        <f>SUM(B16:B47)</f>
        <v>152.52558299999998</v>
      </c>
      <c r="C15" s="16">
        <f t="shared" ref="C15:N15" si="4">SUM(C16:C47)</f>
        <v>0.33201699999999995</v>
      </c>
      <c r="D15" s="16">
        <f t="shared" si="4"/>
        <v>2.7072719999999997</v>
      </c>
      <c r="E15" s="16">
        <f t="shared" si="4"/>
        <v>1.541137</v>
      </c>
      <c r="F15" s="16">
        <f t="shared" si="4"/>
        <v>0.96497799999999989</v>
      </c>
      <c r="G15" s="16">
        <f t="shared" si="4"/>
        <v>0</v>
      </c>
      <c r="H15" s="16">
        <f t="shared" si="4"/>
        <v>0</v>
      </c>
      <c r="I15" s="16">
        <f t="shared" si="4"/>
        <v>0</v>
      </c>
      <c r="J15" s="16">
        <f t="shared" si="4"/>
        <v>0</v>
      </c>
      <c r="K15" s="16">
        <f t="shared" si="4"/>
        <v>0</v>
      </c>
      <c r="L15" s="16">
        <f t="shared" si="4"/>
        <v>0</v>
      </c>
      <c r="M15" s="16">
        <f t="shared" si="4"/>
        <v>0</v>
      </c>
      <c r="N15" s="16">
        <f t="shared" si="4"/>
        <v>0</v>
      </c>
      <c r="O15" s="16">
        <f t="shared" si="3"/>
        <v>5.5454039999999996</v>
      </c>
      <c r="P15" s="67">
        <f t="shared" si="1"/>
        <v>3.6357205728562929E-2</v>
      </c>
    </row>
    <row r="16" spans="1:16" ht="15.95" customHeight="1">
      <c r="A16" s="17" t="s">
        <v>64</v>
      </c>
      <c r="B16" s="18">
        <v>0.5</v>
      </c>
      <c r="C16" s="18">
        <f>631.6/10000</f>
        <v>6.3160000000000008E-2</v>
      </c>
      <c r="D16" s="18">
        <f>531.13/10000</f>
        <v>5.3113E-2</v>
      </c>
      <c r="E16" s="18">
        <f>733.96/10000</f>
        <v>7.3396000000000003E-2</v>
      </c>
      <c r="F16" s="18">
        <f>383.02/10000</f>
        <v>3.8301999999999996E-2</v>
      </c>
      <c r="G16" s="18"/>
      <c r="H16" s="18"/>
      <c r="I16" s="18"/>
      <c r="J16" s="18"/>
      <c r="K16" s="18"/>
      <c r="L16" s="18"/>
      <c r="M16" s="18"/>
      <c r="N16" s="18"/>
      <c r="O16" s="23">
        <f t="shared" si="3"/>
        <v>0.22797100000000003</v>
      </c>
      <c r="P16" s="68">
        <f t="shared" si="1"/>
        <v>0.45594200000000007</v>
      </c>
    </row>
    <row r="17" spans="1:16" ht="15.95" customHeight="1">
      <c r="A17" s="17" t="s">
        <v>65</v>
      </c>
      <c r="B17" s="18">
        <v>3.6</v>
      </c>
      <c r="C17" s="18">
        <f>1986.52/10000</f>
        <v>0.198652</v>
      </c>
      <c r="D17" s="18">
        <f>12371.6/10000</f>
        <v>1.23716</v>
      </c>
      <c r="E17" s="18">
        <f>2964.12/10000</f>
        <v>0.29641200000000001</v>
      </c>
      <c r="F17" s="18">
        <f>6511.5/10000</f>
        <v>0.65115000000000001</v>
      </c>
      <c r="G17" s="18"/>
      <c r="H17" s="18"/>
      <c r="I17" s="18"/>
      <c r="J17" s="18"/>
      <c r="K17" s="18"/>
      <c r="L17" s="18"/>
      <c r="M17" s="18"/>
      <c r="N17" s="18"/>
      <c r="O17" s="23">
        <f t="shared" si="3"/>
        <v>2.3833739999999999</v>
      </c>
      <c r="P17" s="68">
        <f t="shared" si="1"/>
        <v>0.66204833333333324</v>
      </c>
    </row>
    <row r="18" spans="1:16" ht="15.95" customHeight="1">
      <c r="A18" s="17" t="s">
        <v>66</v>
      </c>
      <c r="B18" s="18">
        <v>2.4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>
        <f t="shared" si="3"/>
        <v>0</v>
      </c>
      <c r="P18" s="68">
        <f t="shared" si="1"/>
        <v>0</v>
      </c>
    </row>
    <row r="19" spans="1:16" ht="15.95" customHeight="1">
      <c r="A19" s="17" t="s">
        <v>67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3">
        <f t="shared" si="3"/>
        <v>0</v>
      </c>
      <c r="P19" s="68">
        <f t="shared" si="1"/>
        <v>0</v>
      </c>
    </row>
    <row r="20" spans="1:16" ht="15.95" customHeight="1">
      <c r="A20" s="17" t="s">
        <v>68</v>
      </c>
      <c r="B20" s="18">
        <v>1.2</v>
      </c>
      <c r="C20" s="18">
        <f>532/10000</f>
        <v>5.3199999999999997E-2</v>
      </c>
      <c r="D20" s="18"/>
      <c r="E20" s="18">
        <f>2074.95/10000</f>
        <v>0.20749499999999999</v>
      </c>
      <c r="F20" s="18">
        <f>1718.9/10000</f>
        <v>0.17189000000000002</v>
      </c>
      <c r="G20" s="18"/>
      <c r="H20" s="18"/>
      <c r="I20" s="18"/>
      <c r="J20" s="18"/>
      <c r="K20" s="18"/>
      <c r="L20" s="18"/>
      <c r="M20" s="18"/>
      <c r="N20" s="18"/>
      <c r="O20" s="23">
        <f t="shared" si="3"/>
        <v>0.432585</v>
      </c>
      <c r="P20" s="68">
        <f t="shared" si="1"/>
        <v>0.36048750000000002</v>
      </c>
    </row>
    <row r="21" spans="1:16" ht="15.95" customHeight="1">
      <c r="A21" s="17" t="s">
        <v>69</v>
      </c>
      <c r="B21" s="18">
        <v>4.3899999999999997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>
        <f t="shared" si="3"/>
        <v>0</v>
      </c>
      <c r="P21" s="68">
        <f t="shared" si="1"/>
        <v>0</v>
      </c>
    </row>
    <row r="22" spans="1:16" ht="15.95" customHeight="1">
      <c r="A22" s="17" t="s">
        <v>70</v>
      </c>
      <c r="B22" s="18">
        <v>0.21558299999999997</v>
      </c>
      <c r="C22" s="18">
        <f>170.05/10000</f>
        <v>1.7005000000000003E-2</v>
      </c>
      <c r="D22" s="18">
        <f>169.99/10000</f>
        <v>1.6999E-2</v>
      </c>
      <c r="E22" s="18">
        <f>159.35/10000</f>
        <v>1.5934999999999998E-2</v>
      </c>
      <c r="F22" s="18">
        <f>159.65/10000</f>
        <v>1.5965E-2</v>
      </c>
      <c r="G22" s="18"/>
      <c r="H22" s="18"/>
      <c r="I22" s="18"/>
      <c r="J22" s="18"/>
      <c r="K22" s="18"/>
      <c r="L22" s="18"/>
      <c r="M22" s="18"/>
      <c r="N22" s="18"/>
      <c r="O22" s="23">
        <f t="shared" si="3"/>
        <v>6.5904000000000004E-2</v>
      </c>
      <c r="P22" s="68">
        <f t="shared" si="1"/>
        <v>0.30570128442409661</v>
      </c>
    </row>
    <row r="23" spans="1:16" ht="15.95" customHeight="1">
      <c r="A23" s="17" t="s">
        <v>71</v>
      </c>
      <c r="B23" s="18">
        <v>0.5</v>
      </c>
      <c r="C23" s="18"/>
      <c r="D23" s="18"/>
      <c r="E23" s="18">
        <f>63.9/10000</f>
        <v>6.3899999999999998E-3</v>
      </c>
      <c r="F23" s="18">
        <f>282.8/10000+593.91/10000</f>
        <v>8.7670999999999999E-2</v>
      </c>
      <c r="G23" s="18"/>
      <c r="H23" s="18"/>
      <c r="I23" s="18"/>
      <c r="J23" s="18"/>
      <c r="K23" s="18"/>
      <c r="L23" s="18"/>
      <c r="M23" s="18"/>
      <c r="N23" s="18"/>
      <c r="O23" s="23">
        <f t="shared" si="3"/>
        <v>9.4061000000000006E-2</v>
      </c>
      <c r="P23" s="68">
        <f t="shared" si="1"/>
        <v>0.18812200000000001</v>
      </c>
    </row>
    <row r="24" spans="1:16" ht="15.95" customHeight="1">
      <c r="A24" s="17" t="s">
        <v>72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3">
        <f t="shared" si="3"/>
        <v>0</v>
      </c>
      <c r="P24" s="68">
        <f t="shared" si="1"/>
        <v>0</v>
      </c>
    </row>
    <row r="25" spans="1:16" ht="15.95" customHeight="1">
      <c r="A25" s="17" t="s">
        <v>73</v>
      </c>
      <c r="B25" s="18">
        <v>4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3">
        <f t="shared" si="3"/>
        <v>0</v>
      </c>
      <c r="P25" s="68">
        <f t="shared" si="1"/>
        <v>0</v>
      </c>
    </row>
    <row r="26" spans="1:16" ht="15.95" customHeight="1">
      <c r="A26" s="17" t="s">
        <v>74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>
        <f t="shared" si="3"/>
        <v>0</v>
      </c>
      <c r="P26" s="68">
        <f t="shared" si="1"/>
        <v>0</v>
      </c>
    </row>
    <row r="27" spans="1:16" ht="15.95" customHeight="1">
      <c r="A27" s="17" t="s">
        <v>75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3">
        <f t="shared" si="3"/>
        <v>0</v>
      </c>
      <c r="P27" s="68">
        <f t="shared" si="1"/>
        <v>0</v>
      </c>
    </row>
    <row r="28" spans="1:16" ht="15.95" customHeight="1">
      <c r="A28" s="17" t="s">
        <v>76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>
        <f t="shared" si="3"/>
        <v>0</v>
      </c>
      <c r="P28" s="68">
        <f t="shared" si="1"/>
        <v>0</v>
      </c>
    </row>
    <row r="29" spans="1:16" ht="15.95" customHeight="1">
      <c r="A29" s="17" t="s">
        <v>113</v>
      </c>
      <c r="B29" s="18">
        <v>5.5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3"/>
      <c r="P29" s="68"/>
    </row>
    <row r="30" spans="1:16" ht="15.95" customHeight="1">
      <c r="A30" s="17" t="s">
        <v>77</v>
      </c>
      <c r="B30" s="18">
        <v>45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3">
        <f t="shared" si="3"/>
        <v>0</v>
      </c>
      <c r="P30" s="68">
        <f t="shared" si="1"/>
        <v>0</v>
      </c>
    </row>
    <row r="31" spans="1:16" ht="15.95" customHeight="1">
      <c r="A31" s="17" t="s">
        <v>78</v>
      </c>
      <c r="B31" s="18">
        <v>13.22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3">
        <f t="shared" si="3"/>
        <v>0</v>
      </c>
      <c r="P31" s="68">
        <f t="shared" si="1"/>
        <v>0</v>
      </c>
    </row>
    <row r="32" spans="1:16" ht="15.95" customHeight="1">
      <c r="A32" s="17" t="s">
        <v>79</v>
      </c>
      <c r="B32" s="18">
        <v>9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3">
        <f t="shared" si="3"/>
        <v>0</v>
      </c>
      <c r="P32" s="68">
        <f t="shared" si="1"/>
        <v>0</v>
      </c>
    </row>
    <row r="33" spans="1:16" ht="15.95" customHeight="1">
      <c r="A33" s="17" t="s">
        <v>80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3">
        <f t="shared" si="3"/>
        <v>0</v>
      </c>
      <c r="P33" s="68">
        <f t="shared" si="1"/>
        <v>0</v>
      </c>
    </row>
    <row r="34" spans="1:16" ht="15.95" customHeight="1">
      <c r="A34" s="17" t="s">
        <v>81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3">
        <f t="shared" si="3"/>
        <v>0</v>
      </c>
      <c r="P34" s="68">
        <f t="shared" si="1"/>
        <v>0</v>
      </c>
    </row>
    <row r="35" spans="1:16" ht="15.95" customHeight="1">
      <c r="A35" s="17" t="s">
        <v>82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3">
        <f t="shared" si="3"/>
        <v>0</v>
      </c>
      <c r="P35" s="68">
        <f t="shared" si="1"/>
        <v>0</v>
      </c>
    </row>
    <row r="36" spans="1:16" ht="15.95" customHeight="1">
      <c r="A36" s="17" t="s">
        <v>83</v>
      </c>
      <c r="B36" s="18">
        <v>10</v>
      </c>
      <c r="C36" s="18"/>
      <c r="D36" s="18"/>
      <c r="E36" s="18">
        <f>9415.09/10000</f>
        <v>0.94150900000000004</v>
      </c>
      <c r="F36" s="18"/>
      <c r="G36" s="18"/>
      <c r="H36" s="18"/>
      <c r="I36" s="18"/>
      <c r="J36" s="18"/>
      <c r="K36" s="18"/>
      <c r="L36" s="18"/>
      <c r="M36" s="18"/>
      <c r="N36" s="18"/>
      <c r="O36" s="23">
        <f t="shared" si="3"/>
        <v>0.94150900000000004</v>
      </c>
      <c r="P36" s="68">
        <f t="shared" si="1"/>
        <v>9.415090000000001E-2</v>
      </c>
    </row>
    <row r="37" spans="1:16" ht="15.95" customHeight="1">
      <c r="A37" s="17" t="s">
        <v>84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3">
        <f t="shared" si="3"/>
        <v>0</v>
      </c>
      <c r="P37" s="68">
        <f t="shared" si="1"/>
        <v>0</v>
      </c>
    </row>
    <row r="38" spans="1:16" ht="15.95" customHeight="1">
      <c r="A38" s="17" t="s">
        <v>85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3">
        <f t="shared" si="3"/>
        <v>0</v>
      </c>
      <c r="P38" s="68">
        <f t="shared" si="1"/>
        <v>0</v>
      </c>
    </row>
    <row r="39" spans="1:16" ht="15.95" customHeight="1">
      <c r="A39" s="17" t="s">
        <v>86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23">
        <f t="shared" si="3"/>
        <v>0</v>
      </c>
      <c r="P39" s="68">
        <f t="shared" si="1"/>
        <v>0</v>
      </c>
    </row>
    <row r="40" spans="1:16" ht="15.95" customHeight="1">
      <c r="A40" s="17" t="s">
        <v>87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23">
        <f t="shared" si="3"/>
        <v>0</v>
      </c>
      <c r="P40" s="68">
        <f t="shared" si="1"/>
        <v>0</v>
      </c>
    </row>
    <row r="41" spans="1:16" ht="15.95" customHeight="1">
      <c r="A41" s="17" t="s">
        <v>88</v>
      </c>
      <c r="B41" s="18">
        <v>50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>
        <f t="shared" ref="O41:O87" si="5">SUM(C41:N41)</f>
        <v>0</v>
      </c>
      <c r="P41" s="68">
        <f t="shared" si="1"/>
        <v>0</v>
      </c>
    </row>
    <row r="42" spans="1:16" ht="15.95" customHeight="1">
      <c r="A42" s="17" t="s">
        <v>89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>
        <f t="shared" si="5"/>
        <v>0</v>
      </c>
      <c r="P42" s="68">
        <f t="shared" si="1"/>
        <v>0</v>
      </c>
    </row>
    <row r="43" spans="1:16" ht="15.95" customHeight="1">
      <c r="A43" s="17" t="s">
        <v>90</v>
      </c>
      <c r="B43" s="18"/>
      <c r="C43" s="18"/>
      <c r="D43" s="18">
        <f>14000/10000</f>
        <v>1.4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3">
        <f t="shared" si="5"/>
        <v>1.4</v>
      </c>
      <c r="P43" s="68">
        <f t="shared" si="1"/>
        <v>0</v>
      </c>
    </row>
    <row r="44" spans="1:16" ht="15.95" customHeight="1">
      <c r="A44" s="17" t="s">
        <v>91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3">
        <f t="shared" si="5"/>
        <v>0</v>
      </c>
      <c r="P44" s="68">
        <f t="shared" si="1"/>
        <v>0</v>
      </c>
    </row>
    <row r="45" spans="1:16" ht="15.95" customHeight="1">
      <c r="A45" s="17" t="s">
        <v>92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23">
        <f t="shared" si="5"/>
        <v>0</v>
      </c>
      <c r="P45" s="68">
        <f t="shared" si="1"/>
        <v>0</v>
      </c>
    </row>
    <row r="46" spans="1:16" ht="15.95" customHeight="1">
      <c r="A46" s="17" t="s">
        <v>93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23">
        <f t="shared" si="5"/>
        <v>0</v>
      </c>
      <c r="P46" s="68">
        <f t="shared" si="1"/>
        <v>0</v>
      </c>
    </row>
    <row r="47" spans="1:16" ht="15.95" customHeight="1">
      <c r="A47" s="17" t="s">
        <v>94</v>
      </c>
      <c r="B47" s="18">
        <v>3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3">
        <f t="shared" si="5"/>
        <v>0</v>
      </c>
      <c r="P47" s="68">
        <f t="shared" si="1"/>
        <v>0</v>
      </c>
    </row>
    <row r="48" spans="1:16" ht="15.95" customHeight="1">
      <c r="A48" s="19" t="s">
        <v>27</v>
      </c>
      <c r="B48" s="16">
        <f>B49+B82</f>
        <v>1626.6899999999998</v>
      </c>
      <c r="C48" s="16">
        <f t="shared" ref="C48:N48" si="6">C49+C82</f>
        <v>14.270949</v>
      </c>
      <c r="D48" s="16">
        <f t="shared" si="6"/>
        <v>4.3800249999999998</v>
      </c>
      <c r="E48" s="16">
        <f t="shared" si="6"/>
        <v>12.898381000000001</v>
      </c>
      <c r="F48" s="16">
        <f t="shared" si="6"/>
        <v>18.887872000000002</v>
      </c>
      <c r="G48" s="16">
        <f t="shared" si="6"/>
        <v>0</v>
      </c>
      <c r="H48" s="16">
        <f t="shared" si="6"/>
        <v>0</v>
      </c>
      <c r="I48" s="16">
        <f t="shared" si="6"/>
        <v>0</v>
      </c>
      <c r="J48" s="16">
        <f t="shared" si="6"/>
        <v>0</v>
      </c>
      <c r="K48" s="16">
        <f t="shared" si="6"/>
        <v>0</v>
      </c>
      <c r="L48" s="16">
        <f t="shared" si="6"/>
        <v>0</v>
      </c>
      <c r="M48" s="16">
        <f t="shared" si="6"/>
        <v>0</v>
      </c>
      <c r="N48" s="16">
        <f t="shared" si="6"/>
        <v>0</v>
      </c>
      <c r="O48" s="16">
        <f t="shared" si="5"/>
        <v>50.437227</v>
      </c>
      <c r="P48" s="67">
        <f t="shared" si="1"/>
        <v>3.1006047249322245E-2</v>
      </c>
    </row>
    <row r="49" spans="1:16" ht="15.95" customHeight="1">
      <c r="A49" s="16" t="s">
        <v>95</v>
      </c>
      <c r="B49" s="16">
        <f>SUM(B50:B81)</f>
        <v>1626.6899999999998</v>
      </c>
      <c r="C49" s="16">
        <f t="shared" ref="C49:N49" si="7">SUM(C50:C81)</f>
        <v>14.270949</v>
      </c>
      <c r="D49" s="16">
        <f t="shared" si="7"/>
        <v>4.3800249999999998</v>
      </c>
      <c r="E49" s="16">
        <f t="shared" si="7"/>
        <v>12.898381000000001</v>
      </c>
      <c r="F49" s="16">
        <f t="shared" si="7"/>
        <v>18.887872000000002</v>
      </c>
      <c r="G49" s="16">
        <f t="shared" si="7"/>
        <v>0</v>
      </c>
      <c r="H49" s="16">
        <f t="shared" si="7"/>
        <v>0</v>
      </c>
      <c r="I49" s="16">
        <f t="shared" si="7"/>
        <v>0</v>
      </c>
      <c r="J49" s="16">
        <f t="shared" si="7"/>
        <v>0</v>
      </c>
      <c r="K49" s="16">
        <f t="shared" si="7"/>
        <v>0</v>
      </c>
      <c r="L49" s="16">
        <f t="shared" si="7"/>
        <v>0</v>
      </c>
      <c r="M49" s="16">
        <f t="shared" si="7"/>
        <v>0</v>
      </c>
      <c r="N49" s="16">
        <f t="shared" si="7"/>
        <v>0</v>
      </c>
      <c r="O49" s="16">
        <f t="shared" si="5"/>
        <v>50.437227</v>
      </c>
      <c r="P49" s="67">
        <f t="shared" si="1"/>
        <v>3.1006047249322245E-2</v>
      </c>
    </row>
    <row r="50" spans="1:16" ht="15.95" customHeight="1">
      <c r="A50" s="17" t="s">
        <v>64</v>
      </c>
      <c r="B50" s="18">
        <v>0.68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23">
        <f t="shared" si="5"/>
        <v>0</v>
      </c>
      <c r="P50" s="68">
        <f t="shared" si="1"/>
        <v>0</v>
      </c>
    </row>
    <row r="51" spans="1:16" ht="15.95" customHeight="1">
      <c r="A51" s="17" t="s">
        <v>65</v>
      </c>
      <c r="B51" s="18">
        <v>7.8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23">
        <f t="shared" si="5"/>
        <v>0</v>
      </c>
      <c r="P51" s="68">
        <f t="shared" si="1"/>
        <v>0</v>
      </c>
    </row>
    <row r="52" spans="1:16" ht="15.95" customHeight="1">
      <c r="A52" s="17" t="s">
        <v>66</v>
      </c>
      <c r="B52" s="18">
        <v>31.38</v>
      </c>
      <c r="C52" s="18">
        <f>13550.3/10000</f>
        <v>1.35503</v>
      </c>
      <c r="D52" s="18">
        <f>24153.63/10000</f>
        <v>2.4153630000000001</v>
      </c>
      <c r="E52" s="18">
        <f>7636/10000</f>
        <v>0.76359999999999995</v>
      </c>
      <c r="F52" s="18">
        <f>16476.2/10000</f>
        <v>1.6476200000000001</v>
      </c>
      <c r="G52" s="18"/>
      <c r="H52" s="18"/>
      <c r="I52" s="18"/>
      <c r="J52" s="18"/>
      <c r="K52" s="18"/>
      <c r="L52" s="18"/>
      <c r="M52" s="18"/>
      <c r="N52" s="18"/>
      <c r="O52" s="23">
        <f t="shared" si="5"/>
        <v>6.1816130000000005</v>
      </c>
      <c r="P52" s="68">
        <f t="shared" si="1"/>
        <v>0.19699212874442323</v>
      </c>
    </row>
    <row r="53" spans="1:16" ht="15.95" customHeight="1">
      <c r="A53" s="17" t="s">
        <v>67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3">
        <f t="shared" si="5"/>
        <v>0</v>
      </c>
      <c r="P53" s="68">
        <f t="shared" si="1"/>
        <v>0</v>
      </c>
    </row>
    <row r="54" spans="1:16" ht="15.95" customHeight="1">
      <c r="A54" s="17" t="s">
        <v>68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3">
        <f t="shared" si="5"/>
        <v>0</v>
      </c>
      <c r="P54" s="68">
        <f t="shared" si="1"/>
        <v>0</v>
      </c>
    </row>
    <row r="55" spans="1:16" ht="15.95" customHeight="1">
      <c r="A55" s="17" t="s">
        <v>69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3">
        <f t="shared" si="5"/>
        <v>0</v>
      </c>
      <c r="P55" s="68">
        <f t="shared" si="1"/>
        <v>0</v>
      </c>
    </row>
    <row r="56" spans="1:16" ht="15.95" customHeight="1">
      <c r="A56" s="17" t="s">
        <v>70</v>
      </c>
      <c r="B56" s="18">
        <v>0.14000000000000001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3">
        <f t="shared" si="5"/>
        <v>0</v>
      </c>
      <c r="P56" s="68">
        <f t="shared" si="1"/>
        <v>0</v>
      </c>
    </row>
    <row r="57" spans="1:16" ht="15.95" customHeight="1">
      <c r="A57" s="17" t="s">
        <v>71</v>
      </c>
      <c r="B57" s="18">
        <v>4.5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3">
        <f t="shared" si="5"/>
        <v>0</v>
      </c>
      <c r="P57" s="68">
        <f t="shared" si="1"/>
        <v>0</v>
      </c>
    </row>
    <row r="58" spans="1:16" ht="15.95" customHeight="1">
      <c r="A58" s="17" t="s">
        <v>72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3">
        <f t="shared" si="5"/>
        <v>0</v>
      </c>
      <c r="P58" s="68">
        <f t="shared" si="1"/>
        <v>0</v>
      </c>
    </row>
    <row r="59" spans="1:16" ht="15.95" customHeight="1">
      <c r="A59" s="17" t="s">
        <v>73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23">
        <f t="shared" si="5"/>
        <v>0</v>
      </c>
      <c r="P59" s="68">
        <f t="shared" si="1"/>
        <v>0</v>
      </c>
    </row>
    <row r="60" spans="1:16" ht="15.95" customHeight="1">
      <c r="A60" s="17" t="s">
        <v>74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23">
        <f t="shared" si="5"/>
        <v>0</v>
      </c>
      <c r="P60" s="68">
        <f t="shared" si="1"/>
        <v>0</v>
      </c>
    </row>
    <row r="61" spans="1:16" ht="15.95" customHeight="1">
      <c r="A61" s="17" t="s">
        <v>75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23">
        <f t="shared" si="5"/>
        <v>0</v>
      </c>
      <c r="P61" s="68">
        <f t="shared" si="1"/>
        <v>0</v>
      </c>
    </row>
    <row r="62" spans="1:16" ht="15.95" customHeight="1">
      <c r="A62" s="17" t="s">
        <v>76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>
        <f t="shared" si="5"/>
        <v>0</v>
      </c>
      <c r="P62" s="68">
        <f t="shared" si="1"/>
        <v>0</v>
      </c>
    </row>
    <row r="63" spans="1:16" ht="15.95" customHeight="1">
      <c r="A63" s="17" t="s">
        <v>77</v>
      </c>
      <c r="B63" s="18">
        <v>26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3">
        <f t="shared" si="5"/>
        <v>0</v>
      </c>
      <c r="P63" s="68">
        <f t="shared" si="1"/>
        <v>0</v>
      </c>
    </row>
    <row r="64" spans="1:16" ht="15.95" customHeight="1">
      <c r="A64" s="17" t="s">
        <v>78</v>
      </c>
      <c r="B64" s="18">
        <v>36.549999999999997</v>
      </c>
      <c r="C64" s="18"/>
      <c r="D64" s="18">
        <f>9339.62/10000</f>
        <v>0.93396200000000007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23">
        <f t="shared" si="5"/>
        <v>0.93396200000000007</v>
      </c>
      <c r="P64" s="68">
        <f t="shared" si="1"/>
        <v>2.5552995896032837E-2</v>
      </c>
    </row>
    <row r="65" spans="1:16" ht="15.95" customHeight="1">
      <c r="A65" s="17" t="s">
        <v>79</v>
      </c>
      <c r="B65" s="18">
        <v>29</v>
      </c>
      <c r="C65" s="18"/>
      <c r="D65" s="18">
        <f>10307/10000</f>
        <v>1.0306999999999999</v>
      </c>
      <c r="E65" s="18">
        <f>50000/10000+14673.22/10000</f>
        <v>6.4673220000000002</v>
      </c>
      <c r="F65" s="18">
        <f>71698.11/10000</f>
        <v>7.1698110000000002</v>
      </c>
      <c r="G65" s="18"/>
      <c r="H65" s="18"/>
      <c r="I65" s="18"/>
      <c r="J65" s="18"/>
      <c r="K65" s="18"/>
      <c r="L65" s="18"/>
      <c r="M65" s="18"/>
      <c r="N65" s="18"/>
      <c r="O65" s="23">
        <f t="shared" si="5"/>
        <v>14.667833000000002</v>
      </c>
      <c r="P65" s="68">
        <f t="shared" si="1"/>
        <v>0.50578734482758625</v>
      </c>
    </row>
    <row r="66" spans="1:16" ht="15.95" customHeight="1">
      <c r="A66" s="17" t="s">
        <v>80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3">
        <f t="shared" si="5"/>
        <v>0</v>
      </c>
      <c r="P66" s="68">
        <f t="shared" si="1"/>
        <v>0</v>
      </c>
    </row>
    <row r="67" spans="1:16" ht="15.95" customHeight="1">
      <c r="A67" s="17" t="s">
        <v>81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23">
        <f t="shared" si="5"/>
        <v>0</v>
      </c>
      <c r="P67" s="68">
        <f t="shared" si="1"/>
        <v>0</v>
      </c>
    </row>
    <row r="68" spans="1:16" ht="15.95" customHeight="1">
      <c r="A68" s="17" t="s">
        <v>82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23">
        <f t="shared" si="5"/>
        <v>0</v>
      </c>
      <c r="P68" s="68">
        <f t="shared" si="1"/>
        <v>0</v>
      </c>
    </row>
    <row r="69" spans="1:16" ht="15.95" customHeight="1">
      <c r="A69" s="17" t="s">
        <v>83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23">
        <f t="shared" si="5"/>
        <v>0</v>
      </c>
      <c r="P69" s="68">
        <f t="shared" si="1"/>
        <v>0</v>
      </c>
    </row>
    <row r="70" spans="1:16" ht="15.95" customHeight="1">
      <c r="A70" s="17" t="s">
        <v>62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23">
        <f t="shared" si="5"/>
        <v>0</v>
      </c>
      <c r="P70" s="68">
        <f t="shared" si="1"/>
        <v>0</v>
      </c>
    </row>
    <row r="71" spans="1:16" ht="15.95" customHeight="1">
      <c r="A71" s="17" t="s">
        <v>84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23">
        <f t="shared" si="5"/>
        <v>0</v>
      </c>
      <c r="P71" s="68">
        <f t="shared" si="1"/>
        <v>0</v>
      </c>
    </row>
    <row r="72" spans="1:16" ht="15.95" customHeight="1">
      <c r="A72" s="17" t="s">
        <v>85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23">
        <f t="shared" si="5"/>
        <v>0</v>
      </c>
      <c r="P72" s="68">
        <f t="shared" ref="P72:P87" si="8">IFERROR(O72/B72,)</f>
        <v>0</v>
      </c>
    </row>
    <row r="73" spans="1:16" ht="15.95" customHeight="1">
      <c r="A73" s="17" t="s">
        <v>143</v>
      </c>
      <c r="B73" s="18">
        <v>200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3">
        <f t="shared" si="5"/>
        <v>0</v>
      </c>
      <c r="P73" s="68">
        <f t="shared" si="8"/>
        <v>0</v>
      </c>
    </row>
    <row r="74" spans="1:16" ht="15.95" customHeight="1">
      <c r="A74" s="17" t="s">
        <v>87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23">
        <f t="shared" si="5"/>
        <v>0</v>
      </c>
      <c r="P74" s="68">
        <f t="shared" si="8"/>
        <v>0</v>
      </c>
    </row>
    <row r="75" spans="1:16" ht="15.95" customHeight="1">
      <c r="A75" s="17" t="s">
        <v>88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23">
        <f t="shared" si="5"/>
        <v>0</v>
      </c>
      <c r="P75" s="68">
        <f t="shared" si="8"/>
        <v>0</v>
      </c>
    </row>
    <row r="76" spans="1:16" ht="15.95" customHeight="1">
      <c r="A76" s="17" t="s">
        <v>89</v>
      </c>
      <c r="B76" s="18">
        <v>1090.6399999999999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23">
        <f t="shared" si="5"/>
        <v>0</v>
      </c>
      <c r="P76" s="68">
        <f t="shared" si="8"/>
        <v>0</v>
      </c>
    </row>
    <row r="77" spans="1:16" ht="15.95" customHeight="1">
      <c r="A77" s="17" t="s">
        <v>90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23">
        <f t="shared" si="5"/>
        <v>0</v>
      </c>
      <c r="P77" s="68">
        <f t="shared" si="8"/>
        <v>0</v>
      </c>
    </row>
    <row r="78" spans="1:16" ht="15.95" customHeight="1">
      <c r="A78" s="17" t="s">
        <v>91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3">
        <f t="shared" si="5"/>
        <v>0</v>
      </c>
      <c r="P78" s="68">
        <f t="shared" si="8"/>
        <v>0</v>
      </c>
    </row>
    <row r="79" spans="1:16" ht="15.95" customHeight="1">
      <c r="A79" s="17" t="s">
        <v>92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3">
        <f t="shared" si="5"/>
        <v>0</v>
      </c>
      <c r="P79" s="68">
        <f t="shared" si="8"/>
        <v>0</v>
      </c>
    </row>
    <row r="80" spans="1:16" ht="15.95" customHeight="1">
      <c r="A80" s="17" t="s">
        <v>93</v>
      </c>
      <c r="B80" s="18">
        <v>200</v>
      </c>
      <c r="C80" s="18">
        <f>129159.19/10000</f>
        <v>12.915919000000001</v>
      </c>
      <c r="D80" s="18"/>
      <c r="E80" s="18">
        <f>56674.59/10000</f>
        <v>5.667459</v>
      </c>
      <c r="F80" s="18">
        <f>100704.41/10000</f>
        <v>10.070441000000001</v>
      </c>
      <c r="G80" s="18"/>
      <c r="H80" s="18"/>
      <c r="I80" s="18"/>
      <c r="J80" s="18"/>
      <c r="K80" s="18"/>
      <c r="L80" s="22"/>
      <c r="M80" s="18"/>
      <c r="N80" s="18"/>
      <c r="O80" s="23">
        <f t="shared" si="5"/>
        <v>28.653818999999999</v>
      </c>
      <c r="P80" s="68">
        <f t="shared" si="8"/>
        <v>0.14326909499999999</v>
      </c>
    </row>
    <row r="81" spans="1:16" ht="15.95" customHeight="1">
      <c r="A81" s="17" t="s">
        <v>94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23">
        <f t="shared" si="5"/>
        <v>0</v>
      </c>
      <c r="P81" s="68">
        <f t="shared" si="8"/>
        <v>0</v>
      </c>
    </row>
    <row r="82" spans="1:16" ht="15.95" customHeight="1">
      <c r="A82" s="16" t="s">
        <v>96</v>
      </c>
      <c r="B82" s="16">
        <f>SUM(B83:B87)</f>
        <v>0</v>
      </c>
      <c r="C82" s="16">
        <f t="shared" ref="C82:N82" si="9">SUM(C83:C87)</f>
        <v>0</v>
      </c>
      <c r="D82" s="16">
        <f t="shared" si="9"/>
        <v>0</v>
      </c>
      <c r="E82" s="16">
        <f t="shared" si="9"/>
        <v>0</v>
      </c>
      <c r="F82" s="16">
        <f t="shared" si="9"/>
        <v>0</v>
      </c>
      <c r="G82" s="16">
        <f t="shared" si="9"/>
        <v>0</v>
      </c>
      <c r="H82" s="16">
        <f t="shared" si="9"/>
        <v>0</v>
      </c>
      <c r="I82" s="16">
        <f t="shared" si="9"/>
        <v>0</v>
      </c>
      <c r="J82" s="16">
        <f t="shared" si="9"/>
        <v>0</v>
      </c>
      <c r="K82" s="16">
        <f t="shared" si="9"/>
        <v>0</v>
      </c>
      <c r="L82" s="16">
        <f t="shared" si="9"/>
        <v>0</v>
      </c>
      <c r="M82" s="16">
        <f t="shared" si="9"/>
        <v>0</v>
      </c>
      <c r="N82" s="16">
        <f t="shared" si="9"/>
        <v>0</v>
      </c>
      <c r="O82" s="16">
        <f t="shared" si="5"/>
        <v>0</v>
      </c>
      <c r="P82" s="67">
        <f t="shared" si="8"/>
        <v>0</v>
      </c>
    </row>
    <row r="83" spans="1:16" ht="15.95" customHeight="1">
      <c r="A83" s="17" t="s">
        <v>97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2"/>
      <c r="M83" s="18"/>
      <c r="N83" s="18"/>
      <c r="O83" s="16">
        <f t="shared" si="5"/>
        <v>0</v>
      </c>
      <c r="P83" s="68"/>
    </row>
    <row r="84" spans="1:16" ht="15.95" customHeight="1">
      <c r="A84" s="17" t="s">
        <v>98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3">
        <f t="shared" si="5"/>
        <v>0</v>
      </c>
      <c r="P84" s="68">
        <f t="shared" si="8"/>
        <v>0</v>
      </c>
    </row>
    <row r="85" spans="1:16" ht="15.95" customHeight="1">
      <c r="A85" s="17" t="s">
        <v>99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3">
        <f t="shared" si="5"/>
        <v>0</v>
      </c>
      <c r="P85" s="68">
        <f t="shared" si="8"/>
        <v>0</v>
      </c>
    </row>
    <row r="86" spans="1:16" ht="15.95" customHeight="1">
      <c r="A86" s="17" t="s">
        <v>100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23">
        <f t="shared" si="5"/>
        <v>0</v>
      </c>
      <c r="P86" s="68">
        <f t="shared" si="8"/>
        <v>0</v>
      </c>
    </row>
    <row r="87" spans="1:16" ht="15.95" customHeight="1">
      <c r="A87" s="17" t="s">
        <v>101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23">
        <f t="shared" si="5"/>
        <v>0</v>
      </c>
      <c r="P87" s="68">
        <f t="shared" si="8"/>
        <v>0</v>
      </c>
    </row>
    <row r="89" spans="1:16" ht="15.95" customHeight="1">
      <c r="A89" s="7" t="s">
        <v>102</v>
      </c>
      <c r="B89" s="8"/>
    </row>
  </sheetData>
  <mergeCells count="6">
    <mergeCell ref="A1:P1"/>
    <mergeCell ref="C2:N2"/>
    <mergeCell ref="A2:A3"/>
    <mergeCell ref="B2:B3"/>
    <mergeCell ref="O2:O3"/>
    <mergeCell ref="P2:P3"/>
  </mergeCells>
  <phoneticPr fontId="33" type="noConversion"/>
  <pageMargins left="0.74803149606299202" right="0.74803149606299202" top="0.98425196850393704" bottom="0.98425196850393704" header="0.511811023622047" footer="0.511811023622047"/>
  <pageSetup paperSize="9" scale="91" fitToHeight="0" orientation="landscape"/>
  <ignoredErrors>
    <ignoredError sqref="O31" formulaRange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"/>
  <sheetViews>
    <sheetView workbookViewId="0">
      <pane xSplit="2" ySplit="2" topLeftCell="C3" activePane="bottomRight" state="frozen"/>
      <selection pane="topRight"/>
      <selection pane="bottomLeft"/>
      <selection pane="bottomRight" activeCell="G30" sqref="G30"/>
    </sheetView>
  </sheetViews>
  <sheetFormatPr defaultColWidth="8.875" defaultRowHeight="15.95" customHeight="1"/>
  <cols>
    <col min="1" max="2" width="15.5" customWidth="1"/>
    <col min="3" max="3" width="55" customWidth="1"/>
    <col min="4" max="8" width="15.5" customWidth="1"/>
  </cols>
  <sheetData>
    <row r="1" spans="1:16" s="1" customFormat="1" ht="32.1" customHeight="1">
      <c r="A1" s="75" t="s">
        <v>125</v>
      </c>
      <c r="B1" s="75"/>
      <c r="C1" s="75"/>
      <c r="D1" s="75"/>
      <c r="E1" s="75"/>
      <c r="F1" s="75"/>
      <c r="G1" s="75"/>
      <c r="H1" s="75"/>
      <c r="I1" s="9"/>
      <c r="J1" s="9"/>
      <c r="K1" s="9"/>
      <c r="L1" s="9"/>
      <c r="M1" s="9"/>
      <c r="N1" s="9"/>
      <c r="O1" s="9"/>
      <c r="P1" s="9"/>
    </row>
    <row r="2" spans="1:16" ht="15.95" customHeight="1">
      <c r="A2" s="3" t="s">
        <v>103</v>
      </c>
      <c r="B2" s="3" t="s">
        <v>104</v>
      </c>
      <c r="C2" s="3" t="s">
        <v>105</v>
      </c>
      <c r="D2" s="3" t="s">
        <v>106</v>
      </c>
      <c r="E2" s="3" t="s">
        <v>107</v>
      </c>
      <c r="F2" s="3" t="s">
        <v>108</v>
      </c>
      <c r="G2" s="4" t="s">
        <v>139</v>
      </c>
      <c r="H2" s="4" t="s">
        <v>140</v>
      </c>
    </row>
    <row r="3" spans="1:16" s="2" customFormat="1" ht="15.95" customHeight="1">
      <c r="A3" s="71" t="s">
        <v>121</v>
      </c>
      <c r="B3" s="70" t="s">
        <v>114</v>
      </c>
      <c r="C3" s="5" t="s">
        <v>114</v>
      </c>
      <c r="D3" s="6"/>
      <c r="E3" s="6"/>
      <c r="F3" s="6"/>
      <c r="G3" s="6"/>
      <c r="H3" s="6">
        <f>F3</f>
        <v>0</v>
      </c>
    </row>
    <row r="4" spans="1:16" s="2" customFormat="1" ht="15.95" customHeight="1">
      <c r="A4" s="91" t="s">
        <v>119</v>
      </c>
      <c r="B4" s="70" t="s">
        <v>120</v>
      </c>
      <c r="C4" s="5" t="s">
        <v>126</v>
      </c>
      <c r="D4" s="6"/>
      <c r="E4" s="6"/>
      <c r="F4" s="6"/>
      <c r="G4" s="6">
        <v>12</v>
      </c>
      <c r="H4" s="6">
        <f t="shared" ref="H4:H20" si="0">F4</f>
        <v>0</v>
      </c>
    </row>
    <row r="5" spans="1:16" s="2" customFormat="1" ht="15.95" customHeight="1">
      <c r="A5" s="92"/>
      <c r="B5" s="70" t="s">
        <v>120</v>
      </c>
      <c r="C5" s="5" t="s">
        <v>115</v>
      </c>
      <c r="D5" s="6"/>
      <c r="E5" s="6"/>
      <c r="F5" s="6"/>
      <c r="G5" s="6">
        <v>80</v>
      </c>
      <c r="H5" s="6">
        <f t="shared" si="0"/>
        <v>0</v>
      </c>
    </row>
    <row r="6" spans="1:16" s="2" customFormat="1" ht="15.95" customHeight="1">
      <c r="A6" s="92"/>
      <c r="B6" s="70" t="s">
        <v>120</v>
      </c>
      <c r="C6" s="5" t="s">
        <v>116</v>
      </c>
      <c r="D6" s="6"/>
      <c r="E6" s="6"/>
      <c r="F6" s="6"/>
      <c r="G6" s="6">
        <v>60</v>
      </c>
      <c r="H6" s="6">
        <f>19359.42/10000</f>
        <v>1.9359419999999998</v>
      </c>
    </row>
    <row r="7" spans="1:16" s="2" customFormat="1" ht="15.95" customHeight="1">
      <c r="A7" s="92"/>
      <c r="B7" s="70" t="s">
        <v>120</v>
      </c>
      <c r="C7" s="5" t="s">
        <v>127</v>
      </c>
      <c r="D7" s="6"/>
      <c r="E7" s="6"/>
      <c r="F7" s="6"/>
      <c r="G7" s="6">
        <v>20</v>
      </c>
      <c r="H7" s="6"/>
    </row>
    <row r="8" spans="1:16" s="2" customFormat="1" ht="15.95" customHeight="1">
      <c r="A8" s="92"/>
      <c r="B8" s="70" t="s">
        <v>120</v>
      </c>
      <c r="C8" s="5" t="s">
        <v>117</v>
      </c>
      <c r="D8" s="6"/>
      <c r="E8" s="6"/>
      <c r="F8" s="6"/>
      <c r="G8" s="6">
        <v>15</v>
      </c>
      <c r="H8" s="6"/>
    </row>
    <row r="9" spans="1:16" s="2" customFormat="1" ht="15.95" customHeight="1">
      <c r="A9" s="92"/>
      <c r="B9" s="70" t="s">
        <v>120</v>
      </c>
      <c r="C9" s="5" t="s">
        <v>128</v>
      </c>
      <c r="D9" s="6"/>
      <c r="E9" s="6"/>
      <c r="F9" s="6"/>
      <c r="G9" s="6">
        <v>60</v>
      </c>
      <c r="H9" s="6"/>
    </row>
    <row r="10" spans="1:16" s="2" customFormat="1" ht="15.95" customHeight="1">
      <c r="A10" s="92"/>
      <c r="B10" s="70" t="s">
        <v>120</v>
      </c>
      <c r="C10" s="5" t="s">
        <v>129</v>
      </c>
      <c r="D10" s="6"/>
      <c r="E10" s="6"/>
      <c r="F10" s="6"/>
      <c r="G10" s="6">
        <v>80</v>
      </c>
      <c r="H10" s="6"/>
    </row>
    <row r="11" spans="1:16" s="2" customFormat="1" ht="15.95" customHeight="1">
      <c r="A11" s="92"/>
      <c r="B11" s="70" t="s">
        <v>120</v>
      </c>
      <c r="C11" s="5" t="s">
        <v>130</v>
      </c>
      <c r="D11" s="6"/>
      <c r="E11" s="6"/>
      <c r="F11" s="6"/>
      <c r="G11" s="6">
        <v>22</v>
      </c>
      <c r="H11" s="6"/>
    </row>
    <row r="12" spans="1:16" s="2" customFormat="1" ht="15.95" customHeight="1">
      <c r="A12" s="92"/>
      <c r="B12" s="70" t="s">
        <v>120</v>
      </c>
      <c r="C12" s="5" t="s">
        <v>131</v>
      </c>
      <c r="D12" s="6"/>
      <c r="E12" s="6"/>
      <c r="F12" s="6"/>
      <c r="G12" s="6">
        <v>10</v>
      </c>
      <c r="H12" s="6"/>
    </row>
    <row r="13" spans="1:16" s="2" customFormat="1" ht="15.95" customHeight="1">
      <c r="A13" s="92"/>
      <c r="B13" s="70" t="s">
        <v>120</v>
      </c>
      <c r="C13" s="5" t="s">
        <v>132</v>
      </c>
      <c r="D13" s="6"/>
      <c r="E13" s="6"/>
      <c r="F13" s="6"/>
      <c r="G13" s="6">
        <v>40</v>
      </c>
      <c r="H13" s="6"/>
    </row>
    <row r="14" spans="1:16" s="2" customFormat="1" ht="15.95" customHeight="1">
      <c r="A14" s="92"/>
      <c r="B14" s="70" t="s">
        <v>120</v>
      </c>
      <c r="C14" s="5" t="s">
        <v>133</v>
      </c>
      <c r="D14" s="6"/>
      <c r="E14" s="6"/>
      <c r="F14" s="6"/>
      <c r="G14" s="6">
        <v>15</v>
      </c>
      <c r="H14" s="6"/>
    </row>
    <row r="15" spans="1:16" s="2" customFormat="1" ht="15.95" customHeight="1">
      <c r="A15" s="92"/>
      <c r="B15" s="70" t="s">
        <v>120</v>
      </c>
      <c r="C15" s="5" t="s">
        <v>134</v>
      </c>
      <c r="D15" s="6"/>
      <c r="E15" s="6"/>
      <c r="F15" s="6"/>
      <c r="G15" s="6">
        <v>38</v>
      </c>
      <c r="H15" s="6"/>
    </row>
    <row r="16" spans="1:16" s="2" customFormat="1" ht="15.95" customHeight="1">
      <c r="A16" s="92"/>
      <c r="B16" s="70" t="s">
        <v>120</v>
      </c>
      <c r="C16" s="5" t="s">
        <v>135</v>
      </c>
      <c r="D16" s="6"/>
      <c r="E16" s="6"/>
      <c r="F16" s="6"/>
      <c r="G16" s="6">
        <v>50</v>
      </c>
      <c r="H16" s="6">
        <f t="shared" si="0"/>
        <v>0</v>
      </c>
    </row>
    <row r="17" spans="1:8" s="2" customFormat="1" ht="15.95" customHeight="1">
      <c r="A17" s="92"/>
      <c r="B17" s="70" t="s">
        <v>120</v>
      </c>
      <c r="C17" s="5" t="s">
        <v>136</v>
      </c>
      <c r="D17" s="6"/>
      <c r="E17" s="6"/>
      <c r="F17" s="6"/>
      <c r="G17" s="6">
        <v>100</v>
      </c>
      <c r="H17" s="6">
        <f t="shared" si="0"/>
        <v>0</v>
      </c>
    </row>
    <row r="18" spans="1:8" s="2" customFormat="1" ht="15.95" customHeight="1">
      <c r="A18" s="92"/>
      <c r="B18" s="70" t="s">
        <v>120</v>
      </c>
      <c r="C18" s="5" t="s">
        <v>137</v>
      </c>
      <c r="D18" s="6"/>
      <c r="E18" s="6"/>
      <c r="F18" s="6"/>
      <c r="G18" s="6">
        <v>15</v>
      </c>
      <c r="H18" s="6">
        <f t="shared" si="0"/>
        <v>0</v>
      </c>
    </row>
    <row r="19" spans="1:8" s="2" customFormat="1" ht="15.95" customHeight="1">
      <c r="A19" s="92"/>
      <c r="B19" s="70" t="s">
        <v>120</v>
      </c>
      <c r="C19" s="5" t="s">
        <v>118</v>
      </c>
      <c r="D19" s="6"/>
      <c r="E19" s="6"/>
      <c r="F19" s="6"/>
      <c r="G19" s="6">
        <v>25</v>
      </c>
      <c r="H19" s="6">
        <f t="shared" si="0"/>
        <v>0</v>
      </c>
    </row>
    <row r="20" spans="1:8" s="2" customFormat="1" ht="15.95" customHeight="1">
      <c r="A20" s="92"/>
      <c r="B20" s="70" t="s">
        <v>141</v>
      </c>
      <c r="C20" s="5" t="s">
        <v>138</v>
      </c>
      <c r="D20" s="6"/>
      <c r="E20" s="6"/>
      <c r="F20" s="6"/>
      <c r="G20" s="6">
        <v>200</v>
      </c>
      <c r="H20" s="6">
        <f t="shared" si="0"/>
        <v>0</v>
      </c>
    </row>
    <row r="21" spans="1:8" ht="15.95" customHeight="1">
      <c r="A21" s="90" t="s">
        <v>109</v>
      </c>
      <c r="B21" s="90"/>
      <c r="C21" s="90"/>
      <c r="D21" s="90"/>
      <c r="E21" s="90"/>
      <c r="F21" s="90"/>
      <c r="G21" s="66">
        <f>SUM(G3:G20)</f>
        <v>842</v>
      </c>
      <c r="H21" s="72">
        <f>SUM(H3:H20)</f>
        <v>1.9359419999999998</v>
      </c>
    </row>
    <row r="23" spans="1:8" ht="15.95" customHeight="1">
      <c r="A23" s="7" t="s">
        <v>102</v>
      </c>
      <c r="B23" s="8"/>
    </row>
  </sheetData>
  <mergeCells count="3">
    <mergeCell ref="A1:H1"/>
    <mergeCell ref="A21:F21"/>
    <mergeCell ref="A4:A20"/>
  </mergeCells>
  <phoneticPr fontId="33" type="noConversion"/>
  <dataValidations count="1">
    <dataValidation type="list" allowBlank="1" showInputMessage="1" showErrorMessage="1" sqref="B20" xr:uid="{4951D846-453F-4593-BDD5-03F350BB6AA6}">
      <formula1>"在建工程,长期待摊费用,其他"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刘琪</cp:lastModifiedBy>
  <cp:lastPrinted>2024-11-06T04:14:00Z</cp:lastPrinted>
  <dcterms:created xsi:type="dcterms:W3CDTF">2023-12-28T04:28:00Z</dcterms:created>
  <dcterms:modified xsi:type="dcterms:W3CDTF">2026-05-09T08:39:08Z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740C751E201A4DAA95E09953EE06D517_13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