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填写说明" sheetId="4" r:id="rId1"/>
    <sheet name="写字楼和商业综合体类" sheetId="2" r:id="rId2"/>
    <sheet name="酒店类" sheetId="1" r:id="rId3"/>
    <sheet name="保险类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DDM</author>
    <author>黄伟</author>
    <author>Admin</author>
  </authors>
  <commentList>
    <comment ref="D4" authorId="0">
      <text>
        <r>
          <rPr>
            <b/>
            <sz val="9"/>
            <rFont val="宋体"/>
            <charset val="134"/>
          </rPr>
          <t>DDM:</t>
        </r>
        <r>
          <rPr>
            <sz val="9"/>
            <rFont val="宋体"/>
            <charset val="134"/>
          </rPr>
          <t xml:space="preserve">
签约数量40是指双方已盖章存档的数据，现目前还有10家在对方流程</t>
        </r>
      </text>
    </comment>
    <comment ref="D6" authorId="0">
      <text>
        <r>
          <rPr>
            <b/>
            <sz val="9"/>
            <rFont val="宋体"/>
            <charset val="134"/>
          </rPr>
          <t>DDM:</t>
        </r>
        <r>
          <rPr>
            <sz val="9"/>
            <rFont val="宋体"/>
            <charset val="134"/>
          </rPr>
          <t xml:space="preserve">
1月产生消费的激活率</t>
        </r>
      </text>
    </comment>
    <comment ref="A7" authorId="1">
      <text>
        <r>
          <rPr>
            <b/>
            <sz val="9"/>
            <rFont val="宋体"/>
            <charset val="134"/>
          </rPr>
          <t>黄伟:</t>
        </r>
        <r>
          <rPr>
            <sz val="9"/>
            <rFont val="宋体"/>
            <charset val="134"/>
          </rPr>
          <t xml:space="preserve">
入住的房间数量</t>
        </r>
      </text>
    </comment>
    <comment ref="C12" authorId="0">
      <text>
        <r>
          <rPr>
            <b/>
            <sz val="9"/>
            <rFont val="宋体"/>
            <charset val="134"/>
          </rPr>
          <t>DDM:</t>
        </r>
        <r>
          <rPr>
            <sz val="9"/>
            <rFont val="宋体"/>
            <charset val="134"/>
          </rPr>
          <t xml:space="preserve">
1、1是指户外宣传海报广告的投放数量；
2、1000是指地推活动发放宣传单页的数量；</t>
        </r>
      </text>
    </comment>
    <comment ref="D12" authorId="0">
      <text>
        <r>
          <rPr>
            <b/>
            <sz val="9"/>
            <rFont val="宋体"/>
            <charset val="134"/>
          </rPr>
          <t>DDM:</t>
        </r>
        <r>
          <rPr>
            <sz val="9"/>
            <rFont val="宋体"/>
            <charset val="134"/>
          </rPr>
          <t xml:space="preserve">
1、投入1个户外海报宣传广告（覆盖范围：鱼嘴、）；
2、鱼嘴、复盛赶场，共计发放800份宣传单页及100个购物袋；</t>
        </r>
      </text>
    </comment>
    <comment ref="E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1、1是指户外宣传海报广告的投放数量；
2、1000是指地推活动发放宣传单页的数量；
</t>
        </r>
      </text>
    </comment>
    <comment ref="F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DDM:
1、投入1个户外海报宣传广告（覆盖范围：鱼嘴、）；
2、鱼嘴、复盛、五里坪赶场，共计发放700份宣传单页及100个购物袋；
3、成交5月1日宝宝宴10桌
</t>
        </r>
      </text>
    </comment>
    <comment ref="G12" authorId="2">
      <text>
        <r>
          <rPr>
            <sz val="9"/>
            <rFont val="宋体"/>
            <charset val="134"/>
          </rPr>
          <t>Admin:
1、1是指户外宣传海报广告的投放数量；
2、500是指地推活动发放宣传单页的数量；
3、100是指宣传袋发放量</t>
        </r>
      </text>
    </comment>
    <comment ref="H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2、鱼嘴、复盛、五里坪赶场，共计发放300份宣传单页及100个购物袋；</t>
        </r>
      </text>
    </comment>
    <comment ref="I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2、鱼嘴、复盛、五里坪赶场，共计发放500份宣传单页及100个购物袋；
</t>
        </r>
      </text>
    </comment>
    <comment ref="J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2、鱼嘴、复盛、五里坪赶场，共计发放400份宣传单页及100个购物袋；
</t>
        </r>
      </text>
    </comment>
    <comment ref="K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2、鱼嘴、复盛、五里坪赶场，共计发放800份宣传单页及200个购物袋；
</t>
        </r>
      </text>
    </comment>
    <comment ref="L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2、鱼嘴、复盛、五里坪赶场，共计发放600份宣传单页及200个购物袋；
</t>
        </r>
      </text>
    </comment>
    <comment ref="M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2、鱼嘴、复盛、五里坪赶场，共计发放900份宣传单页及100个购物袋；
</t>
        </r>
      </text>
    </comment>
    <comment ref="N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2、鱼嘴、复盛、五里坪赶场，共计发放600份宣传单页及200个购物袋；
</t>
        </r>
      </text>
    </comment>
    <comment ref="O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2、复盛、龙兴赶场，共计发放800份宣传单页及200个购物袋；
</t>
        </r>
      </text>
    </comment>
    <comment ref="P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2、复盛、龙兴赶场，共计发放500份宣传单页及200个购物袋；
</t>
        </r>
      </text>
    </comment>
    <comment ref="Q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2、鱼嘴、复盛、五里坪赶场，共计发放900份宣传单页及100个购物袋；
</t>
        </r>
      </text>
    </comment>
    <comment ref="R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2、鱼嘴、复盛、五里坪赶场，共计发放500份宣传单页及200个购物袋；
</t>
        </r>
      </text>
    </comment>
    <comment ref="S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2、鱼嘴、复盛、五里坪赶场，共计发放900份宣传单页及100个购物袋；
</t>
        </r>
      </text>
    </comment>
    <comment ref="T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2、鱼嘴、复盛、五里坪赶场，共计发放500份宣传单页及200个购物袋；
</t>
        </r>
      </text>
    </comment>
    <comment ref="U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2、鱼嘴、复盛、五里坪赶场，共计发放900份宣传单页及100个购物袋；
</t>
        </r>
      </text>
    </comment>
    <comment ref="V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2、鱼嘴、复盛、五里坪赶场，共计发放600份宣传单页及200个购物袋；
</t>
        </r>
      </text>
    </comment>
    <comment ref="W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2、鱼嘴、复盛、五里坪赶场，共计发放900份宣传单页及100个购物袋；
</t>
        </r>
      </text>
    </comment>
    <comment ref="X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2、鱼嘴、复盛、五里坪赶场，共计发放600份宣传单页及200个购物袋；
</t>
        </r>
      </text>
    </comment>
    <comment ref="Y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2、鱼嘴、复盛、五里坪赶场，共计发放500份宣传单页及200个购物袋；
</t>
        </r>
      </text>
    </comment>
    <comment ref="Z12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DDM:
1、投入1个户外海报宣传广告（覆盖范围：鱼嘴、）；
2、鱼嘴、复盛、五里坪赶场，共计发放900份宣传单页及100个购物袋；
</t>
        </r>
      </text>
    </comment>
    <comment ref="D14" authorId="0">
      <text>
        <r>
          <rPr>
            <b/>
            <sz val="9"/>
            <rFont val="宋体"/>
            <charset val="134"/>
          </rPr>
          <t>DDM:</t>
        </r>
        <r>
          <rPr>
            <sz val="9"/>
            <rFont val="宋体"/>
            <charset val="134"/>
          </rPr>
          <t xml:space="preserve">
1、通过户外海报宣传广告，通过888的团拜宴活动宣传吸引年会客人举办活动2场；</t>
        </r>
      </text>
    </comment>
    <comment ref="P14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通过鱼嘴赶场日地推活动宣传吸引回门宴1场</t>
        </r>
      </text>
    </comment>
  </commentList>
</comments>
</file>

<file path=xl/sharedStrings.xml><?xml version="1.0" encoding="utf-8"?>
<sst xmlns="http://schemas.openxmlformats.org/spreadsheetml/2006/main" count="204" uniqueCount="90">
  <si>
    <t>填写说明</t>
  </si>
  <si>
    <t>1、</t>
  </si>
  <si>
    <t>子公司类别</t>
  </si>
  <si>
    <t>写字楼类：中言地产、钱隆商管、君康凯丹</t>
  </si>
  <si>
    <t>商业综合体类：重庆宜新、君康春夏秋冬</t>
  </si>
  <si>
    <t>酒店类：伯豪瑞庭、瑞尔酒店</t>
  </si>
  <si>
    <t>保险类：盛唐融信、君康经纪</t>
  </si>
  <si>
    <t>工程类：君康联谊、君康联杰</t>
  </si>
  <si>
    <t>按分类填写对应表格</t>
  </si>
  <si>
    <t>2、</t>
  </si>
  <si>
    <t>指标说明</t>
  </si>
  <si>
    <t>计划列是指子公司根据自身经营计划安排分解到月的目标，受统计口径影响无法分解的计划值可不填写</t>
  </si>
  <si>
    <t>达成列是指当月实际达成情况</t>
  </si>
  <si>
    <t>3、</t>
  </si>
  <si>
    <t>表格结构不得修改</t>
  </si>
  <si>
    <t>精确到两位小数</t>
  </si>
  <si>
    <t>2024年各月指标达成统计表</t>
  </si>
  <si>
    <t>项目            年月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</si>
  <si>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</si>
  <si>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</si>
  <si>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</si>
  <si>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</si>
  <si>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</si>
  <si>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</si>
  <si>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</si>
  <si>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</si>
  <si>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</si>
  <si>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</si>
  <si>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</si>
  <si>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</si>
  <si>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</si>
  <si>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计划</t>
  </si>
  <si>
    <t>达成</t>
  </si>
  <si>
    <t>整体情况</t>
  </si>
  <si>
    <t>期初面积</t>
  </si>
  <si>
    <t>签约面积</t>
  </si>
  <si>
    <t>平均租金</t>
  </si>
  <si>
    <t>退租面积</t>
  </si>
  <si>
    <t>月末面积</t>
  </si>
  <si>
    <t>合作渠道</t>
  </si>
  <si>
    <t>带客数量</t>
  </si>
  <si>
    <t>成交数量</t>
  </si>
  <si>
    <t>成交周期</t>
  </si>
  <si>
    <t>转化率</t>
  </si>
  <si>
    <t>自有招商</t>
  </si>
  <si>
    <t>续租情况</t>
  </si>
  <si>
    <t>到期面积</t>
  </si>
  <si>
    <t>续签面积</t>
  </si>
  <si>
    <t>2026年各月指标达成统计表</t>
  </si>
  <si>
    <t>项目              年月</t>
  </si>
  <si>
    <t>协议客户</t>
  </si>
  <si>
    <t>签约数量</t>
  </si>
  <si>
    <t>新签数量</t>
  </si>
  <si>
    <t>激活率</t>
  </si>
  <si>
    <t>客户情况</t>
  </si>
  <si>
    <t>旅行团</t>
  </si>
  <si>
    <t>会议团队</t>
  </si>
  <si>
    <t>长住房</t>
  </si>
  <si>
    <t>平台散客</t>
  </si>
  <si>
    <t>营销活动</t>
  </si>
  <si>
    <t>投放数量</t>
  </si>
  <si>
    <t>1+1000</t>
  </si>
  <si>
    <t>1+900</t>
  </si>
  <si>
    <t>1+1500</t>
  </si>
  <si>
    <t>1+500+100</t>
  </si>
  <si>
    <t>1+300+100</t>
  </si>
  <si>
    <t>1+400+100</t>
  </si>
  <si>
    <t>12+11800</t>
  </si>
  <si>
    <t>12+9500</t>
  </si>
  <si>
    <t>受众数量</t>
  </si>
  <si>
    <t>项目             年月</t>
  </si>
  <si>
    <t>人力</t>
  </si>
  <si>
    <t>期初人力</t>
  </si>
  <si>
    <t>当月入职</t>
  </si>
  <si>
    <t>当月离职</t>
  </si>
  <si>
    <t>当月净增</t>
  </si>
  <si>
    <t>月末人力</t>
  </si>
  <si>
    <t>平均人力</t>
  </si>
  <si>
    <t>开单人数</t>
  </si>
  <si>
    <t>活动率</t>
  </si>
  <si>
    <t>产能</t>
  </si>
  <si>
    <t>承保新单规模保费</t>
  </si>
  <si>
    <t>承保期交规模保费</t>
  </si>
  <si>
    <t>应收13月续期保费</t>
  </si>
  <si>
    <t>实收13月续期保费</t>
  </si>
  <si>
    <t>应收25月续期保费</t>
  </si>
  <si>
    <t>实收25月续期保费</t>
  </si>
  <si>
    <t>承保件数</t>
  </si>
  <si>
    <t>件均保费</t>
  </si>
  <si>
    <t>人均保费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</si>
</sst>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</numFmts>
  <fonts count="29">
    <font>
      <sz val="11"/>
      <color theme="1"/>
      <name val="等距更纱黑体 SC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theme="0"/>
      <name val="等距更纱黑体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4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6" fillId="4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17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9D9D9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2" sqref="B12"/>
    </sheetView>
  </sheetViews>
  <sheetFormatPr defaultColWidth="9" defaultRowHeight="29" customHeight="1" outlineLevelCol="1"/>
  <cols>
    <col min="1" max="1" width="11.1333333333333" style="32" customWidth="1"/>
    <col min="2" max="16384" width="9" style="32"/>
  </cols>
  <sheetData>
    <row r="1" customHeight="1" spans="1:2">
      <c r="A1" s="33" t="s">
        <v>0</v>
      </c>
    </row>
    <row r="2" customHeight="1" spans="1:2">
      <c r="A2" s="34" t="s">
        <v>1</v>
      </c>
      <c r="B2" s="32" t="s">
        <v>2</v>
      </c>
    </row>
    <row r="3" ht="13.5" customHeight="1" spans="1:2">
      <c r="A3" s="34"/>
      <c r="B3" s="35" t="s">
        <v>3</v>
      </c>
    </row>
    <row r="4" customHeight="1" spans="1:2">
      <c r="A4" s="34"/>
      <c r="B4" s="32" t="s">
        <v>4</v>
      </c>
    </row>
    <row r="5" customHeight="1" spans="1:2">
      <c r="A5" s="34"/>
      <c r="B5" s="32" t="s">
        <v>5</v>
      </c>
    </row>
    <row r="6" customHeight="1" spans="1:2">
      <c r="A6" s="34"/>
      <c r="B6" s="32" t="s">
        <v>6</v>
      </c>
    </row>
    <row r="7" customHeight="1" spans="1:2">
      <c r="A7" s="34"/>
      <c r="B7" s="32" t="s">
        <v>7</v>
      </c>
    </row>
    <row r="8" customHeight="1" spans="1:2">
      <c r="A8" s="34"/>
      <c r="B8" s="32" t="s">
        <v>8</v>
      </c>
    </row>
    <row r="9" customHeight="1" spans="1:2">
      <c r="A9" s="34" t="s">
        <v>9</v>
      </c>
      <c r="B9" s="32" t="s">
        <v>10</v>
      </c>
    </row>
    <row r="10" customHeight="1" spans="1:2">
      <c r="A10" s="34"/>
      <c r="B10" s="32" t="s">
        <v>11</v>
      </c>
    </row>
    <row r="11" customHeight="1" spans="1:2">
      <c r="A11" s="34"/>
      <c r="B11" s="32" t="s">
        <v>12</v>
      </c>
    </row>
    <row r="12" customHeight="1" spans="1:2">
      <c r="A12" s="34" t="s">
        <v>13</v>
      </c>
      <c r="B12" s="32" t="s">
        <v>14</v>
      </c>
    </row>
    <row r="13" customHeight="1" spans="1:2">
      <c r="B13" s="32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20"/>
  <sheetViews>
    <sheetView workbookViewId="0">
      <pane xSplit="2" ySplit="3" topLeftCell="G4" activePane="bottomRight" state="frozen"/>
      <selection/>
      <selection pane="topRight"/>
      <selection pane="bottomLeft"/>
      <selection pane="bottomRight" activeCell="G16" sqref="G16"/>
    </sheetView>
  </sheetViews>
  <sheetFormatPr defaultColWidth="9.025" defaultRowHeight="30" customHeight="1"/>
  <cols>
    <col min="1" max="1" width="9" style="1" customWidth="1"/>
    <col min="2" max="2" width="13.25" style="1" customWidth="1"/>
    <col min="3" max="28" width="10.6333333333333" style="1" customWidth="1"/>
  </cols>
  <sheetData>
    <row r="1" customHeight="1" spans="1:28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16" t="s">
        <v>17</v>
      </c>
      <c r="B2" s="16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16"/>
      <c r="B3" s="16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10" t="s">
        <v>33</v>
      </c>
      <c r="B4" s="10" t="s">
        <v>34</v>
      </c>
      <c r="C4" s="10"/>
      <c r="D4" s="11"/>
      <c r="E4" s="11"/>
      <c r="F4" s="11"/>
      <c r="G4" s="10"/>
      <c r="H4" s="11"/>
      <c r="I4" s="11"/>
      <c r="J4" s="11"/>
      <c r="K4" s="10"/>
      <c r="L4" s="11"/>
      <c r="M4" s="11"/>
      <c r="N4" s="11"/>
      <c r="O4" s="10"/>
      <c r="P4" s="11"/>
      <c r="Q4" s="11"/>
      <c r="R4" s="11"/>
      <c r="S4" s="10"/>
      <c r="T4" s="11"/>
      <c r="U4" s="11"/>
      <c r="V4" s="11"/>
      <c r="W4" s="10"/>
      <c r="X4" s="11"/>
      <c r="Y4" s="11"/>
      <c r="Z4" s="11"/>
      <c r="AA4" s="12"/>
      <c r="AB4" s="12"/>
    </row>
    <row r="5" ht="27" customHeight="1" spans="1:28">
      <c r="A5" s="10"/>
      <c r="B5" s="9" t="s">
        <v>35</v>
      </c>
      <c r="C5" s="9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0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27" customHeight="1" spans="1:28">
      <c r="A6" s="10"/>
      <c r="B6" s="9" t="s">
        <v>36</v>
      </c>
      <c r="C6" s="9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0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27" customHeight="1" spans="1:28">
      <c r="A7" s="10"/>
      <c r="B7" s="9" t="s">
        <v>37</v>
      </c>
      <c r="C7" s="9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9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27" customHeight="1" spans="1:28">
      <c r="A8" s="10"/>
      <c r="B8" s="9" t="s">
        <v>38</v>
      </c>
      <c r="C8" s="9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0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27" customHeight="1" spans="1:28">
      <c r="A9" s="9" t="s">
        <v>39</v>
      </c>
      <c r="B9" s="9" t="s">
        <v>40</v>
      </c>
      <c r="C9" s="9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9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27" customHeight="1" spans="1:28">
      <c r="A10" s="9"/>
      <c r="B10" s="9" t="s">
        <v>41</v>
      </c>
      <c r="C10" s="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9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27" customHeight="1" spans="1:28">
      <c r="A11" s="9"/>
      <c r="B11" s="9" t="s">
        <v>35</v>
      </c>
      <c r="C11" s="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9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27" customHeight="1" spans="1:28">
      <c r="A12" s="9"/>
      <c r="B12" s="9" t="s">
        <v>42</v>
      </c>
      <c r="C12" s="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9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27" customHeight="1" spans="1:28">
      <c r="A13" s="9"/>
      <c r="B13" s="9" t="s">
        <v>43</v>
      </c>
      <c r="C13" s="9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9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27" customHeight="1" spans="1:28">
      <c r="A14" s="9" t="s">
        <v>44</v>
      </c>
      <c r="B14" s="9" t="s">
        <v>40</v>
      </c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9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27" customHeight="1" spans="1:28">
      <c r="A15" s="9"/>
      <c r="B15" s="9" t="s">
        <v>41</v>
      </c>
      <c r="C15" s="9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9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27" customHeight="1" spans="1:28">
      <c r="A16" s="9"/>
      <c r="B16" s="9" t="s">
        <v>35</v>
      </c>
      <c r="C16" s="9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9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27" customHeight="1" spans="1:28">
      <c r="A17" s="9"/>
      <c r="B17" s="9" t="s">
        <v>42</v>
      </c>
      <c r="C17" s="9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9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27" customHeight="1" spans="1:28">
      <c r="A18" s="9"/>
      <c r="B18" s="9" t="s">
        <v>43</v>
      </c>
      <c r="C18" s="9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9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27" customHeight="1" spans="1:28">
      <c r="A19" s="10" t="s">
        <v>45</v>
      </c>
      <c r="B19" s="9" t="s">
        <v>46</v>
      </c>
      <c r="C19" s="9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27" customHeight="1" spans="1:28">
      <c r="A20" s="10"/>
      <c r="B20" s="9" t="s">
        <v>47</v>
      </c>
      <c r="C20" s="9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</sheetData>
  <mergeCells count="19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8"/>
    <mergeCell ref="A9:A13"/>
    <mergeCell ref="A14:A18"/>
    <mergeCell ref="A19:A20"/>
    <mergeCell ref="A2:B3"/>
  </mergeCells>
  <pageMargins left="0.75" right="0.75" top="1" bottom="1" header="0.5" footer="0.5"/>
  <pageSetup paperSize="9" scale="9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18"/>
  <sheetViews>
    <sheetView tabSelected="1" workbookViewId="0">
      <pane xSplit="2" topLeftCell="C1" activePane="topRight" state="frozen"/>
      <selection/>
      <selection pane="topRight" activeCell="L6" sqref="L6"/>
    </sheetView>
  </sheetViews>
  <sheetFormatPr defaultColWidth="9.025" defaultRowHeight="28" customHeight="1"/>
  <cols>
    <col min="1" max="1" width="9.025" style="1"/>
    <col min="2" max="2" width="9.5" style="1" customWidth="1"/>
    <col min="3" max="6" width="10.6333333333333" style="1" customWidth="1"/>
    <col min="7" max="8" width="13.0916666666667" style="1" customWidth="1"/>
    <col min="9" max="28" width="10.6333333333333" style="1" customWidth="1"/>
    <col min="29" max="16384" width="9.025" style="1"/>
  </cols>
  <sheetData>
    <row r="1" customHeight="1" spans="1:29">
      <c r="A1" s="2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9">
      <c r="A2" s="16" t="s">
        <v>49</v>
      </c>
      <c r="B2" s="16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9">
      <c r="A3" s="16"/>
      <c r="B3" s="16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9">
      <c r="A4" s="17" t="s">
        <v>50</v>
      </c>
      <c r="B4" s="18" t="s">
        <v>51</v>
      </c>
      <c r="C4" s="14">
        <v>30</v>
      </c>
      <c r="D4" s="14">
        <v>21</v>
      </c>
      <c r="E4" s="14">
        <v>60</v>
      </c>
      <c r="F4" s="14">
        <v>24</v>
      </c>
      <c r="G4" s="14">
        <v>30</v>
      </c>
      <c r="H4" s="14">
        <v>8</v>
      </c>
      <c r="I4" s="14">
        <v>30</v>
      </c>
      <c r="J4" s="14">
        <v>8</v>
      </c>
      <c r="K4" s="14"/>
      <c r="L4" s="14"/>
      <c r="M4" s="14"/>
      <c r="N4" s="19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>
        <f>C4+E4+G4+I4+K4+M4+O4+Q4+S4+U4+W4+Y4</f>
        <v>150</v>
      </c>
      <c r="AB4" s="14">
        <f>D4+F4+H4+J4+L4+N4+P4+R4+T4+V4+X4+Z4</f>
        <v>61</v>
      </c>
    </row>
    <row r="5" ht="27" customHeight="1" spans="1:29">
      <c r="A5" s="20"/>
      <c r="B5" s="18" t="s">
        <v>52</v>
      </c>
      <c r="C5" s="14">
        <v>10</v>
      </c>
      <c r="D5" s="14">
        <v>3</v>
      </c>
      <c r="E5" s="14">
        <v>20</v>
      </c>
      <c r="F5" s="14">
        <v>5</v>
      </c>
      <c r="G5" s="14">
        <v>10</v>
      </c>
      <c r="H5" s="14">
        <v>2</v>
      </c>
      <c r="I5" s="14">
        <v>10</v>
      </c>
      <c r="J5" s="14">
        <v>1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>
        <f t="shared" ref="AA5:AA15" si="0">C5+E5+G5+I5+K5+M5+O5+Q5+S5+U5+W5+Y5</f>
        <v>50</v>
      </c>
      <c r="AB5" s="14">
        <f t="shared" ref="AB5:AB15" si="1">D5+F5+H5+J5+L5+N5+P5+R5+T5+V5+X5+Z5</f>
        <v>11</v>
      </c>
    </row>
    <row r="6" ht="27" customHeight="1" spans="1:29">
      <c r="A6" s="20"/>
      <c r="B6" s="18" t="s">
        <v>53</v>
      </c>
      <c r="C6" s="21">
        <v>0.4</v>
      </c>
      <c r="D6" s="22">
        <v>0.3255</v>
      </c>
      <c r="E6" s="21">
        <v>0.4</v>
      </c>
      <c r="F6" s="22">
        <v>0.25</v>
      </c>
      <c r="G6" s="21">
        <v>0.26</v>
      </c>
      <c r="H6" s="22">
        <v>0.2</v>
      </c>
      <c r="I6" s="21">
        <v>0.26</v>
      </c>
      <c r="J6" s="22">
        <v>0.1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14">
        <f t="shared" si="0"/>
        <v>1.32</v>
      </c>
      <c r="AB6" s="14">
        <f t="shared" si="1"/>
        <v>0.8755</v>
      </c>
    </row>
    <row r="7" ht="27" customHeight="1" spans="1:29">
      <c r="A7" s="23" t="s">
        <v>54</v>
      </c>
      <c r="B7" s="24" t="s">
        <v>50</v>
      </c>
      <c r="C7" s="14">
        <v>500</v>
      </c>
      <c r="D7" s="14">
        <v>291</v>
      </c>
      <c r="E7" s="14">
        <v>700</v>
      </c>
      <c r="F7" s="14">
        <v>293</v>
      </c>
      <c r="G7" s="14">
        <v>500</v>
      </c>
      <c r="H7" s="14">
        <v>213</v>
      </c>
      <c r="I7" s="14">
        <v>500</v>
      </c>
      <c r="J7" s="14">
        <v>245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>
        <f t="shared" si="0"/>
        <v>2200</v>
      </c>
      <c r="AB7" s="14">
        <f t="shared" si="1"/>
        <v>1042</v>
      </c>
    </row>
    <row r="8" ht="27" customHeight="1" spans="1:29">
      <c r="A8" s="25"/>
      <c r="B8" s="18" t="s">
        <v>55</v>
      </c>
      <c r="C8" s="14">
        <v>850</v>
      </c>
      <c r="D8" s="14">
        <v>627</v>
      </c>
      <c r="E8" s="14">
        <v>1000</v>
      </c>
      <c r="F8" s="14">
        <v>2020</v>
      </c>
      <c r="G8" s="14">
        <v>2000</v>
      </c>
      <c r="H8" s="14">
        <v>1918</v>
      </c>
      <c r="I8" s="14">
        <v>2000</v>
      </c>
      <c r="J8" s="14">
        <v>2513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>
        <f t="shared" si="0"/>
        <v>5850</v>
      </c>
      <c r="AB8" s="14">
        <f t="shared" si="1"/>
        <v>7078</v>
      </c>
    </row>
    <row r="9" ht="27" customHeight="1" spans="1:29">
      <c r="A9" s="25"/>
      <c r="B9" s="18" t="s">
        <v>56</v>
      </c>
      <c r="C9" s="14">
        <v>900</v>
      </c>
      <c r="D9" s="14">
        <v>289</v>
      </c>
      <c r="E9" s="14">
        <v>500</v>
      </c>
      <c r="F9" s="14">
        <v>342</v>
      </c>
      <c r="G9" s="14">
        <v>500</v>
      </c>
      <c r="H9" s="14">
        <v>281</v>
      </c>
      <c r="I9" s="14">
        <v>500</v>
      </c>
      <c r="J9" s="14">
        <v>394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>
        <f t="shared" si="0"/>
        <v>2400</v>
      </c>
      <c r="AB9" s="14">
        <f t="shared" si="1"/>
        <v>1306</v>
      </c>
    </row>
    <row r="10" ht="27" customHeight="1" spans="1:29">
      <c r="A10" s="25"/>
      <c r="B10" s="18" t="s">
        <v>57</v>
      </c>
      <c r="C10" s="14">
        <v>100</v>
      </c>
      <c r="D10" s="14">
        <v>38</v>
      </c>
      <c r="E10" s="14">
        <v>60</v>
      </c>
      <c r="F10" s="14">
        <v>25</v>
      </c>
      <c r="G10" s="14">
        <v>31</v>
      </c>
      <c r="H10" s="14">
        <v>0</v>
      </c>
      <c r="I10" s="14">
        <v>31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>
        <f t="shared" si="0"/>
        <v>222</v>
      </c>
      <c r="AB10" s="14">
        <f t="shared" si="1"/>
        <v>63</v>
      </c>
    </row>
    <row r="11" ht="27" customHeight="1" spans="1:29">
      <c r="A11" s="26"/>
      <c r="B11" s="18" t="s">
        <v>58</v>
      </c>
      <c r="C11" s="14">
        <v>800</v>
      </c>
      <c r="D11" s="14">
        <v>833</v>
      </c>
      <c r="E11" s="14">
        <v>30</v>
      </c>
      <c r="F11" s="27">
        <v>32</v>
      </c>
      <c r="G11" s="14">
        <v>31</v>
      </c>
      <c r="H11" s="14">
        <v>7</v>
      </c>
      <c r="I11" s="14">
        <v>31</v>
      </c>
      <c r="J11" s="14">
        <v>10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>
        <f t="shared" si="0"/>
        <v>892</v>
      </c>
      <c r="AB11" s="14">
        <f t="shared" si="1"/>
        <v>882</v>
      </c>
    </row>
    <row r="12" ht="27" customHeight="1" spans="1:29">
      <c r="A12" s="17" t="s">
        <v>59</v>
      </c>
      <c r="B12" s="18" t="s">
        <v>60</v>
      </c>
      <c r="C12" s="14" t="s">
        <v>61</v>
      </c>
      <c r="D12" s="14" t="s">
        <v>62</v>
      </c>
      <c r="E12" s="14" t="s">
        <v>63</v>
      </c>
      <c r="F12" s="14" t="s">
        <v>61</v>
      </c>
      <c r="G12" s="14" t="s">
        <v>64</v>
      </c>
      <c r="H12" s="14" t="s">
        <v>65</v>
      </c>
      <c r="I12" s="14" t="s">
        <v>64</v>
      </c>
      <c r="J12" s="14" t="s">
        <v>66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 t="s">
        <v>67</v>
      </c>
      <c r="AB12" s="14" t="s">
        <v>68</v>
      </c>
    </row>
    <row r="13" ht="27" customHeight="1" spans="1:29">
      <c r="A13" s="20"/>
      <c r="B13" s="18" t="s">
        <v>69</v>
      </c>
      <c r="C13" s="14">
        <v>15000</v>
      </c>
      <c r="D13" s="14">
        <v>15000</v>
      </c>
      <c r="E13" s="14">
        <v>15000</v>
      </c>
      <c r="F13" s="14">
        <v>15000</v>
      </c>
      <c r="G13" s="14">
        <v>15000</v>
      </c>
      <c r="H13" s="14">
        <v>15000</v>
      </c>
      <c r="I13" s="14">
        <v>15000</v>
      </c>
      <c r="J13" s="14">
        <v>15000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>
        <f t="shared" si="0"/>
        <v>60000</v>
      </c>
      <c r="AB13" s="14">
        <f t="shared" si="1"/>
        <v>60000</v>
      </c>
    </row>
    <row r="14" ht="27" customHeight="1" spans="1:29">
      <c r="A14" s="20"/>
      <c r="B14" s="18" t="s">
        <v>41</v>
      </c>
      <c r="C14" s="14">
        <v>5</v>
      </c>
      <c r="D14" s="14">
        <v>2</v>
      </c>
      <c r="E14" s="14">
        <v>5</v>
      </c>
      <c r="F14" s="14">
        <v>0</v>
      </c>
      <c r="G14" s="14">
        <v>2</v>
      </c>
      <c r="H14" s="14">
        <v>0</v>
      </c>
      <c r="I14" s="14">
        <v>2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>
        <f t="shared" si="0"/>
        <v>14</v>
      </c>
      <c r="AB14" s="14">
        <f t="shared" si="1"/>
        <v>2</v>
      </c>
    </row>
    <row r="15" ht="27" customHeight="1" spans="1:29">
      <c r="A15" s="28"/>
      <c r="B15" s="18" t="s">
        <v>43</v>
      </c>
      <c r="C15" s="29">
        <v>0.000333</v>
      </c>
      <c r="D15" s="29">
        <v>0.00013</v>
      </c>
      <c r="E15" s="29">
        <v>0.000333</v>
      </c>
      <c r="F15" s="29">
        <v>0</v>
      </c>
      <c r="G15" s="29">
        <v>0.00013</v>
      </c>
      <c r="H15" s="29">
        <v>0</v>
      </c>
      <c r="I15" s="29">
        <v>0.00013</v>
      </c>
      <c r="J15" s="29">
        <v>0</v>
      </c>
      <c r="K15" s="22"/>
      <c r="L15" s="22"/>
      <c r="M15" s="22"/>
      <c r="N15" s="22"/>
      <c r="O15" s="22"/>
      <c r="P15" s="29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>
        <f t="shared" si="0"/>
        <v>0.000926</v>
      </c>
      <c r="AB15" s="22">
        <v>0.00085</v>
      </c>
    </row>
    <row r="16" customHeight="1" spans="1:29">
      <c r="Z16" s="30"/>
      <c r="AA16" s="31"/>
      <c r="AB16" s="31"/>
      <c r="AC16" s="30"/>
    </row>
    <row r="17" customHeight="1" spans="26:29">
      <c r="Z17" s="30"/>
      <c r="AA17" s="31"/>
      <c r="AB17" s="31"/>
      <c r="AC17" s="30"/>
    </row>
    <row r="18" customHeight="1" spans="26:29">
      <c r="Z18" s="30"/>
      <c r="AA18" s="31"/>
      <c r="AB18" s="31"/>
      <c r="AC18" s="30"/>
    </row>
  </sheetData>
  <mergeCells count="18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6"/>
    <mergeCell ref="A7:A11"/>
    <mergeCell ref="A12:A15"/>
    <mergeCell ref="A2:B3"/>
  </mergeCells>
  <pageMargins left="0.75" right="0.75" top="1" bottom="1" header="0.5" footer="0.5"/>
  <pageSetup paperSize="9" scale="45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20"/>
  <sheetViews>
    <sheetView workbookViewId="0">
      <selection activeCell="B16" sqref="B16"/>
    </sheetView>
  </sheetViews>
  <sheetFormatPr defaultColWidth="9.025" defaultRowHeight="30" customHeight="1"/>
  <cols>
    <col min="1" max="1" width="9" style="1" customWidth="1"/>
    <col min="2" max="2" width="17.5" style="1" customWidth="1"/>
    <col min="3" max="28" width="10.6333333333333" style="1" customWidth="1"/>
    <col min="29" max="16384" width="9.025" style="1"/>
  </cols>
  <sheetData>
    <row r="1" customHeight="1" spans="1:28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3" t="s">
        <v>70</v>
      </c>
      <c r="B2" s="4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6"/>
      <c r="B3" s="7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8" t="s">
        <v>71</v>
      </c>
      <c r="B4" s="9" t="s">
        <v>72</v>
      </c>
      <c r="C4" s="10"/>
      <c r="D4" s="11"/>
      <c r="E4" s="11"/>
      <c r="F4" s="11"/>
      <c r="G4" s="10"/>
      <c r="H4" s="11"/>
      <c r="I4" s="11"/>
      <c r="J4" s="11"/>
      <c r="K4" s="10"/>
      <c r="L4" s="11"/>
      <c r="M4" s="11"/>
      <c r="N4" s="11"/>
      <c r="O4" s="10"/>
      <c r="P4" s="11"/>
      <c r="Q4" s="11"/>
      <c r="R4" s="11"/>
      <c r="S4" s="10"/>
      <c r="T4" s="11"/>
      <c r="U4" s="11"/>
      <c r="V4" s="11"/>
      <c r="W4" s="10"/>
      <c r="X4" s="11"/>
      <c r="Y4" s="11"/>
      <c r="Z4" s="11"/>
      <c r="AA4" s="12"/>
      <c r="AB4" s="12"/>
    </row>
    <row r="5" ht="27" customHeight="1" spans="1:28">
      <c r="A5" s="13"/>
      <c r="B5" s="9" t="s">
        <v>73</v>
      </c>
      <c r="C5" s="9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0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27" customHeight="1" spans="1:28">
      <c r="A6" s="13"/>
      <c r="B6" s="9" t="s">
        <v>74</v>
      </c>
      <c r="C6" s="9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9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27" customHeight="1" spans="1:28">
      <c r="A7" s="13"/>
      <c r="B7" s="9" t="s">
        <v>75</v>
      </c>
      <c r="C7" s="9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0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27" customHeight="1" spans="1:28">
      <c r="A8" s="13"/>
      <c r="B8" s="9" t="s">
        <v>76</v>
      </c>
      <c r="C8" s="9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9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27" customHeight="1" spans="1:28">
      <c r="A9" s="13"/>
      <c r="B9" s="9" t="s">
        <v>77</v>
      </c>
      <c r="C9" s="9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9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27" customHeight="1" spans="1:28">
      <c r="A10" s="13"/>
      <c r="B10" s="9" t="s">
        <v>78</v>
      </c>
      <c r="C10" s="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9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27" customHeight="1" spans="1:28">
      <c r="A11" s="15"/>
      <c r="B11" s="9" t="s">
        <v>79</v>
      </c>
      <c r="C11" s="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9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27" customHeight="1" spans="1:28">
      <c r="A12" s="9" t="s">
        <v>80</v>
      </c>
      <c r="B12" s="9" t="s">
        <v>81</v>
      </c>
      <c r="C12" s="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9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27" customHeight="1" spans="1:28">
      <c r="A13" s="9"/>
      <c r="B13" s="9" t="s">
        <v>82</v>
      </c>
      <c r="C13" s="9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9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27" customHeight="1" spans="1:28">
      <c r="A14" s="9"/>
      <c r="B14" s="9" t="s">
        <v>83</v>
      </c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9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27" customHeight="1" spans="1:28">
      <c r="A15" s="9"/>
      <c r="B15" s="9" t="s">
        <v>84</v>
      </c>
      <c r="C15" s="9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9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27" customHeight="1" spans="1:28">
      <c r="A16" s="9"/>
      <c r="B16" s="9" t="s">
        <v>85</v>
      </c>
      <c r="C16" s="9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9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27" customHeight="1" spans="1:28">
      <c r="A17" s="9"/>
      <c r="B17" s="9" t="s">
        <v>86</v>
      </c>
      <c r="C17" s="9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9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27" customHeight="1" spans="1:28">
      <c r="A18" s="9"/>
      <c r="B18" s="9" t="s">
        <v>87</v>
      </c>
      <c r="C18" s="9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9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27" customHeight="1" spans="1:28">
      <c r="A19" s="9"/>
      <c r="B19" s="9" t="s">
        <v>88</v>
      </c>
      <c r="C19" s="9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27" customHeight="1" spans="1:28">
      <c r="A20" s="9"/>
      <c r="B20" s="9" t="s">
        <v>89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</sheetData>
  <mergeCells count="17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11"/>
    <mergeCell ref="A12:A20"/>
    <mergeCell ref="A2:B3"/>
  </mergeCells>
  <pageMargins left="0.75" right="0.75" top="1" bottom="1" header="0.5" footer="0.5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写字楼和商业综合体类</vt:lpstr>
      <vt:lpstr>酒店类</vt:lpstr>
      <vt:lpstr>保险类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xinjun</dc:creator>
  <cp:lastModifiedBy>luochengyue</cp:lastModifiedBy>
  <dcterms:created xsi:type="dcterms:W3CDTF">2024-01-09T03:44:00Z</dcterms:created>
  <dcterms:modified xsi:type="dcterms:W3CDTF">2026-05-09T01:20:59Z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8723C7C5758D4BE5A4885F36F8ABE0EB_13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