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填写说明" sheetId="4" r:id="rId1"/>
    <sheet name="商写类" sheetId="2" r:id="rId2"/>
    <sheet name="酒店类" sheetId="1" r:id="rId3"/>
    <sheet name="保险类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黄伟</author>
  </authors>
  <commentList>
    <comment ref="A7" authorId="0">
      <text>
        <r>
          <rPr>
            <b/>
            <sz val="9"/>
            <rFont val="宋体"/>
            <charset val="134"/>
          </rPr>
          <t>黄伟:</t>
        </r>
        <r>
          <rPr>
            <sz val="9"/>
            <rFont val="宋体"/>
            <charset val="134"/>
          </rPr>
          <t xml:space="preserve">
入住的房间数量</t>
        </r>
      </text>
    </comment>
  </commentList>
</comments>
</file>

<file path=xl/sharedStrings.xml><?xml version="1.0" encoding="utf-8"?>
<sst xmlns="http://schemas.openxmlformats.org/spreadsheetml/2006/main" count="317" uniqueCount="111">
  <si>
    <t>填写说明</t>
  </si>
  <si>
    <t>1、</t>
  </si>
  <si>
    <t>子公司类别</t>
  </si>
  <si>
    <t>写字楼类：中言地产、钱隆商管、君康凯丹</t>
  </si>
  <si>
    <t>商业综合体类：重庆宜新、君康春夏秋冬</t>
  </si>
  <si>
    <t>酒店类：伯豪瑞庭、瑞尔酒店</t>
  </si>
  <si>
    <t>保险类：盛唐融信、君康经纪</t>
  </si>
  <si>
    <t>工程类：君康联谊、君康联杰</t>
  </si>
  <si>
    <t>按分类填写对应表格</t>
  </si>
  <si>
    <t>2、</t>
  </si>
  <si>
    <t>指标说明</t>
  </si>
  <si>
    <t>计划列是指子公司根据自身经营计划安排分解到月的目标，受统计口径影响无法分解的计划值可不填写</t>
  </si>
  <si>
    <t>达成列是指当月实际达成情况</t>
  </si>
  <si>
    <t>3、</t>
  </si>
  <si>
    <t>表格结构不得修改</t>
  </si>
  <si>
    <t>精确到两位小数</t>
  </si>
  <si>
    <t>2026年各月指标达成统计表</t>
  </si>
  <si>
    <t>项目            年月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</si>
  <si>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</si>
  <si>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</si>
  <si>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</si>
  <si>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</si>
  <si>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</si>
  <si>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</si>
  <si>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</si>
  <si>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</si>
  <si>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</si>
  <si>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</si>
  <si>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</si>
  <si>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</si>
  <si>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</si>
  <si>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计划</t>
  </si>
  <si>
    <t>达成</t>
  </si>
  <si>
    <t>整体情况</t>
  </si>
  <si>
    <t>期初面积</t>
  </si>
  <si>
    <t>/</t>
  </si>
  <si>
    <t>签约面积</t>
  </si>
  <si>
    <t>平均租金</t>
  </si>
  <si>
    <t>1.9元/天/平</t>
  </si>
  <si>
    <t>0.7元/天/平</t>
  </si>
  <si>
    <t>退租面积</t>
  </si>
  <si>
    <t>月末面积</t>
  </si>
  <si>
    <t>合作渠道</t>
  </si>
  <si>
    <t>带客数量</t>
  </si>
  <si>
    <t>4组</t>
  </si>
  <si>
    <t>2组</t>
  </si>
  <si>
    <t>1组</t>
  </si>
  <si>
    <t>3组</t>
  </si>
  <si>
    <t>6组</t>
  </si>
  <si>
    <t>27组</t>
  </si>
  <si>
    <t>成交数量</t>
  </si>
  <si>
    <t>0组</t>
  </si>
  <si>
    <t>12组</t>
  </si>
  <si>
    <t>成交周期</t>
  </si>
  <si>
    <t>25天</t>
  </si>
  <si>
    <t>32天</t>
  </si>
  <si>
    <t>20天</t>
  </si>
  <si>
    <t>36天</t>
  </si>
  <si>
    <t>转化率</t>
  </si>
  <si>
    <t>自有招商</t>
  </si>
  <si>
    <t>10组</t>
  </si>
  <si>
    <t>8组</t>
  </si>
  <si>
    <t>82组</t>
  </si>
  <si>
    <t>15天</t>
  </si>
  <si>
    <t>18天</t>
  </si>
  <si>
    <t>续租情况</t>
  </si>
  <si>
    <t>到期面积</t>
  </si>
  <si>
    <t>续签面积</t>
  </si>
  <si>
    <t>写1007新签</t>
  </si>
  <si>
    <t>公寓601退租</t>
  </si>
  <si>
    <t>loft22层</t>
  </si>
  <si>
    <t>A1-3</t>
  </si>
  <si>
    <t>写504室续租</t>
  </si>
  <si>
    <t>1607退租</t>
  </si>
  <si>
    <t>1908新租</t>
  </si>
  <si>
    <t>A3-2、A3-3</t>
  </si>
  <si>
    <t>1708退租</t>
  </si>
  <si>
    <t>2307退租</t>
  </si>
  <si>
    <t>出租率</t>
  </si>
  <si>
    <t>可租</t>
  </si>
  <si>
    <t>项目              年月</t>
  </si>
  <si>
    <t>协议客户</t>
  </si>
  <si>
    <t>签约数量</t>
  </si>
  <si>
    <t>新签数量</t>
  </si>
  <si>
    <t>激活率</t>
  </si>
  <si>
    <t>客户情况</t>
  </si>
  <si>
    <t>旅行团</t>
  </si>
  <si>
    <t>平台散客</t>
  </si>
  <si>
    <t>营销活动</t>
  </si>
  <si>
    <t>投放数量</t>
  </si>
  <si>
    <t>受众数量</t>
  </si>
  <si>
    <t>项目             年月</t>
  </si>
  <si>
    <t>人力</t>
  </si>
  <si>
    <t>期初人力</t>
  </si>
  <si>
    <t>当月入职</t>
  </si>
  <si>
    <t>当月离职</t>
  </si>
  <si>
    <t>当月净增</t>
  </si>
  <si>
    <t>月末人力</t>
  </si>
  <si>
    <t>平均人力</t>
  </si>
  <si>
    <t>开单人数</t>
  </si>
  <si>
    <t>活动率</t>
  </si>
  <si>
    <t>产能</t>
  </si>
  <si>
    <t>承保新单规模保费</t>
  </si>
  <si>
    <t>承保期交规模保费</t>
  </si>
  <si>
    <t>应收13月续期保费</t>
  </si>
  <si>
    <t>实收13月续期保费</t>
  </si>
  <si>
    <t>应收25月续期保费</t>
  </si>
  <si>
    <t>实收25月续期保费</t>
  </si>
  <si>
    <t>承保件数</t>
  </si>
  <si>
    <t>件均保费</t>
  </si>
  <si>
    <t>人均保费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</si>
</sst>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距更纱黑体 SC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1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0"/>
      <name val="等距更纱黑体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8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4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" fillId="3" borderId="3" xfId="0" applyFont="1" applyFill="1" applyBorder="1">
      <alignment vertical="center"/>
    </xf>
    <xf numFmtId="9" fontId="1" fillId="0" borderId="3" xfId="0" applyNumberFormat="1" applyFont="1" applyBorder="1" applyAlignment="1">
      <alignment horizontal="center" vertical="center"/>
    </xf>
    <xf numFmtId="9" fontId="1" fillId="3" borderId="3" xfId="0" applyNumberFormat="1" applyFont="1" applyFill="1" applyBorder="1" applyAlignment="1">
      <alignment horizontal="center" vertical="center"/>
    </xf>
    <xf numFmtId="10" fontId="1" fillId="3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9" fontId="1" fillId="3" borderId="3" xfId="3" applyFont="1" applyFill="1" applyBorder="1" applyAlignment="1" applyProtection="1">
      <alignment horizontal="center" vertical="center"/>
    </xf>
    <xf numFmtId="0" fontId="1" fillId="3" borderId="3" xfId="0" applyNumberFormat="1" applyFont="1" applyFill="1" applyBorder="1" applyAlignment="1" applyProtection="1">
      <alignment horizontal="center" vertical="center"/>
    </xf>
    <xf numFmtId="9" fontId="1" fillId="3" borderId="3" xfId="0" applyNumberFormat="1" applyFont="1" applyFill="1" applyBorder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0" fontId="5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千位分隔 17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D9D9D9"/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V27" sqref="V27"/>
    </sheetView>
  </sheetViews>
  <sheetFormatPr defaultColWidth="9" defaultRowHeight="29" customHeight="1" outlineLevelCol="1"/>
  <cols>
    <col min="1" max="1" width="11.125" style="27" customWidth="1"/>
    <col min="2" max="16384" width="9" style="27"/>
  </cols>
  <sheetData>
    <row r="1" customHeight="1" spans="1:2">
      <c r="A1" s="39" t="s">
        <v>0</v>
      </c>
    </row>
    <row r="2" customHeight="1" spans="1:2">
      <c r="A2" s="40" t="s">
        <v>1</v>
      </c>
      <c r="B2" s="27" t="s">
        <v>2</v>
      </c>
    </row>
    <row r="3" ht="13.5" customHeight="1" spans="1:2">
      <c r="A3" s="40"/>
      <c r="B3" s="41" t="s">
        <v>3</v>
      </c>
    </row>
    <row r="4" customHeight="1" spans="1:2">
      <c r="A4" s="40"/>
      <c r="B4" s="27" t="s">
        <v>4</v>
      </c>
    </row>
    <row r="5" customHeight="1" spans="1:2">
      <c r="A5" s="40"/>
      <c r="B5" s="27" t="s">
        <v>5</v>
      </c>
    </row>
    <row r="6" customHeight="1" spans="1:2">
      <c r="A6" s="40"/>
      <c r="B6" s="27" t="s">
        <v>6</v>
      </c>
    </row>
    <row r="7" customHeight="1" spans="1:2">
      <c r="A7" s="40"/>
      <c r="B7" s="27" t="s">
        <v>7</v>
      </c>
    </row>
    <row r="8" customHeight="1" spans="1:2">
      <c r="A8" s="40"/>
      <c r="B8" s="27" t="s">
        <v>8</v>
      </c>
    </row>
    <row r="9" customHeight="1" spans="1:2">
      <c r="A9" s="40" t="s">
        <v>9</v>
      </c>
      <c r="B9" s="27" t="s">
        <v>10</v>
      </c>
    </row>
    <row r="10" customHeight="1" spans="1:2">
      <c r="A10" s="40"/>
      <c r="B10" s="27" t="s">
        <v>11</v>
      </c>
    </row>
    <row r="11" customHeight="1" spans="1:2">
      <c r="A11" s="40"/>
      <c r="B11" s="27" t="s">
        <v>12</v>
      </c>
    </row>
    <row r="12" customHeight="1" spans="1:2">
      <c r="A12" s="40" t="s">
        <v>13</v>
      </c>
      <c r="B12" s="27" t="s">
        <v>14</v>
      </c>
    </row>
    <row r="13" customHeight="1" spans="1:2">
      <c r="B13" s="27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31"/>
  <sheetViews>
    <sheetView tabSelected="1" zoomScale="130" zoomScaleNormal="130" workbookViewId="0">
      <pane xSplit="2" ySplit="3" topLeftCell="C19" activePane="bottomRight" state="frozen"/>
      <selection/>
      <selection pane="topRight"/>
      <selection pane="bottomLeft"/>
      <selection pane="bottomRight" activeCell="J8" sqref="J8"/>
    </sheetView>
  </sheetViews>
  <sheetFormatPr defaultColWidth="9.025" defaultRowHeight="30" customHeight="1"/>
  <cols>
    <col min="1" max="1" width="9" style="1" customWidth="1"/>
    <col min="2" max="2" width="13.25" style="1" customWidth="1"/>
    <col min="3" max="3" width="11.6916666666667" style="1" customWidth="1"/>
    <col min="4" max="4" width="11.25" style="1" customWidth="1"/>
    <col min="5" max="7" width="10.625" style="1" customWidth="1"/>
    <col min="8" max="8" width="11.5833333333333" style="1" customWidth="1"/>
    <col min="9" max="9" width="11.5" style="1" customWidth="1"/>
    <col min="10" max="10" width="12.375" style="1" customWidth="1"/>
    <col min="11" max="19" width="10.625" style="1" customWidth="1"/>
    <col min="20" max="20" width="12.0416666666667" style="1" customWidth="1"/>
    <col min="21" max="27" width="10.625" style="1" customWidth="1"/>
    <col min="28" max="28" width="12.8416666666667" style="1" customWidth="1"/>
    <col min="29" max="29" width="12.625"/>
  </cols>
  <sheetData>
    <row r="1" customHeight="1" spans="1:29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9">
      <c r="A2" s="16" t="s">
        <v>17</v>
      </c>
      <c r="B2" s="16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9">
      <c r="A3" s="16"/>
      <c r="B3" s="16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9">
      <c r="A4" s="10" t="s">
        <v>33</v>
      </c>
      <c r="B4" s="10" t="s">
        <v>34</v>
      </c>
      <c r="C4" s="11" t="s">
        <v>35</v>
      </c>
      <c r="D4" s="14">
        <v>31299.98</v>
      </c>
      <c r="E4" s="25"/>
      <c r="F4" s="25">
        <f>D8</f>
        <v>31408.58</v>
      </c>
      <c r="G4" s="26"/>
      <c r="H4" s="25">
        <v>31233.78</v>
      </c>
      <c r="I4" s="25"/>
      <c r="J4" s="25">
        <v>32539.86</v>
      </c>
      <c r="K4" s="26"/>
      <c r="L4" s="25"/>
      <c r="M4" s="26"/>
      <c r="N4" s="25"/>
      <c r="O4" s="26"/>
      <c r="P4" s="25"/>
      <c r="Q4" s="26"/>
      <c r="R4" s="25"/>
      <c r="S4" s="26"/>
      <c r="T4" s="25"/>
      <c r="U4" s="25"/>
      <c r="V4" s="25"/>
      <c r="W4" s="25"/>
      <c r="X4" s="25"/>
      <c r="Y4" s="25"/>
      <c r="Z4" s="25"/>
      <c r="AA4" s="26"/>
      <c r="AB4" s="25"/>
      <c r="AC4" s="27"/>
    </row>
    <row r="5" ht="27" customHeight="1" spans="1:29">
      <c r="A5" s="10"/>
      <c r="B5" s="9" t="s">
        <v>36</v>
      </c>
      <c r="C5" s="14">
        <v>100</v>
      </c>
      <c r="D5" s="14">
        <v>108.6</v>
      </c>
      <c r="E5" s="25">
        <v>100</v>
      </c>
      <c r="F5" s="25">
        <v>0</v>
      </c>
      <c r="G5" s="25">
        <v>100</v>
      </c>
      <c r="H5" s="25">
        <f>H23+H24</f>
        <v>1306.08</v>
      </c>
      <c r="I5" s="25">
        <v>430</v>
      </c>
      <c r="J5" s="25">
        <f>J23+J24</f>
        <v>820.36</v>
      </c>
      <c r="K5" s="25">
        <v>600</v>
      </c>
      <c r="L5" s="25"/>
      <c r="M5" s="25">
        <v>685</v>
      </c>
      <c r="N5" s="25"/>
      <c r="O5" s="25">
        <v>770</v>
      </c>
      <c r="P5" s="25"/>
      <c r="Q5" s="25">
        <v>750</v>
      </c>
      <c r="R5" s="25"/>
      <c r="S5" s="25">
        <v>485</v>
      </c>
      <c r="T5" s="25"/>
      <c r="U5" s="25">
        <v>295</v>
      </c>
      <c r="V5" s="28"/>
      <c r="W5" s="25">
        <v>280</v>
      </c>
      <c r="X5" s="25"/>
      <c r="Y5" s="25">
        <v>300</v>
      </c>
      <c r="Z5" s="25"/>
      <c r="AA5" s="25">
        <v>4930</v>
      </c>
      <c r="AB5" s="25"/>
      <c r="AC5" s="27"/>
    </row>
    <row r="6" ht="27" customHeight="1" spans="1:29">
      <c r="A6" s="10"/>
      <c r="B6" s="9" t="s">
        <v>37</v>
      </c>
      <c r="C6" s="14" t="s">
        <v>38</v>
      </c>
      <c r="D6" s="14" t="s">
        <v>38</v>
      </c>
      <c r="E6" s="25" t="s">
        <v>38</v>
      </c>
      <c r="F6" s="25" t="s">
        <v>35</v>
      </c>
      <c r="G6" s="25" t="s">
        <v>38</v>
      </c>
      <c r="H6" s="25" t="s">
        <v>39</v>
      </c>
      <c r="I6" s="25" t="s">
        <v>38</v>
      </c>
      <c r="J6" s="25" t="s">
        <v>38</v>
      </c>
      <c r="K6" s="25"/>
      <c r="L6" s="25"/>
      <c r="M6" s="26"/>
      <c r="N6" s="25"/>
      <c r="O6" s="26"/>
      <c r="P6" s="25"/>
      <c r="Q6" s="26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7"/>
    </row>
    <row r="7" ht="27" customHeight="1" spans="1:29">
      <c r="A7" s="10"/>
      <c r="B7" s="9" t="s">
        <v>40</v>
      </c>
      <c r="C7" s="14">
        <v>0</v>
      </c>
      <c r="D7" s="14">
        <v>0</v>
      </c>
      <c r="E7" s="25">
        <v>66.2</v>
      </c>
      <c r="F7" s="25">
        <f>F23+F24</f>
        <v>174.8</v>
      </c>
      <c r="G7" s="25"/>
      <c r="H7" s="25">
        <v>0</v>
      </c>
      <c r="I7" s="25">
        <v>0</v>
      </c>
      <c r="J7" s="25">
        <f>J25+J26</f>
        <v>191.65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7"/>
    </row>
    <row r="8" ht="27" customHeight="1" spans="1:29">
      <c r="A8" s="10"/>
      <c r="B8" s="9" t="s">
        <v>41</v>
      </c>
      <c r="C8" s="14" t="s">
        <v>35</v>
      </c>
      <c r="D8" s="14">
        <f>D4+D5</f>
        <v>31408.58</v>
      </c>
      <c r="E8" s="25" t="s">
        <v>35</v>
      </c>
      <c r="F8" s="25">
        <f>F4-F7</f>
        <v>31233.78</v>
      </c>
      <c r="G8" s="25"/>
      <c r="H8" s="25">
        <f>H4+H5</f>
        <v>32539.86</v>
      </c>
      <c r="I8" s="25"/>
      <c r="J8" s="25">
        <f>J4+J5-J7</f>
        <v>33168.57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7"/>
    </row>
    <row r="9" ht="27" customHeight="1" spans="1:29">
      <c r="A9" s="9" t="s">
        <v>42</v>
      </c>
      <c r="B9" s="9" t="s">
        <v>43</v>
      </c>
      <c r="C9" s="14" t="s">
        <v>44</v>
      </c>
      <c r="D9" s="14" t="s">
        <v>45</v>
      </c>
      <c r="E9" s="25" t="s">
        <v>45</v>
      </c>
      <c r="F9" s="25" t="s">
        <v>46</v>
      </c>
      <c r="G9" s="25" t="s">
        <v>45</v>
      </c>
      <c r="H9" s="25" t="s">
        <v>47</v>
      </c>
      <c r="I9" s="25" t="s">
        <v>44</v>
      </c>
      <c r="J9" s="25" t="s">
        <v>48</v>
      </c>
      <c r="K9" s="25" t="s">
        <v>45</v>
      </c>
      <c r="L9" s="25"/>
      <c r="M9" s="25" t="s">
        <v>45</v>
      </c>
      <c r="N9" s="25"/>
      <c r="O9" s="25" t="s">
        <v>45</v>
      </c>
      <c r="P9" s="25"/>
      <c r="Q9" s="25" t="s">
        <v>45</v>
      </c>
      <c r="R9" s="25"/>
      <c r="S9" s="25" t="s">
        <v>45</v>
      </c>
      <c r="T9" s="25"/>
      <c r="U9" s="25" t="s">
        <v>47</v>
      </c>
      <c r="V9" s="25"/>
      <c r="W9" s="25" t="s">
        <v>45</v>
      </c>
      <c r="X9" s="25"/>
      <c r="Y9" s="25" t="s">
        <v>45</v>
      </c>
      <c r="Z9" s="25"/>
      <c r="AA9" s="25" t="s">
        <v>49</v>
      </c>
      <c r="AB9" s="25"/>
      <c r="AC9" s="27"/>
    </row>
    <row r="10" ht="27" customHeight="1" spans="1:29">
      <c r="A10" s="9"/>
      <c r="B10" s="9" t="s">
        <v>50</v>
      </c>
      <c r="C10" s="14" t="s">
        <v>46</v>
      </c>
      <c r="D10" s="14" t="s">
        <v>46</v>
      </c>
      <c r="E10" s="25" t="s">
        <v>46</v>
      </c>
      <c r="F10" s="25" t="s">
        <v>51</v>
      </c>
      <c r="G10" s="25" t="s">
        <v>46</v>
      </c>
      <c r="H10" s="25" t="s">
        <v>46</v>
      </c>
      <c r="I10" s="25" t="s">
        <v>46</v>
      </c>
      <c r="J10" s="25" t="s">
        <v>46</v>
      </c>
      <c r="K10" s="25" t="s">
        <v>46</v>
      </c>
      <c r="L10" s="25"/>
      <c r="M10" s="25" t="s">
        <v>46</v>
      </c>
      <c r="N10" s="25"/>
      <c r="O10" s="25" t="s">
        <v>46</v>
      </c>
      <c r="P10" s="25"/>
      <c r="Q10" s="25" t="s">
        <v>46</v>
      </c>
      <c r="R10" s="25"/>
      <c r="S10" s="25" t="s">
        <v>46</v>
      </c>
      <c r="T10" s="25"/>
      <c r="U10" s="25" t="s">
        <v>46</v>
      </c>
      <c r="V10" s="25"/>
      <c r="W10" s="25" t="s">
        <v>46</v>
      </c>
      <c r="X10" s="25"/>
      <c r="Y10" s="25" t="s">
        <v>46</v>
      </c>
      <c r="Z10" s="25"/>
      <c r="AA10" s="25" t="s">
        <v>52</v>
      </c>
      <c r="AB10" s="25"/>
      <c r="AC10" s="27"/>
    </row>
    <row r="11" ht="27" customHeight="1" spans="1:29">
      <c r="A11" s="9"/>
      <c r="B11" s="9" t="s">
        <v>36</v>
      </c>
      <c r="C11" s="14">
        <v>100</v>
      </c>
      <c r="D11" s="14">
        <v>108.6</v>
      </c>
      <c r="E11" s="25">
        <v>100</v>
      </c>
      <c r="F11" s="25">
        <v>0</v>
      </c>
      <c r="G11" s="25">
        <v>100</v>
      </c>
      <c r="H11" s="1">
        <v>1239.37</v>
      </c>
      <c r="I11" s="25">
        <v>430</v>
      </c>
      <c r="J11" s="25">
        <v>159.23</v>
      </c>
      <c r="K11" s="25">
        <v>600</v>
      </c>
      <c r="L11" s="25"/>
      <c r="M11" s="25">
        <v>685</v>
      </c>
      <c r="N11" s="25"/>
      <c r="O11" s="25">
        <v>770</v>
      </c>
      <c r="P11" s="25"/>
      <c r="Q11" s="25">
        <v>750</v>
      </c>
      <c r="R11" s="25"/>
      <c r="S11" s="25">
        <v>485</v>
      </c>
      <c r="T11" s="25"/>
      <c r="U11" s="25">
        <v>295</v>
      </c>
      <c r="V11" s="25"/>
      <c r="W11" s="25">
        <v>280</v>
      </c>
      <c r="X11" s="25"/>
      <c r="Y11" s="25">
        <v>300</v>
      </c>
      <c r="Z11" s="25"/>
      <c r="AA11" s="25">
        <v>4930</v>
      </c>
      <c r="AB11" s="25"/>
      <c r="AC11" s="27"/>
    </row>
    <row r="12" ht="27" customHeight="1" spans="1:29">
      <c r="A12" s="9"/>
      <c r="B12" s="9" t="s">
        <v>53</v>
      </c>
      <c r="C12" s="14" t="s">
        <v>54</v>
      </c>
      <c r="D12" s="14" t="s">
        <v>55</v>
      </c>
      <c r="E12" s="25" t="s">
        <v>56</v>
      </c>
      <c r="F12" s="25" t="s">
        <v>35</v>
      </c>
      <c r="G12" s="25" t="s">
        <v>56</v>
      </c>
      <c r="H12" s="25" t="s">
        <v>57</v>
      </c>
      <c r="I12" s="25" t="s">
        <v>56</v>
      </c>
      <c r="J12" s="25" t="s">
        <v>56</v>
      </c>
      <c r="K12" s="25" t="s">
        <v>56</v>
      </c>
      <c r="L12" s="25"/>
      <c r="M12" s="25" t="s">
        <v>56</v>
      </c>
      <c r="N12" s="25"/>
      <c r="O12" s="25" t="s">
        <v>56</v>
      </c>
      <c r="P12" s="25"/>
      <c r="Q12" s="25" t="s">
        <v>56</v>
      </c>
      <c r="R12" s="25"/>
      <c r="S12" s="25" t="s">
        <v>56</v>
      </c>
      <c r="T12" s="25"/>
      <c r="U12" s="25" t="s">
        <v>56</v>
      </c>
      <c r="V12" s="25"/>
      <c r="W12" s="25" t="s">
        <v>56</v>
      </c>
      <c r="X12" s="25"/>
      <c r="Y12" s="25" t="s">
        <v>56</v>
      </c>
      <c r="Z12" s="25"/>
      <c r="AA12" s="25" t="s">
        <v>56</v>
      </c>
      <c r="AB12" s="25"/>
      <c r="AC12" s="27"/>
    </row>
    <row r="13" ht="27" customHeight="1" spans="1:29">
      <c r="A13" s="9"/>
      <c r="B13" s="9" t="s">
        <v>58</v>
      </c>
      <c r="C13" s="29">
        <v>0.5</v>
      </c>
      <c r="D13" s="29">
        <v>0.5</v>
      </c>
      <c r="E13" s="30">
        <v>0.5</v>
      </c>
      <c r="F13" s="30" t="s">
        <v>35</v>
      </c>
      <c r="G13" s="30">
        <v>0.5</v>
      </c>
      <c r="H13" s="30">
        <v>0.33</v>
      </c>
      <c r="I13" s="30">
        <v>0.25</v>
      </c>
      <c r="J13" s="30">
        <v>0.16</v>
      </c>
      <c r="K13" s="30">
        <v>0.5</v>
      </c>
      <c r="L13" s="25"/>
      <c r="M13" s="30">
        <v>0.5</v>
      </c>
      <c r="N13" s="25"/>
      <c r="O13" s="30">
        <v>0.5</v>
      </c>
      <c r="P13" s="25"/>
      <c r="Q13" s="30">
        <v>0.5</v>
      </c>
      <c r="R13" s="25"/>
      <c r="S13" s="30">
        <v>0.5</v>
      </c>
      <c r="T13" s="25"/>
      <c r="U13" s="30">
        <v>0.5</v>
      </c>
      <c r="V13" s="25"/>
      <c r="W13" s="30">
        <v>0.5</v>
      </c>
      <c r="X13" s="25"/>
      <c r="Y13" s="30">
        <v>0.5</v>
      </c>
      <c r="Z13" s="30"/>
      <c r="AA13" s="31">
        <v>0.44</v>
      </c>
      <c r="AB13" s="30"/>
      <c r="AC13" s="27"/>
    </row>
    <row r="14" ht="27" customHeight="1" spans="1:29">
      <c r="A14" s="9" t="s">
        <v>59</v>
      </c>
      <c r="B14" s="9" t="s">
        <v>43</v>
      </c>
      <c r="C14" s="14" t="s">
        <v>44</v>
      </c>
      <c r="D14" s="14" t="s">
        <v>45</v>
      </c>
      <c r="E14" s="25" t="s">
        <v>60</v>
      </c>
      <c r="F14" s="14" t="s">
        <v>45</v>
      </c>
      <c r="G14" s="25" t="s">
        <v>48</v>
      </c>
      <c r="H14" s="25" t="s">
        <v>47</v>
      </c>
      <c r="I14" s="25" t="s">
        <v>61</v>
      </c>
      <c r="J14" s="25" t="s">
        <v>44</v>
      </c>
      <c r="K14" s="25" t="s">
        <v>61</v>
      </c>
      <c r="L14" s="25"/>
      <c r="M14" s="25" t="s">
        <v>48</v>
      </c>
      <c r="N14" s="25"/>
      <c r="O14" s="25" t="s">
        <v>48</v>
      </c>
      <c r="P14" s="25"/>
      <c r="Q14" s="25" t="s">
        <v>48</v>
      </c>
      <c r="R14" s="25"/>
      <c r="S14" s="25" t="s">
        <v>48</v>
      </c>
      <c r="T14" s="25"/>
      <c r="U14" s="25" t="s">
        <v>48</v>
      </c>
      <c r="V14" s="25"/>
      <c r="W14" s="25" t="s">
        <v>48</v>
      </c>
      <c r="X14" s="25"/>
      <c r="Y14" s="25" t="s">
        <v>48</v>
      </c>
      <c r="Z14" s="25"/>
      <c r="AA14" s="25" t="s">
        <v>62</v>
      </c>
      <c r="AB14" s="25"/>
      <c r="AC14" s="27"/>
    </row>
    <row r="15" ht="27" customHeight="1" spans="1:29">
      <c r="A15" s="9"/>
      <c r="B15" s="9" t="s">
        <v>50</v>
      </c>
      <c r="C15" s="14" t="s">
        <v>46</v>
      </c>
      <c r="D15" s="14" t="s">
        <v>51</v>
      </c>
      <c r="E15" s="25" t="s">
        <v>46</v>
      </c>
      <c r="F15" s="14" t="s">
        <v>51</v>
      </c>
      <c r="G15" s="25" t="s">
        <v>46</v>
      </c>
      <c r="H15" s="25" t="s">
        <v>46</v>
      </c>
      <c r="I15" s="25" t="s">
        <v>46</v>
      </c>
      <c r="J15" s="25" t="s">
        <v>46</v>
      </c>
      <c r="K15" s="25" t="s">
        <v>46</v>
      </c>
      <c r="L15" s="25"/>
      <c r="M15" s="25" t="s">
        <v>46</v>
      </c>
      <c r="N15" s="25"/>
      <c r="O15" s="25" t="s">
        <v>46</v>
      </c>
      <c r="P15" s="25"/>
      <c r="Q15" s="25" t="s">
        <v>46</v>
      </c>
      <c r="R15" s="25"/>
      <c r="S15" s="25" t="s">
        <v>46</v>
      </c>
      <c r="T15" s="25"/>
      <c r="U15" s="25" t="s">
        <v>46</v>
      </c>
      <c r="V15" s="25"/>
      <c r="W15" s="25" t="s">
        <v>46</v>
      </c>
      <c r="X15" s="25"/>
      <c r="Y15" s="25" t="s">
        <v>46</v>
      </c>
      <c r="Z15" s="25"/>
      <c r="AA15" s="25" t="s">
        <v>52</v>
      </c>
      <c r="AB15" s="25"/>
      <c r="AC15" s="27"/>
    </row>
    <row r="16" ht="27" customHeight="1" spans="1:29">
      <c r="A16" s="9"/>
      <c r="B16" s="9" t="s">
        <v>36</v>
      </c>
      <c r="C16" s="14">
        <v>100</v>
      </c>
      <c r="D16" s="14">
        <v>0</v>
      </c>
      <c r="E16" s="25">
        <v>100</v>
      </c>
      <c r="F16" s="14">
        <v>0</v>
      </c>
      <c r="G16" s="25">
        <v>100</v>
      </c>
      <c r="H16" s="25">
        <v>66.71</v>
      </c>
      <c r="I16" s="25">
        <v>430</v>
      </c>
      <c r="J16" s="25">
        <v>661.13</v>
      </c>
      <c r="K16" s="25">
        <v>600</v>
      </c>
      <c r="L16" s="25"/>
      <c r="M16" s="25">
        <v>685</v>
      </c>
      <c r="N16" s="25"/>
      <c r="O16" s="25">
        <v>770</v>
      </c>
      <c r="P16" s="25"/>
      <c r="Q16" s="25">
        <v>750</v>
      </c>
      <c r="R16" s="25"/>
      <c r="S16" s="25">
        <v>485</v>
      </c>
      <c r="T16" s="25"/>
      <c r="U16" s="25">
        <v>295</v>
      </c>
      <c r="V16" s="25"/>
      <c r="W16" s="25">
        <v>280</v>
      </c>
      <c r="X16" s="25"/>
      <c r="Y16" s="25">
        <v>300</v>
      </c>
      <c r="Z16" s="25"/>
      <c r="AA16" s="25">
        <v>4930</v>
      </c>
      <c r="AB16" s="25"/>
      <c r="AC16" s="27"/>
    </row>
    <row r="17" ht="27" customHeight="1" spans="1:33">
      <c r="A17" s="9"/>
      <c r="B17" s="9" t="s">
        <v>53</v>
      </c>
      <c r="C17" s="14" t="s">
        <v>56</v>
      </c>
      <c r="D17" s="14" t="s">
        <v>35</v>
      </c>
      <c r="E17" s="25" t="s">
        <v>63</v>
      </c>
      <c r="F17" s="14" t="s">
        <v>35</v>
      </c>
      <c r="G17" s="25" t="s">
        <v>56</v>
      </c>
      <c r="H17" s="25" t="s">
        <v>56</v>
      </c>
      <c r="I17" s="25" t="s">
        <v>63</v>
      </c>
      <c r="J17" s="25">
        <v>25</v>
      </c>
      <c r="K17" s="25" t="s">
        <v>56</v>
      </c>
      <c r="L17" s="25"/>
      <c r="M17" s="25" t="s">
        <v>56</v>
      </c>
      <c r="N17" s="25"/>
      <c r="O17" s="25" t="s">
        <v>56</v>
      </c>
      <c r="P17" s="25"/>
      <c r="Q17" s="25" t="s">
        <v>64</v>
      </c>
      <c r="R17" s="25"/>
      <c r="S17" s="25" t="s">
        <v>64</v>
      </c>
      <c r="T17" s="25"/>
      <c r="U17" s="25" t="s">
        <v>64</v>
      </c>
      <c r="V17" s="25"/>
      <c r="W17" s="25" t="s">
        <v>64</v>
      </c>
      <c r="X17" s="25"/>
      <c r="Y17" s="25" t="s">
        <v>64</v>
      </c>
      <c r="Z17" s="25"/>
      <c r="AA17" s="31">
        <v>0.183</v>
      </c>
      <c r="AB17" s="31"/>
      <c r="AC17" s="27"/>
    </row>
    <row r="18" ht="27" customHeight="1" spans="1:33">
      <c r="A18" s="9"/>
      <c r="B18" s="9" t="s">
        <v>58</v>
      </c>
      <c r="C18" s="29">
        <v>0.125</v>
      </c>
      <c r="D18" s="32">
        <v>0</v>
      </c>
      <c r="E18" s="30">
        <v>0.1</v>
      </c>
      <c r="F18" s="32">
        <v>0</v>
      </c>
      <c r="G18" s="30">
        <v>0.16</v>
      </c>
      <c r="H18" s="30">
        <v>0.33</v>
      </c>
      <c r="I18" s="30">
        <v>0.12</v>
      </c>
      <c r="J18" s="30">
        <v>0.25</v>
      </c>
      <c r="K18" s="30">
        <v>0.125</v>
      </c>
      <c r="L18" s="33"/>
      <c r="M18" s="30">
        <v>0.16</v>
      </c>
      <c r="N18" s="33"/>
      <c r="O18" s="30">
        <v>0.16</v>
      </c>
      <c r="P18" s="33"/>
      <c r="Q18" s="33">
        <v>0.16</v>
      </c>
      <c r="R18" s="30"/>
      <c r="S18" s="33">
        <v>0.16</v>
      </c>
      <c r="T18" s="30"/>
      <c r="U18" s="33">
        <v>0.16</v>
      </c>
      <c r="V18" s="30"/>
      <c r="W18" s="33">
        <v>0.16</v>
      </c>
      <c r="X18" s="30"/>
      <c r="Y18" s="33">
        <v>0.16</v>
      </c>
      <c r="Z18" s="34"/>
      <c r="AA18" s="31">
        <v>0.146</v>
      </c>
      <c r="AB18" s="31"/>
      <c r="AC18" s="27"/>
    </row>
    <row r="19" ht="27" customHeight="1" spans="1:33">
      <c r="A19" s="10" t="s">
        <v>65</v>
      </c>
      <c r="B19" s="9" t="s">
        <v>66</v>
      </c>
      <c r="C19" s="14">
        <v>338.87</v>
      </c>
      <c r="D19" s="14">
        <v>338.87</v>
      </c>
      <c r="E19" s="25">
        <v>66.2</v>
      </c>
      <c r="F19" s="14">
        <v>66.2</v>
      </c>
      <c r="G19" s="25">
        <v>0</v>
      </c>
      <c r="H19" s="25">
        <v>0</v>
      </c>
      <c r="I19" s="25">
        <v>0</v>
      </c>
      <c r="J19" s="25">
        <v>0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7"/>
    </row>
    <row r="20" ht="27" customHeight="1" spans="1:33">
      <c r="A20" s="10"/>
      <c r="B20" s="9" t="s">
        <v>67</v>
      </c>
      <c r="C20" s="14">
        <v>338.87</v>
      </c>
      <c r="D20" s="14">
        <v>338.87</v>
      </c>
      <c r="E20" s="25">
        <v>66.2</v>
      </c>
      <c r="F20" s="14">
        <v>0</v>
      </c>
      <c r="G20" s="25">
        <v>0</v>
      </c>
      <c r="H20" s="25">
        <v>0</v>
      </c>
      <c r="I20" s="25">
        <v>0</v>
      </c>
      <c r="J20" s="25">
        <v>0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7"/>
    </row>
    <row r="21" customHeight="1" spans="1:33">
      <c r="A21" s="12"/>
      <c r="B21" s="12"/>
      <c r="C21" s="28"/>
      <c r="D21" s="28"/>
      <c r="E21" s="28"/>
      <c r="F21" s="28"/>
      <c r="G21" s="28"/>
      <c r="H21" s="28"/>
      <c r="I21" s="28"/>
      <c r="J21" s="28"/>
      <c r="K21" s="28"/>
      <c r="L21" s="35"/>
      <c r="M21" s="28"/>
      <c r="N21" s="35"/>
      <c r="O21" s="28"/>
      <c r="P21" s="31"/>
      <c r="Q21" s="25"/>
      <c r="R21" s="30"/>
      <c r="S21" s="25"/>
      <c r="T21" s="30"/>
      <c r="U21" s="25"/>
      <c r="V21" s="31"/>
      <c r="W21" s="25"/>
      <c r="X21" s="30"/>
      <c r="Y21" s="25"/>
      <c r="Z21" s="31"/>
      <c r="AA21" s="25"/>
      <c r="AB21" s="25"/>
      <c r="AC21" s="27"/>
    </row>
    <row r="22" customHeight="1" spans="1:33">
      <c r="A22" s="12"/>
      <c r="B22" s="12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5"/>
      <c r="AB22" s="25"/>
    </row>
    <row r="23" customHeight="1" spans="1:33">
      <c r="A23" s="36"/>
      <c r="B23" s="36"/>
      <c r="C23" s="1" t="s">
        <v>68</v>
      </c>
      <c r="D23" s="1">
        <v>108.6</v>
      </c>
      <c r="E23" s="1" t="s">
        <v>69</v>
      </c>
      <c r="F23" s="1">
        <v>66.2</v>
      </c>
      <c r="G23" s="1" t="s">
        <v>70</v>
      </c>
      <c r="H23" s="1">
        <v>1239.37</v>
      </c>
      <c r="I23" s="1" t="s">
        <v>71</v>
      </c>
      <c r="J23" s="1">
        <v>159.23</v>
      </c>
      <c r="AC23" s="37"/>
      <c r="AD23" s="37"/>
      <c r="AE23" s="37"/>
      <c r="AF23" s="37"/>
      <c r="AG23" s="37"/>
    </row>
    <row r="24" customHeight="1" spans="1:33">
      <c r="A24" s="36"/>
      <c r="B24" s="36"/>
      <c r="C24" s="1" t="s">
        <v>72</v>
      </c>
      <c r="D24" s="1">
        <v>338.87</v>
      </c>
      <c r="E24" s="1" t="s">
        <v>73</v>
      </c>
      <c r="F24" s="1">
        <v>108.6</v>
      </c>
      <c r="G24" s="1" t="s">
        <v>74</v>
      </c>
      <c r="H24" s="1">
        <v>66.71</v>
      </c>
      <c r="I24" s="1" t="s">
        <v>75</v>
      </c>
      <c r="J24" s="1">
        <v>661.13</v>
      </c>
      <c r="AC24" s="37"/>
      <c r="AD24" s="37"/>
      <c r="AE24" s="37"/>
      <c r="AF24" s="37"/>
      <c r="AG24" s="37"/>
    </row>
    <row r="25" customHeight="1" spans="1:33">
      <c r="A25" s="36"/>
      <c r="B25" s="36"/>
      <c r="I25" s="1" t="s">
        <v>76</v>
      </c>
      <c r="J25" s="1">
        <v>66.71</v>
      </c>
      <c r="AC25" s="37"/>
      <c r="AD25" s="37"/>
      <c r="AE25" s="37"/>
      <c r="AF25" s="37"/>
      <c r="AG25" s="37"/>
    </row>
    <row r="26" customHeight="1" spans="1:33">
      <c r="A26" s="36"/>
      <c r="B26" s="36"/>
      <c r="I26" s="1" t="s">
        <v>77</v>
      </c>
      <c r="J26" s="1">
        <v>124.94</v>
      </c>
      <c r="AC26" s="37"/>
      <c r="AD26" s="37"/>
      <c r="AE26" s="37"/>
      <c r="AF26" s="37"/>
      <c r="AG26" s="37"/>
    </row>
    <row r="27" customHeight="1" spans="1:33">
      <c r="A27" s="36"/>
      <c r="B27" s="36"/>
      <c r="C27" s="1" t="s">
        <v>78</v>
      </c>
      <c r="D27" s="1">
        <f>D8/B29</f>
        <v>0.601103431592638</v>
      </c>
      <c r="E27" s="1" t="s">
        <v>78</v>
      </c>
      <c r="F27" s="1">
        <f>F8/B29</f>
        <v>0.597758075647148</v>
      </c>
      <c r="H27" s="1">
        <f>H8/B29</f>
        <v>0.622754085334136</v>
      </c>
      <c r="J27" s="1">
        <f>J8/B29</f>
        <v>0.634786457968512</v>
      </c>
      <c r="AC27" s="37"/>
      <c r="AD27" s="37"/>
      <c r="AE27" s="37"/>
      <c r="AF27" s="37"/>
      <c r="AG27" s="37"/>
    </row>
    <row r="28" customHeight="1" spans="1:33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AC28" s="38"/>
      <c r="AD28" s="37"/>
      <c r="AE28" s="37"/>
      <c r="AF28" s="37"/>
      <c r="AG28" s="37"/>
    </row>
    <row r="29" customHeight="1" spans="1:33">
      <c r="A29" s="36" t="s">
        <v>79</v>
      </c>
      <c r="B29" s="36">
        <v>52251.54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AC29" s="37"/>
      <c r="AD29" s="37"/>
      <c r="AE29" s="37"/>
      <c r="AF29" s="37"/>
      <c r="AG29" s="37"/>
    </row>
    <row r="30" customHeight="1" spans="1:33">
      <c r="A30" s="36"/>
      <c r="B30" s="36"/>
      <c r="T30" s="36"/>
      <c r="U30" s="36"/>
      <c r="V30" s="36"/>
      <c r="W30" s="36"/>
      <c r="X30" s="36"/>
      <c r="Y30" s="36"/>
      <c r="Z30" s="36"/>
      <c r="AA30" s="36"/>
      <c r="AB30" s="36"/>
      <c r="AC30" s="37"/>
      <c r="AD30" s="37"/>
      <c r="AE30" s="37"/>
      <c r="AF30" s="37"/>
      <c r="AG30" s="37"/>
    </row>
    <row r="31" customHeight="1" spans="1:33">
      <c r="A31" s="36"/>
      <c r="B31" s="36"/>
      <c r="T31" s="36"/>
      <c r="U31" s="36"/>
      <c r="V31" s="36"/>
      <c r="W31" s="36"/>
      <c r="X31" s="36"/>
      <c r="Y31" s="36"/>
      <c r="Z31" s="36"/>
      <c r="AA31" s="36"/>
      <c r="AB31" s="36"/>
      <c r="AC31" s="37"/>
      <c r="AD31" s="37"/>
      <c r="AE31" s="37"/>
      <c r="AF31" s="37"/>
      <c r="AG31" s="37"/>
    </row>
  </sheetData>
  <mergeCells count="19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8"/>
    <mergeCell ref="A9:A13"/>
    <mergeCell ref="A14:A18"/>
    <mergeCell ref="A19:A20"/>
    <mergeCell ref="A2:B3"/>
  </mergeCells>
  <pageMargins left="0.75" right="0.75" top="1" bottom="1" header="0.5" footer="0.5"/>
  <pageSetup paperSize="9" scale="9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13"/>
  <sheetViews>
    <sheetView workbookViewId="0">
      <selection activeCell="A1" sqref="A1:AB1"/>
    </sheetView>
  </sheetViews>
  <sheetFormatPr defaultColWidth="9.025" defaultRowHeight="28" customHeight="1"/>
  <cols>
    <col min="1" max="1" width="9.025" style="1"/>
    <col min="2" max="2" width="9.5" style="1" customWidth="1"/>
    <col min="3" max="28" width="10.625" style="1" customWidth="1"/>
    <col min="29" max="16384" width="9.025" style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16" t="s">
        <v>80</v>
      </c>
      <c r="B2" s="16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16"/>
      <c r="B3" s="16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17" t="s">
        <v>81</v>
      </c>
      <c r="B4" s="18" t="s">
        <v>82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27" customHeight="1" spans="1:28">
      <c r="A5" s="19"/>
      <c r="B5" s="18" t="s">
        <v>83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27" customHeight="1" spans="1:28">
      <c r="A6" s="19"/>
      <c r="B6" s="18" t="s">
        <v>84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27" customHeight="1" spans="1:28">
      <c r="A7" s="20" t="s">
        <v>85</v>
      </c>
      <c r="B7" s="21" t="s">
        <v>81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27" customHeight="1" spans="1:28">
      <c r="A8" s="22"/>
      <c r="B8" s="18" t="s">
        <v>86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27" customHeight="1" spans="1:28">
      <c r="A9" s="23"/>
      <c r="B9" s="18" t="s">
        <v>87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27" customHeight="1" spans="1:28">
      <c r="A10" s="17" t="s">
        <v>88</v>
      </c>
      <c r="B10" s="18" t="s">
        <v>89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27" customHeight="1" spans="1:28">
      <c r="A11" s="19"/>
      <c r="B11" s="18" t="s">
        <v>90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27" customHeight="1" spans="1:28">
      <c r="A12" s="19"/>
      <c r="B12" s="18" t="s">
        <v>50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27" customHeight="1" spans="1:28">
      <c r="A13" s="24"/>
      <c r="B13" s="18" t="s">
        <v>58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</sheetData>
  <mergeCells count="18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6"/>
    <mergeCell ref="A7:A9"/>
    <mergeCell ref="A10:A13"/>
    <mergeCell ref="A2:B3"/>
  </mergeCells>
  <pageMargins left="0.75" right="0.75" top="1" bottom="1" header="0.5" footer="0.5"/>
  <pageSetup paperSize="9" scale="95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B20"/>
  <sheetViews>
    <sheetView workbookViewId="0">
      <selection activeCell="B22" sqref="B22"/>
    </sheetView>
  </sheetViews>
  <sheetFormatPr defaultColWidth="9.025" defaultRowHeight="30" customHeight="1"/>
  <cols>
    <col min="1" max="1" width="9" style="1" customWidth="1"/>
    <col min="2" max="2" width="17.5" style="1" customWidth="1"/>
    <col min="3" max="28" width="10.625" style="1" customWidth="1"/>
    <col min="29" max="16384" width="9.025" style="1"/>
  </cols>
  <sheetData>
    <row r="1" customHeight="1" spans="1:28">
      <c r="A1" s="2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27" customHeight="1" spans="1:28">
      <c r="A2" s="3" t="s">
        <v>91</v>
      </c>
      <c r="B2" s="4"/>
      <c r="C2" s="5" t="s">
        <v>18</v>
      </c>
      <c r="D2" s="5"/>
      <c r="E2" s="5" t="s">
        <v>19</v>
      </c>
      <c r="F2" s="5"/>
      <c r="G2" s="5" t="s">
        <v>20</v>
      </c>
      <c r="H2" s="5"/>
      <c r="I2" s="5" t="s">
        <v>21</v>
      </c>
      <c r="J2" s="5"/>
      <c r="K2" s="5" t="s">
        <v>22</v>
      </c>
      <c r="L2" s="5"/>
      <c r="M2" s="5" t="s">
        <v>23</v>
      </c>
      <c r="N2" s="5"/>
      <c r="O2" s="5" t="s">
        <v>24</v>
      </c>
      <c r="P2" s="5"/>
      <c r="Q2" s="5" t="s">
        <v>25</v>
      </c>
      <c r="R2" s="5"/>
      <c r="S2" s="5" t="s">
        <v>26</v>
      </c>
      <c r="T2" s="5"/>
      <c r="U2" s="5" t="s">
        <v>27</v>
      </c>
      <c r="V2" s="5"/>
      <c r="W2" s="5" t="s">
        <v>28</v>
      </c>
      <c r="X2" s="5"/>
      <c r="Y2" s="5" t="s">
        <v>29</v>
      </c>
      <c r="Z2" s="5"/>
      <c r="AA2" s="5" t="s">
        <v>30</v>
      </c>
      <c r="AB2" s="5"/>
    </row>
    <row r="3" ht="27" customHeight="1" spans="1:28">
      <c r="A3" s="6"/>
      <c r="B3" s="7"/>
      <c r="C3" s="5" t="s">
        <v>31</v>
      </c>
      <c r="D3" s="5" t="s">
        <v>32</v>
      </c>
      <c r="E3" s="5" t="s">
        <v>31</v>
      </c>
      <c r="F3" s="5" t="s">
        <v>32</v>
      </c>
      <c r="G3" s="5" t="s">
        <v>31</v>
      </c>
      <c r="H3" s="5" t="s">
        <v>32</v>
      </c>
      <c r="I3" s="5" t="s">
        <v>31</v>
      </c>
      <c r="J3" s="5" t="s">
        <v>32</v>
      </c>
      <c r="K3" s="5" t="s">
        <v>31</v>
      </c>
      <c r="L3" s="5" t="s">
        <v>32</v>
      </c>
      <c r="M3" s="5" t="s">
        <v>31</v>
      </c>
      <c r="N3" s="5" t="s">
        <v>32</v>
      </c>
      <c r="O3" s="5" t="s">
        <v>31</v>
      </c>
      <c r="P3" s="5" t="s">
        <v>32</v>
      </c>
      <c r="Q3" s="5" t="s">
        <v>31</v>
      </c>
      <c r="R3" s="5" t="s">
        <v>32</v>
      </c>
      <c r="S3" s="5" t="s">
        <v>31</v>
      </c>
      <c r="T3" s="5" t="s">
        <v>32</v>
      </c>
      <c r="U3" s="5" t="s">
        <v>31</v>
      </c>
      <c r="V3" s="5" t="s">
        <v>32</v>
      </c>
      <c r="W3" s="5" t="s">
        <v>31</v>
      </c>
      <c r="X3" s="5" t="s">
        <v>32</v>
      </c>
      <c r="Y3" s="5" t="s">
        <v>31</v>
      </c>
      <c r="Z3" s="5" t="s">
        <v>32</v>
      </c>
      <c r="AA3" s="5" t="s">
        <v>31</v>
      </c>
      <c r="AB3" s="5" t="s">
        <v>32</v>
      </c>
    </row>
    <row r="4" ht="27" customHeight="1" spans="1:28">
      <c r="A4" s="8" t="s">
        <v>92</v>
      </c>
      <c r="B4" s="9" t="s">
        <v>93</v>
      </c>
      <c r="C4" s="10"/>
      <c r="D4" s="11"/>
      <c r="E4" s="11"/>
      <c r="F4" s="11"/>
      <c r="G4" s="10"/>
      <c r="H4" s="11"/>
      <c r="I4" s="11"/>
      <c r="J4" s="11"/>
      <c r="K4" s="10"/>
      <c r="L4" s="11"/>
      <c r="M4" s="11"/>
      <c r="N4" s="11"/>
      <c r="O4" s="10"/>
      <c r="P4" s="11"/>
      <c r="Q4" s="11"/>
      <c r="R4" s="11"/>
      <c r="S4" s="10"/>
      <c r="T4" s="11"/>
      <c r="U4" s="11"/>
      <c r="V4" s="11"/>
      <c r="W4" s="10"/>
      <c r="X4" s="11"/>
      <c r="Y4" s="11"/>
      <c r="Z4" s="11"/>
      <c r="AA4" s="12"/>
      <c r="AB4" s="12"/>
    </row>
    <row r="5" ht="27" customHeight="1" spans="1:28">
      <c r="A5" s="13"/>
      <c r="B5" s="9" t="s">
        <v>94</v>
      </c>
      <c r="C5" s="9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0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ht="27" customHeight="1" spans="1:28">
      <c r="A6" s="13"/>
      <c r="B6" s="9" t="s">
        <v>95</v>
      </c>
      <c r="C6" s="9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ht="27" customHeight="1" spans="1:28">
      <c r="A7" s="13"/>
      <c r="B7" s="9" t="s">
        <v>96</v>
      </c>
      <c r="C7" s="9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0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ht="27" customHeight="1" spans="1:28">
      <c r="A8" s="13"/>
      <c r="B8" s="9" t="s">
        <v>97</v>
      </c>
      <c r="C8" s="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9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ht="27" customHeight="1" spans="1:28">
      <c r="A9" s="13"/>
      <c r="B9" s="9" t="s">
        <v>98</v>
      </c>
      <c r="C9" s="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9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ht="27" customHeight="1" spans="1:28">
      <c r="A10" s="13"/>
      <c r="B10" s="9" t="s">
        <v>99</v>
      </c>
      <c r="C10" s="9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9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ht="27" customHeight="1" spans="1:28">
      <c r="A11" s="15"/>
      <c r="B11" s="9" t="s">
        <v>100</v>
      </c>
      <c r="C11" s="9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9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ht="27" customHeight="1" spans="1:28">
      <c r="A12" s="9" t="s">
        <v>101</v>
      </c>
      <c r="B12" s="9" t="s">
        <v>102</v>
      </c>
      <c r="C12" s="9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9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ht="27" customHeight="1" spans="1:28">
      <c r="A13" s="9"/>
      <c r="B13" s="9" t="s">
        <v>103</v>
      </c>
      <c r="C13" s="9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9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ht="27" customHeight="1" spans="1:28">
      <c r="A14" s="9"/>
      <c r="B14" s="9" t="s">
        <v>104</v>
      </c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9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ht="27" customHeight="1" spans="1:28">
      <c r="A15" s="9"/>
      <c r="B15" s="9" t="s">
        <v>105</v>
      </c>
      <c r="C15" s="9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9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ht="27" customHeight="1" spans="1:28">
      <c r="A16" s="9"/>
      <c r="B16" s="9" t="s">
        <v>106</v>
      </c>
      <c r="C16" s="9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9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ht="27" customHeight="1" spans="1:28">
      <c r="A17" s="9"/>
      <c r="B17" s="9" t="s">
        <v>107</v>
      </c>
      <c r="C17" s="9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ht="27" customHeight="1" spans="1:28">
      <c r="A18" s="9"/>
      <c r="B18" s="9" t="s">
        <v>108</v>
      </c>
      <c r="C18" s="9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9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ht="27" customHeight="1" spans="1:28">
      <c r="A19" s="9"/>
      <c r="B19" s="9" t="s">
        <v>109</v>
      </c>
      <c r="C19" s="9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9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ht="27" customHeight="1" spans="1:28">
      <c r="A20" s="9"/>
      <c r="B20" s="9" t="s">
        <v>110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</row>
  </sheetData>
  <mergeCells count="17">
    <mergeCell ref="A1:A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4:A11"/>
    <mergeCell ref="A12:A20"/>
    <mergeCell ref="A2:B3"/>
  </mergeCells>
  <pageMargins left="0.75" right="0.75" top="1" bottom="1" header="0.5" footer="0.5"/>
  <pageSetup paperSize="9" scale="9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填写说明</vt:lpstr>
      <vt:lpstr>商写类</vt:lpstr>
      <vt:lpstr>酒店类</vt:lpstr>
      <vt:lpstr>保险类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xinjun</dc:creator>
  <cp:lastModifiedBy>萌仔</cp:lastModifiedBy>
  <dcterms:created xsi:type="dcterms:W3CDTF">2024-01-09T03:44:00Z</dcterms:created>
  <dcterms:modified xsi:type="dcterms:W3CDTF">2026-05-06T00:46:24Z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546FE843416A47AF89068814F1328B85_13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