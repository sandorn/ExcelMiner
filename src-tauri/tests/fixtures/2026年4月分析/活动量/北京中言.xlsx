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1" activeTab="1"/>
  </bookViews>
  <sheets>
    <sheet name="填写说明" sheetId="4" r:id="rId1"/>
    <sheet name="写字楼和商业综合体类" sheetId="2" r:id="rId2"/>
    <sheet name="酒店类" sheetId="1" r:id="rId3"/>
    <sheet name="保险类" sheetId="3" r:id="rId4"/>
  </sheets>
  <definedNames>
    <definedName name="_xlnm._FilterDatabase" localSheetId="1" hidden="1">写字楼和商业综合体类!$A$3:$Q$22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000</author>
  </authors>
  <commentList>
    <comment ref="J5" authorId="0">
      <text>
        <r>
          <rPr>
            <sz val="9"/>
            <rFont val="宋体"/>
            <charset val="134"/>
          </rPr>
          <t>乾矿扩租</t>
        </r>
      </text>
    </comment>
    <comment ref="J7" authorId="0">
      <text>
        <r>
          <rPr>
            <sz val="9"/>
            <rFont val="宋体"/>
            <charset val="134"/>
          </rPr>
          <t>沃尔沃提前退租590.91
松果退915.72</t>
        </r>
      </text>
    </comment>
  </commentList>
</comments>
</file>

<file path=xl/comments2.xml><?xml version="1.0" encoding="utf-8"?>
<comments xmlns="http://schemas.openxmlformats.org/spreadsheetml/2006/main">
  <authors>
    <author>黄伟</author>
  </authors>
  <commentList>
    <comment ref="A7" authorId="0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</commentList>
</comments>
</file>

<file path=xl/sharedStrings.xml><?xml version="1.0" encoding="utf-8"?>
<sst xmlns="http://schemas.openxmlformats.org/spreadsheetml/2006/main" count="217" uniqueCount="84">
  <si>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</si>
  <si>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</si>
  <si>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</si>
  <si>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</si>
  <si>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</si>
  <si>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</si>
  <si>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</si>
  <si>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</si>
  <si>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</si>
  <si>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</si>
  <si>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</si>
  <si>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</si>
  <si>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</si>
  <si>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</si>
  <si>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</si>
  <si>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</si>
  <si>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2026年各月指标达成统计表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</si>
  <si>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</si>
  <si>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</si>
  <si>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</si>
  <si>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</si>
  <si>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</si>
  <si>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</si>
  <si>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</si>
  <si>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</si>
  <si>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</si>
  <si>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</si>
  <si>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</si>
  <si>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</si>
  <si>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</si>
  <si>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</si>
  <si>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</si>
  <si>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</si>
  <si>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</si>
  <si>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</si>
  <si>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</si>
  <si>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</si>
  <si>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-</t>
  </si>
  <si>
    <t>退租面积</t>
  </si>
  <si>
    <t>月末面积</t>
  </si>
  <si>
    <t>合作渠道</t>
  </si>
  <si>
    <t>带客数量</t>
  </si>
  <si>
    <t>15-20</t>
  </si>
  <si>
    <t>成交数量</t>
  </si>
  <si>
    <t>成交周期</t>
  </si>
  <si>
    <t>3个月</t>
  </si>
  <si>
    <t>2个月</t>
  </si>
  <si>
    <t>转化率</t>
  </si>
  <si>
    <t>自有招商</t>
  </si>
  <si>
    <t>续租情况</t>
  </si>
  <si>
    <t>到期面积</t>
  </si>
  <si>
    <t>续签面积</t>
  </si>
  <si>
    <t>2024年各月指标达成统计表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</si>
  <si>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</si>
  <si>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</si>
  <si>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</si>
  <si>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</si>
  <si>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</si>
  <si>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</si>
  <si>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</si>
  <si>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平台散客</t>
  </si>
  <si>
    <t>营销活动</t>
  </si>
  <si>
    <t>投放数量</t>
  </si>
  <si>
    <t>受众数量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</si>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</sst>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等距更纱黑体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10" fontId="1" fillId="0" borderId="0" xfId="0" applyNumberFormat="1" applyFont="1">
      <alignment vertical="center"/>
    </xf>
    <xf numFmtId="0" fontId="1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E11" sqref="E11"/>
    </sheetView>
  </sheetViews>
  <sheetFormatPr defaultColWidth="9" defaultRowHeight="29" customHeight="1" outlineLevelCol="1"/>
  <cols>
    <col min="1" max="1" width="11.0916666666667" style="29" customWidth="1"/>
    <col min="2" max="16384" width="9" style="29"/>
  </cols>
  <sheetData>
    <row r="1" customHeight="1" spans="1:1">
      <c r="A1" s="30" t="s">
        <v>0</v>
      </c>
    </row>
    <row r="2" customHeight="1" spans="1:2">
      <c r="A2" s="31" t="s">
        <v>1</v>
      </c>
      <c r="B2" s="29" t="s">
        <v>2</v>
      </c>
    </row>
    <row r="3" ht="13.5" customHeight="1" spans="1:2">
      <c r="A3" s="31"/>
      <c r="B3" s="32" t="s">
        <v>3</v>
      </c>
    </row>
    <row r="4" customHeight="1" spans="1:2">
      <c r="A4" s="31"/>
      <c r="B4" s="29" t="s">
        <v>4</v>
      </c>
    </row>
    <row r="5" customHeight="1" spans="1:2">
      <c r="A5" s="31"/>
      <c r="B5" s="29" t="s">
        <v>5</v>
      </c>
    </row>
    <row r="6" customHeight="1" spans="1:2">
      <c r="A6" s="31"/>
      <c r="B6" s="29" t="s">
        <v>6</v>
      </c>
    </row>
    <row r="7" customHeight="1" spans="1:2">
      <c r="A7" s="31"/>
      <c r="B7" s="29" t="s">
        <v>7</v>
      </c>
    </row>
    <row r="8" customHeight="1" spans="1:2">
      <c r="A8" s="31"/>
      <c r="B8" s="29" t="s">
        <v>8</v>
      </c>
    </row>
    <row r="9" customHeight="1" spans="1:2">
      <c r="A9" s="31" t="s">
        <v>9</v>
      </c>
      <c r="B9" s="29" t="s">
        <v>10</v>
      </c>
    </row>
    <row r="10" customHeight="1" spans="1:2">
      <c r="A10" s="31"/>
      <c r="B10" s="29" t="s">
        <v>11</v>
      </c>
    </row>
    <row r="11" customHeight="1" spans="1:2">
      <c r="A11" s="31"/>
      <c r="B11" s="29" t="s">
        <v>12</v>
      </c>
    </row>
    <row r="12" customHeight="1" spans="1:2">
      <c r="A12" s="31" t="s">
        <v>13</v>
      </c>
      <c r="B12" s="29" t="s">
        <v>14</v>
      </c>
    </row>
    <row r="13" customHeight="1" spans="2:2">
      <c r="B13" s="2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2"/>
  <sheetViews>
    <sheetView tabSelected="1" zoomScale="80" zoomScaleNormal="80" workbookViewId="0">
      <pane xSplit="2" ySplit="3" topLeftCell="C4" activePane="bottomRight" state="frozen"/>
      <selection/>
      <selection pane="topRight"/>
      <selection pane="bottomLeft"/>
      <selection pane="bottomRight" activeCell="J12" sqref="J12"/>
    </sheetView>
  </sheetViews>
  <sheetFormatPr defaultColWidth="9" defaultRowHeight="30" customHeight="1"/>
  <cols>
    <col min="1" max="1" width="9" style="1" customWidth="1"/>
    <col min="2" max="2" width="13.2666666666667" style="1" customWidth="1"/>
    <col min="3" max="17" width="13.5416666666667" style="1" customWidth="1"/>
    <col min="18" max="20" width="10.6333333333333" style="1" customWidth="1"/>
    <col min="21" max="23" width="10.6333333333333" style="19" customWidth="1"/>
    <col min="24" max="24" width="10.3166666666667" style="1" customWidth="1"/>
    <col min="25" max="26" width="10.6333333333333" style="1" customWidth="1"/>
    <col min="27" max="27" width="14.3666666666667" style="1" customWidth="1"/>
    <col min="28" max="28" width="11.875" style="1" customWidth="1"/>
    <col min="29" max="29" width="18.5" customWidth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17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9" t="s">
        <v>33</v>
      </c>
      <c r="B4" s="9" t="s">
        <v>34</v>
      </c>
      <c r="C4" s="9">
        <v>48739.07</v>
      </c>
      <c r="D4" s="10">
        <f t="shared" ref="D4:H4" si="0">C4+D5-D7</f>
        <v>47507.63</v>
      </c>
      <c r="E4" s="20">
        <v>47507.63</v>
      </c>
      <c r="F4" s="10">
        <f t="shared" si="0"/>
        <v>47507.63</v>
      </c>
      <c r="G4" s="21">
        <v>47507.63</v>
      </c>
      <c r="H4" s="10">
        <f t="shared" si="0"/>
        <v>50180.07</v>
      </c>
      <c r="I4" s="21">
        <f>H8</f>
        <v>50180.07</v>
      </c>
      <c r="J4" s="10">
        <f>I4+J5-J7</f>
        <v>49589.16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26"/>
      <c r="AB4" s="13"/>
    </row>
    <row r="5" ht="87" customHeight="1" spans="1:28">
      <c r="A5" s="9"/>
      <c r="B5" s="9" t="s">
        <v>35</v>
      </c>
      <c r="C5" s="9">
        <v>0</v>
      </c>
      <c r="D5" s="10">
        <v>1000</v>
      </c>
      <c r="E5" s="9">
        <v>0</v>
      </c>
      <c r="F5" s="10">
        <v>0</v>
      </c>
      <c r="G5" s="10">
        <v>0</v>
      </c>
      <c r="H5" s="10">
        <v>2672.44</v>
      </c>
      <c r="I5" s="10">
        <v>0</v>
      </c>
      <c r="J5" s="10">
        <v>915.72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26"/>
      <c r="Y5" s="10"/>
      <c r="Z5" s="26"/>
      <c r="AA5" s="26"/>
      <c r="AB5" s="26"/>
    </row>
    <row r="6" ht="37" customHeight="1" spans="1:28">
      <c r="A6" s="9"/>
      <c r="B6" s="9" t="s">
        <v>36</v>
      </c>
      <c r="C6" s="9">
        <v>200</v>
      </c>
      <c r="D6" s="10">
        <v>224.55</v>
      </c>
      <c r="E6" s="9">
        <v>200</v>
      </c>
      <c r="F6" s="10" t="s">
        <v>37</v>
      </c>
      <c r="G6" s="10">
        <v>200</v>
      </c>
      <c r="H6" s="10">
        <v>205.5</v>
      </c>
      <c r="I6" s="10">
        <v>200</v>
      </c>
      <c r="J6" s="10">
        <v>203</v>
      </c>
      <c r="K6" s="10"/>
      <c r="L6" s="26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6"/>
      <c r="AA6" s="10"/>
      <c r="AB6" s="26"/>
    </row>
    <row r="7" ht="71.5" customHeight="1" spans="1:28">
      <c r="A7" s="9"/>
      <c r="B7" s="9" t="s">
        <v>38</v>
      </c>
      <c r="C7" s="9">
        <v>2231.44</v>
      </c>
      <c r="D7" s="22">
        <v>2231.44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1506.63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26"/>
      <c r="AA7" s="26"/>
      <c r="AB7" s="26"/>
    </row>
    <row r="8" ht="27" customHeight="1" spans="1:28">
      <c r="A8" s="9"/>
      <c r="B8" s="9" t="s">
        <v>39</v>
      </c>
      <c r="C8" s="9">
        <f>C4+C5</f>
        <v>48739.07</v>
      </c>
      <c r="D8" s="10">
        <f>D4</f>
        <v>47507.63</v>
      </c>
      <c r="E8" s="9">
        <f>E4+E5</f>
        <v>47507.63</v>
      </c>
      <c r="F8" s="10">
        <f>F4</f>
        <v>47507.63</v>
      </c>
      <c r="G8" s="21">
        <v>47507.63</v>
      </c>
      <c r="H8" s="10">
        <f>H4</f>
        <v>50180.07</v>
      </c>
      <c r="I8" s="10">
        <v>50180.07</v>
      </c>
      <c r="J8" s="10">
        <f>J4</f>
        <v>49589.16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26"/>
      <c r="AB8" s="26"/>
    </row>
    <row r="9" ht="27" customHeight="1" spans="1:28">
      <c r="A9" s="9" t="s">
        <v>40</v>
      </c>
      <c r="B9" s="9" t="s">
        <v>41</v>
      </c>
      <c r="C9" s="9" t="s">
        <v>42</v>
      </c>
      <c r="D9" s="10">
        <v>22</v>
      </c>
      <c r="E9" s="9" t="s">
        <v>42</v>
      </c>
      <c r="F9" s="10">
        <v>11</v>
      </c>
      <c r="G9" s="9" t="s">
        <v>42</v>
      </c>
      <c r="H9" s="10">
        <v>14</v>
      </c>
      <c r="I9" s="9" t="s">
        <v>42</v>
      </c>
      <c r="J9" s="10">
        <v>14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26"/>
      <c r="AA9" s="26"/>
      <c r="AB9" s="26"/>
    </row>
    <row r="10" ht="27" customHeight="1" spans="1:28">
      <c r="A10" s="9"/>
      <c r="B10" s="9" t="s">
        <v>43</v>
      </c>
      <c r="C10" s="9">
        <v>1</v>
      </c>
      <c r="D10" s="10">
        <v>0</v>
      </c>
      <c r="E10" s="10">
        <v>0</v>
      </c>
      <c r="F10" s="10">
        <v>0</v>
      </c>
      <c r="G10" s="10">
        <v>0</v>
      </c>
      <c r="H10" s="10">
        <v>2</v>
      </c>
      <c r="I10" s="10">
        <v>0</v>
      </c>
      <c r="J10" s="10">
        <v>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26"/>
      <c r="AA10" s="26"/>
      <c r="AB10" s="26"/>
    </row>
    <row r="11" ht="37" customHeight="1" spans="1:28">
      <c r="A11" s="9"/>
      <c r="B11" s="9" t="s">
        <v>35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2672.44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26"/>
      <c r="AA11" s="26"/>
      <c r="AB11" s="26"/>
    </row>
    <row r="12" ht="27" customHeight="1" spans="1:28">
      <c r="A12" s="9"/>
      <c r="B12" s="9" t="s">
        <v>44</v>
      </c>
      <c r="C12" s="9" t="s">
        <v>45</v>
      </c>
      <c r="D12" s="10" t="s">
        <v>37</v>
      </c>
      <c r="E12" s="10" t="s">
        <v>37</v>
      </c>
      <c r="F12" s="10" t="s">
        <v>37</v>
      </c>
      <c r="G12" s="10" t="s">
        <v>37</v>
      </c>
      <c r="H12" s="10" t="s">
        <v>46</v>
      </c>
      <c r="I12" s="10" t="s">
        <v>37</v>
      </c>
      <c r="J12" s="10" t="s">
        <v>37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26"/>
      <c r="AA12" s="26"/>
      <c r="AB12" s="26"/>
    </row>
    <row r="13" ht="27" customHeight="1" spans="1:28">
      <c r="A13" s="9"/>
      <c r="B13" s="9" t="s">
        <v>47</v>
      </c>
      <c r="C13" s="23">
        <v>0.05</v>
      </c>
      <c r="D13" s="24">
        <v>0</v>
      </c>
      <c r="E13" s="24">
        <v>0</v>
      </c>
      <c r="F13" s="24">
        <v>0</v>
      </c>
      <c r="G13" s="24">
        <v>0</v>
      </c>
      <c r="H13" s="24">
        <f>H10/H9</f>
        <v>0.142857142857143</v>
      </c>
      <c r="I13" s="24">
        <v>0</v>
      </c>
      <c r="J13" s="24">
        <v>0</v>
      </c>
      <c r="K13" s="24"/>
      <c r="L13" s="24"/>
      <c r="M13" s="24"/>
      <c r="N13" s="27"/>
      <c r="O13" s="24"/>
      <c r="P13" s="24"/>
      <c r="Q13" s="24"/>
      <c r="R13" s="24"/>
      <c r="S13" s="24"/>
      <c r="T13" s="10"/>
      <c r="U13" s="24"/>
      <c r="V13" s="24"/>
      <c r="W13" s="24"/>
      <c r="X13" s="24"/>
      <c r="Y13" s="24"/>
      <c r="Z13" s="24"/>
      <c r="AA13" s="24"/>
      <c r="AB13" s="24"/>
    </row>
    <row r="14" ht="27" customHeight="1" spans="1:28">
      <c r="A14" s="9" t="s">
        <v>48</v>
      </c>
      <c r="B14" s="9" t="s">
        <v>41</v>
      </c>
      <c r="C14" s="9">
        <v>5</v>
      </c>
      <c r="D14" s="10">
        <v>0</v>
      </c>
      <c r="E14" s="10">
        <v>2</v>
      </c>
      <c r="F14" s="10">
        <v>0</v>
      </c>
      <c r="G14" s="10">
        <v>1</v>
      </c>
      <c r="H14" s="10">
        <v>1</v>
      </c>
      <c r="I14" s="10">
        <v>3</v>
      </c>
      <c r="J14" s="10">
        <v>3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26"/>
      <c r="AA14" s="26"/>
      <c r="AB14" s="26"/>
    </row>
    <row r="15" ht="27" customHeight="1" spans="1:28">
      <c r="A15" s="9"/>
      <c r="B15" s="9" t="s">
        <v>43</v>
      </c>
      <c r="C15" s="9">
        <v>0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26"/>
      <c r="AA15" s="26"/>
      <c r="AB15" s="26"/>
    </row>
    <row r="16" ht="27" customHeight="1" spans="1:28">
      <c r="A16" s="9"/>
      <c r="B16" s="9" t="s">
        <v>35</v>
      </c>
      <c r="C16" s="9">
        <v>0</v>
      </c>
      <c r="D16" s="10">
        <v>1000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26"/>
      <c r="AA16" s="26"/>
      <c r="AB16" s="26"/>
    </row>
    <row r="17" ht="27" customHeight="1" spans="1:28">
      <c r="A17" s="9"/>
      <c r="B17" s="9" t="s">
        <v>44</v>
      </c>
      <c r="C17" s="9" t="s">
        <v>37</v>
      </c>
      <c r="D17" s="10" t="s">
        <v>37</v>
      </c>
      <c r="E17" s="10" t="s">
        <v>37</v>
      </c>
      <c r="F17" s="10" t="s">
        <v>37</v>
      </c>
      <c r="G17" s="10" t="s">
        <v>37</v>
      </c>
      <c r="H17" s="10" t="s">
        <v>37</v>
      </c>
      <c r="I17" s="10" t="s">
        <v>37</v>
      </c>
      <c r="J17" s="10" t="s">
        <v>37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26"/>
      <c r="AA17" s="26"/>
      <c r="AB17" s="26"/>
    </row>
    <row r="18" ht="27" customHeight="1" spans="1:28">
      <c r="A18" s="9"/>
      <c r="B18" s="9" t="s">
        <v>47</v>
      </c>
      <c r="C18" s="23">
        <v>0</v>
      </c>
      <c r="D18" s="10" t="s">
        <v>37</v>
      </c>
      <c r="E18" s="23">
        <v>0</v>
      </c>
      <c r="F18" s="10" t="s">
        <v>37</v>
      </c>
      <c r="G18" s="23">
        <v>0</v>
      </c>
      <c r="H18" s="10" t="s">
        <v>37</v>
      </c>
      <c r="I18" s="23">
        <v>0</v>
      </c>
      <c r="J18" s="10" t="s">
        <v>37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8"/>
      <c r="AA18" s="28"/>
      <c r="AB18" s="28"/>
    </row>
    <row r="19" ht="27" customHeight="1" spans="1:28">
      <c r="A19" s="9" t="s">
        <v>49</v>
      </c>
      <c r="B19" s="9" t="s">
        <v>50</v>
      </c>
      <c r="C19" s="9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26"/>
      <c r="AA19" s="26"/>
      <c r="AB19" s="26"/>
    </row>
    <row r="20" ht="44" customHeight="1" spans="1:28">
      <c r="A20" s="9"/>
      <c r="B20" s="9" t="s">
        <v>51</v>
      </c>
      <c r="C20" s="9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26"/>
      <c r="AA20" s="26"/>
      <c r="AB20" s="26"/>
    </row>
    <row r="21" customHeight="1" spans="21:23">
      <c r="U21" s="1"/>
      <c r="V21" s="1"/>
      <c r="W21" s="1"/>
    </row>
    <row r="22" customHeight="1" spans="3:28"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</sheetData>
  <autoFilter xmlns:etc="http://www.wps.cn/officeDocument/2017/etCustomData" ref="A3:Q22" etc:filterBottomFollowUsedRange="0">
    <extLst/>
  </autoFilter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95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3"/>
  <sheetViews>
    <sheetView workbookViewId="0">
      <selection activeCell="D10" sqref="D10"/>
    </sheetView>
  </sheetViews>
  <sheetFormatPr defaultColWidth="9" defaultRowHeight="28" customHeight="1"/>
  <cols>
    <col min="1" max="1" width="9" style="1"/>
    <col min="2" max="2" width="9.45" style="1" customWidth="1"/>
    <col min="3" max="28" width="10.6333333333333" style="1" customWidth="1"/>
    <col min="29" max="16384" width="9" style="1"/>
  </cols>
  <sheetData>
    <row r="1" customHeight="1" spans="1:28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4" t="s">
        <v>53</v>
      </c>
      <c r="B2" s="1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4"/>
      <c r="B3" s="14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15" t="s">
        <v>54</v>
      </c>
      <c r="B4" s="16" t="s">
        <v>55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7" customHeight="1" spans="1:28">
      <c r="A5" s="17"/>
      <c r="B5" s="16" t="s">
        <v>56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7" customHeight="1" spans="1:28">
      <c r="A6" s="17"/>
      <c r="B6" s="16" t="s">
        <v>57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7" customHeight="1" spans="1:28">
      <c r="A7" s="15" t="s">
        <v>58</v>
      </c>
      <c r="B7" s="16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7" customHeight="1" spans="1:28">
      <c r="A8" s="17"/>
      <c r="B8" s="16" t="s">
        <v>59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7" customHeight="1" spans="1:28">
      <c r="A9" s="18"/>
      <c r="B9" s="16" t="s">
        <v>60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7" customHeight="1" spans="1:28">
      <c r="A10" s="15" t="s">
        <v>61</v>
      </c>
      <c r="B10" s="16" t="s">
        <v>62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7" customHeight="1" spans="1:28">
      <c r="A11" s="17"/>
      <c r="B11" s="16" t="s">
        <v>63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7" customHeight="1" spans="1:28">
      <c r="A12" s="17"/>
      <c r="B12" s="16" t="s">
        <v>43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7" customHeight="1" spans="1:28">
      <c r="A13" s="18"/>
      <c r="B13" s="16" t="s">
        <v>47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9"/>
    <mergeCell ref="A10:A13"/>
    <mergeCell ref="A2:B3"/>
  </mergeCells>
  <pageMargins left="0.75" right="0.75" top="1" bottom="1" header="0.5" footer="0.5"/>
  <pageSetup paperSize="9" scale="9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0"/>
  <sheetViews>
    <sheetView workbookViewId="0">
      <selection activeCell="B16" sqref="B16"/>
    </sheetView>
  </sheetViews>
  <sheetFormatPr defaultColWidth="9" defaultRowHeight="30" customHeight="1"/>
  <cols>
    <col min="1" max="1" width="9" style="1" customWidth="1"/>
    <col min="2" max="2" width="17.45" style="1" customWidth="1"/>
    <col min="3" max="28" width="10.6333333333333" style="1" customWidth="1"/>
    <col min="29" max="16384" width="9" style="1"/>
  </cols>
  <sheetData>
    <row r="1" customHeight="1" spans="1:28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64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8" t="s">
        <v>65</v>
      </c>
      <c r="B4" s="9" t="s">
        <v>66</v>
      </c>
      <c r="C4" s="9"/>
      <c r="D4" s="10"/>
      <c r="E4" s="10"/>
      <c r="F4" s="10"/>
      <c r="G4" s="9"/>
      <c r="H4" s="10"/>
      <c r="I4" s="10"/>
      <c r="J4" s="10"/>
      <c r="K4" s="9"/>
      <c r="L4" s="10"/>
      <c r="M4" s="10"/>
      <c r="N4" s="10"/>
      <c r="O4" s="9"/>
      <c r="P4" s="10"/>
      <c r="Q4" s="10"/>
      <c r="R4" s="10"/>
      <c r="S4" s="9"/>
      <c r="T4" s="10"/>
      <c r="U4" s="10"/>
      <c r="V4" s="10"/>
      <c r="W4" s="9"/>
      <c r="X4" s="10"/>
      <c r="Y4" s="10"/>
      <c r="Z4" s="10"/>
      <c r="AA4" s="13"/>
      <c r="AB4" s="13"/>
    </row>
    <row r="5" ht="27" customHeight="1" spans="1:28">
      <c r="A5" s="11"/>
      <c r="B5" s="9" t="s">
        <v>67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9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27" customHeight="1" spans="1:28">
      <c r="A6" s="11"/>
      <c r="B6" s="9" t="s">
        <v>68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9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27" customHeight="1" spans="1:28">
      <c r="A7" s="11"/>
      <c r="B7" s="9" t="s">
        <v>69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27" customHeight="1" spans="1:28">
      <c r="A8" s="11"/>
      <c r="B8" s="9" t="s">
        <v>70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9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27" customHeight="1" spans="1:28">
      <c r="A9" s="11"/>
      <c r="B9" s="9" t="s">
        <v>71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9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27" customHeight="1" spans="1:28">
      <c r="A10" s="11"/>
      <c r="B10" s="9" t="s">
        <v>72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27" customHeight="1" spans="1:28">
      <c r="A11" s="12"/>
      <c r="B11" s="9" t="s">
        <v>73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9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27" customHeight="1" spans="1:28">
      <c r="A12" s="9" t="s">
        <v>74</v>
      </c>
      <c r="B12" s="9" t="s">
        <v>75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9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27" customHeight="1" spans="1:28">
      <c r="A13" s="9"/>
      <c r="B13" s="9" t="s">
        <v>76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9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27" customHeight="1" spans="1:28">
      <c r="A14" s="9"/>
      <c r="B14" s="9" t="s">
        <v>77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9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7" customHeight="1" spans="1:28">
      <c r="A15" s="9"/>
      <c r="B15" s="9" t="s">
        <v>78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9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27" customHeight="1" spans="1:28">
      <c r="A16" s="9"/>
      <c r="B16" s="9" t="s">
        <v>79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9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27" customHeight="1" spans="1:28">
      <c r="A17" s="9"/>
      <c r="B17" s="9" t="s">
        <v>80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9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7" customHeight="1" spans="1:28">
      <c r="A18" s="9"/>
      <c r="B18" s="9" t="s">
        <v>81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9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27" customHeight="1" spans="1:28">
      <c r="A19" s="9"/>
      <c r="B19" s="9" t="s">
        <v>82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9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27" customHeight="1" spans="1:15">
      <c r="A20" s="9"/>
      <c r="B20" s="9" t="s">
        <v>83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写字楼和商业综合体类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中言地产-钟辉</cp:lastModifiedBy>
  <dcterms:created xsi:type="dcterms:W3CDTF">2024-01-09T03:44:00Z</dcterms:created>
  <dcterms:modified xsi:type="dcterms:W3CDTF">2026-05-09T07:36:32Z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435E632890604919AE4E5A72BD8FC834_13</vt:lpwstr>
  </property>
  <property fmtid="{D5CDD505-2E9C-101B-9397-08002B2CF9AE}" pid="3" name="KSOProductBuildVer">
    <vt:lpwstr>2052-12.1.0.18276</vt:lpwstr>
  </property>
</Properties>
</file>