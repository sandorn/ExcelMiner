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填写说明" sheetId="4" r:id="rId1"/>
    <sheet name="商写类" sheetId="2" r:id="rId2"/>
    <sheet name="酒店类" sheetId="1" r:id="rId3"/>
    <sheet name="保险类" sheetId="3" r:id="rId4"/>
  </sheets>
  <definedNames>
    <definedName name="_xlnm._FilterDatabase" localSheetId="1" hidden="1">商写类!$A$3:$AB$20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黄伟</author>
  </authors>
  <commentList>
    <comment ref="A7" authorId="0">
      <text>
        <r>
          <rPr>
            <b/>
            <sz val="9"/>
            <rFont val="宋体"/>
            <charset val="134"/>
          </rPr>
          <t>黄伟:</t>
        </r>
        <r>
          <rPr>
            <sz val="9"/>
            <rFont val="宋体"/>
            <charset val="134"/>
          </rPr>
          <t xml:space="preserve">
入住的房间数量</t>
        </r>
      </text>
    </comment>
  </commentList>
</comments>
</file>

<file path=xl/sharedStrings.xml><?xml version="1.0" encoding="utf-8"?>
<sst xmlns="http://schemas.openxmlformats.org/spreadsheetml/2006/main" count="193" uniqueCount="81">
  <si>
    <t>填写说明</t>
  </si>
  <si>
    <t>1、</t>
  </si>
  <si>
    <t>子公司类别</t>
  </si>
  <si>
    <t>写字楼类：中言地产、钱隆商管、君康凯丹</t>
  </si>
  <si>
    <t>商业综合体类：重庆宜新、君康春夏秋冬</t>
  </si>
  <si>
    <t>酒店类：伯豪瑞庭、瑞尔酒店</t>
  </si>
  <si>
    <t>保险类：盛唐融信、君康经纪</t>
  </si>
  <si>
    <t>工程类：君康联谊、君康联杰</t>
  </si>
  <si>
    <t>按分类填写对应表格</t>
  </si>
  <si>
    <t>2、</t>
  </si>
  <si>
    <t>指标说明</t>
  </si>
  <si>
    <t>计划列是指子公司根据自身经营计划安排分解到月的目标，受统计口径影响无法分解的计划值可不填写</t>
  </si>
  <si>
    <t>达成列是指当月实际达成情况</t>
  </si>
  <si>
    <t>3、</t>
  </si>
  <si>
    <t>表格结构不得修改</t>
  </si>
  <si>
    <t>精确到两位小数</t>
  </si>
  <si>
    <t>2026年各月指标达成统计表</t>
  </si>
  <si>
    <t>项目            年月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</si>
  <si>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</si>
  <si>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</si>
  <si>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</si>
  <si>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</si>
  <si>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</si>
  <si>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</si>
  <si>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</si>
  <si>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</si>
  <si>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</si>
  <si>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</si>
  <si>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</si>
  <si>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</si>
  <si>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</si>
  <si>
    <t>计划</t>
  </si>
  <si>
    <t>达成</t>
  </si>
  <si>
    <t>整体情况</t>
  </si>
  <si>
    <t>期初面积</t>
  </si>
  <si>
    <t>签约面积</t>
  </si>
  <si>
    <t>平均租金</t>
  </si>
  <si>
    <t>退租面积</t>
  </si>
  <si>
    <t>月末面积</t>
  </si>
  <si>
    <t>合作渠道</t>
  </si>
  <si>
    <t>带客数量</t>
  </si>
  <si>
    <t>成交数量</t>
  </si>
  <si>
    <t>成交周期</t>
  </si>
  <si>
    <t>转化率</t>
  </si>
  <si>
    <t>自有招商</t>
  </si>
  <si>
    <t>+</t>
  </si>
  <si>
    <t>续租情况</t>
  </si>
  <si>
    <t>到期面积</t>
  </si>
  <si>
    <t>续签面积</t>
  </si>
  <si>
    <t>2024年各月指标达成统计表</t>
  </si>
  <si>
    <t>项目              年月</t>
  </si>
  <si>
    <t>协议客户</t>
  </si>
  <si>
    <t>签约数量</t>
  </si>
  <si>
    <t>新签数量</t>
  </si>
  <si>
    <t>激活率</t>
  </si>
  <si>
    <t>客户情况</t>
  </si>
  <si>
    <t>旅行团</t>
  </si>
  <si>
    <t>平台散客</t>
  </si>
  <si>
    <t>营销活动</t>
  </si>
  <si>
    <t>投放数量</t>
  </si>
  <si>
    <t>受众数量</t>
  </si>
  <si>
    <t>项目             年月</t>
  </si>
  <si>
    <t>人力</t>
  </si>
  <si>
    <t>期初人力</t>
  </si>
  <si>
    <t>当月入职</t>
  </si>
  <si>
    <t>当月离职</t>
  </si>
  <si>
    <t>当月净增</t>
  </si>
  <si>
    <t>月末人力</t>
  </si>
  <si>
    <t>平均人力</t>
  </si>
  <si>
    <t>开单人数</t>
  </si>
  <si>
    <t>活动率</t>
  </si>
  <si>
    <t>产能</t>
  </si>
  <si>
    <t>承保新单规模保费</t>
  </si>
  <si>
    <t>承保期交规模保费</t>
  </si>
  <si>
    <t>应收13月续期保费</t>
  </si>
  <si>
    <t>实收13月续期保费</t>
  </si>
  <si>
    <t>应收25月续期保费</t>
  </si>
  <si>
    <t>实收25月续期保费</t>
  </si>
  <si>
    <t>承保件数</t>
  </si>
  <si>
    <t>件均保费</t>
  </si>
  <si>
    <t>人均保费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</si>
</sst>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等距更纱黑体 SC"/>
      <charset val="134"/>
    </font>
    <font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1"/>
      <color theme="0"/>
      <name val="微软雅黑"/>
      <charset val="134"/>
    </font>
    <font>
      <b/>
      <sz val="11"/>
      <color theme="1"/>
      <name val="微软雅黑"/>
      <charset val="134"/>
    </font>
    <font>
      <b/>
      <sz val="12"/>
      <color theme="0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name val="宋体"/>
      <charset val="1"/>
    </font>
    <font>
      <sz val="11"/>
      <color theme="0"/>
      <name val="等距更纱黑体 SC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8" borderId="1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15" applyNumberFormat="0" applyAlignment="0" applyProtection="0">
      <alignment vertical="center"/>
    </xf>
    <xf numFmtId="0" fontId="21" fillId="10" borderId="16" applyNumberFormat="0" applyAlignment="0" applyProtection="0">
      <alignment vertical="center"/>
    </xf>
    <xf numFmtId="0" fontId="22" fillId="10" borderId="15" applyNumberFormat="0" applyAlignment="0" applyProtection="0">
      <alignment vertical="center"/>
    </xf>
    <xf numFmtId="0" fontId="23" fillId="11" borderId="17" applyNumberFormat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>
      <alignment vertical="top"/>
      <protection locked="0"/>
    </xf>
  </cellStyleXfs>
  <cellXfs count="4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3" fontId="7" fillId="3" borderId="3" xfId="1" applyFont="1" applyFill="1" applyBorder="1" applyAlignment="1">
      <alignment vertical="center"/>
    </xf>
    <xf numFmtId="43" fontId="7" fillId="0" borderId="3" xfId="1" applyFont="1" applyBorder="1" applyAlignment="1">
      <alignment vertical="center"/>
    </xf>
    <xf numFmtId="43" fontId="8" fillId="4" borderId="3" xfId="1" applyFont="1" applyFill="1" applyBorder="1" applyAlignment="1">
      <alignment horizontal="center" vertical="center"/>
    </xf>
    <xf numFmtId="43" fontId="8" fillId="0" borderId="3" xfId="1" applyFont="1" applyBorder="1" applyAlignment="1">
      <alignment vertical="center"/>
    </xf>
    <xf numFmtId="43" fontId="7" fillId="0" borderId="3" xfId="1" applyFont="1" applyFill="1" applyBorder="1" applyAlignment="1">
      <alignment vertical="center"/>
    </xf>
    <xf numFmtId="43" fontId="7" fillId="5" borderId="3" xfId="50" applyFont="1" applyFill="1" applyBorder="1" applyAlignment="1">
      <alignment vertical="center"/>
    </xf>
    <xf numFmtId="43" fontId="7" fillId="6" borderId="3" xfId="1" applyFont="1" applyFill="1" applyBorder="1" applyAlignment="1">
      <alignment vertical="center"/>
    </xf>
    <xf numFmtId="43" fontId="7" fillId="6" borderId="3" xfId="50" applyFont="1" applyFill="1" applyBorder="1" applyAlignment="1">
      <alignment vertical="center"/>
    </xf>
    <xf numFmtId="43" fontId="7" fillId="0" borderId="3" xfId="50" applyFont="1" applyFill="1" applyBorder="1" applyAlignment="1">
      <alignment vertical="center"/>
    </xf>
    <xf numFmtId="43" fontId="9" fillId="0" borderId="11" xfId="51" applyNumberFormat="1" applyFont="1" applyFill="1" applyBorder="1" applyAlignment="1" applyProtection="1">
      <protection locked="0"/>
    </xf>
    <xf numFmtId="43" fontId="8" fillId="6" borderId="3" xfId="1" applyFont="1" applyFill="1" applyBorder="1" applyAlignment="1">
      <alignment vertical="center"/>
    </xf>
    <xf numFmtId="43" fontId="7" fillId="5" borderId="3" xfId="1" applyFont="1" applyFill="1" applyBorder="1" applyAlignment="1">
      <alignment vertical="center"/>
    </xf>
    <xf numFmtId="10" fontId="7" fillId="5" borderId="3" xfId="3" applyNumberFormat="1" applyFont="1" applyFill="1" applyBorder="1" applyAlignment="1">
      <alignment vertical="center"/>
    </xf>
    <xf numFmtId="10" fontId="7" fillId="0" borderId="3" xfId="3" applyNumberFormat="1" applyFont="1" applyBorder="1" applyAlignment="1">
      <alignment vertical="center"/>
    </xf>
    <xf numFmtId="10" fontId="7" fillId="0" borderId="3" xfId="3" applyNumberFormat="1" applyFont="1" applyFill="1" applyBorder="1" applyAlignment="1">
      <alignment vertical="center"/>
    </xf>
    <xf numFmtId="10" fontId="8" fillId="0" borderId="3" xfId="3" applyNumberFormat="1" applyFont="1" applyBorder="1" applyAlignment="1">
      <alignment vertical="center"/>
    </xf>
    <xf numFmtId="43" fontId="1" fillId="0" borderId="0" xfId="3" applyNumberFormat="1" applyFont="1">
      <alignment vertical="center"/>
    </xf>
    <xf numFmtId="0" fontId="0" fillId="6" borderId="0" xfId="0" applyFill="1">
      <alignment vertical="center"/>
    </xf>
    <xf numFmtId="0" fontId="10" fillId="7" borderId="0" xfId="0" applyFont="1" applyFill="1">
      <alignment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left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千位分隔 17" xfId="49"/>
    <cellStyle name="千位分隔 2" xfId="50"/>
    <cellStyle name="Normal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D9D9D9"/>
      <color rgb="00C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N10" sqref="N10"/>
    </sheetView>
  </sheetViews>
  <sheetFormatPr defaultColWidth="9" defaultRowHeight="29.15" customHeight="1" outlineLevelCol="1"/>
  <cols>
    <col min="1" max="1" width="11.0916666666667" style="42" customWidth="1"/>
    <col min="2" max="16384" width="9" style="42"/>
  </cols>
  <sheetData>
    <row r="1" customHeight="1" spans="1:2">
      <c r="A1" s="43" t="s">
        <v>0</v>
      </c>
    </row>
    <row r="2" customHeight="1" spans="1:2">
      <c r="A2" s="44" t="s">
        <v>1</v>
      </c>
      <c r="B2" s="42" t="s">
        <v>2</v>
      </c>
    </row>
    <row r="3" ht="13.5" customHeight="1" spans="1:2">
      <c r="A3" s="44"/>
      <c r="B3" s="45" t="s">
        <v>3</v>
      </c>
    </row>
    <row r="4" customHeight="1" spans="1:2">
      <c r="A4" s="44"/>
      <c r="B4" s="42" t="s">
        <v>4</v>
      </c>
    </row>
    <row r="5" customHeight="1" spans="1:2">
      <c r="A5" s="44"/>
      <c r="B5" s="42" t="s">
        <v>5</v>
      </c>
    </row>
    <row r="6" customHeight="1" spans="1:2">
      <c r="A6" s="44"/>
      <c r="B6" s="42" t="s">
        <v>6</v>
      </c>
    </row>
    <row r="7" customHeight="1" spans="1:2">
      <c r="A7" s="44"/>
      <c r="B7" s="42" t="s">
        <v>7</v>
      </c>
    </row>
    <row r="8" customHeight="1" spans="1:2">
      <c r="A8" s="44"/>
      <c r="B8" s="42" t="s">
        <v>8</v>
      </c>
    </row>
    <row r="9" customHeight="1" spans="1:2">
      <c r="A9" s="44" t="s">
        <v>9</v>
      </c>
      <c r="B9" s="42" t="s">
        <v>10</v>
      </c>
    </row>
    <row r="10" customHeight="1" spans="1:2">
      <c r="A10" s="44"/>
      <c r="B10" s="42" t="s">
        <v>11</v>
      </c>
    </row>
    <row r="11" customHeight="1" spans="1:2">
      <c r="A11" s="44"/>
      <c r="B11" s="42" t="s">
        <v>12</v>
      </c>
    </row>
    <row r="12" customHeight="1" spans="1:2">
      <c r="A12" s="44" t="s">
        <v>13</v>
      </c>
      <c r="B12" s="42" t="s">
        <v>14</v>
      </c>
    </row>
    <row r="13" customHeight="1" spans="1:2">
      <c r="B13" s="42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21"/>
  <sheetViews>
    <sheetView tabSelected="1" zoomScale="60" zoomScaleNormal="60" workbookViewId="0">
      <pane xSplit="2" ySplit="3" topLeftCell="C4" activePane="bottomRight" state="frozen"/>
      <selection/>
      <selection pane="topRight"/>
      <selection pane="bottomLeft"/>
      <selection pane="bottomRight" activeCell="K25" sqref="K25"/>
    </sheetView>
  </sheetViews>
  <sheetFormatPr defaultColWidth="9" defaultRowHeight="30" customHeight="1"/>
  <cols>
    <col min="1" max="1" width="12.5416666666667" style="1" customWidth="1"/>
    <col min="2" max="2" width="13.2666666666667" style="1" customWidth="1"/>
    <col min="3" max="26" width="12.2666666666667" style="1" customWidth="1"/>
    <col min="27" max="28" width="13.6333333333333" style="1" customWidth="1"/>
    <col min="30" max="30" width="8.95833333333333" customWidth="1"/>
  </cols>
  <sheetData>
    <row r="1" customHeight="1" spans="1:28">
      <c r="A1" s="2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7" customHeight="1" spans="1:28">
      <c r="A2" s="19" t="s">
        <v>17</v>
      </c>
      <c r="B2" s="20"/>
      <c r="C2" s="21" t="s">
        <v>18</v>
      </c>
      <c r="D2" s="21"/>
      <c r="E2" s="21" t="s">
        <v>19</v>
      </c>
      <c r="F2" s="21"/>
      <c r="G2" s="21" t="s">
        <v>20</v>
      </c>
      <c r="H2" s="21"/>
      <c r="I2" s="21" t="s">
        <v>21</v>
      </c>
      <c r="J2" s="21"/>
      <c r="K2" s="21" t="s">
        <v>22</v>
      </c>
      <c r="L2" s="21"/>
      <c r="M2" s="21" t="s">
        <v>23</v>
      </c>
      <c r="N2" s="21"/>
      <c r="O2" s="21" t="s">
        <v>24</v>
      </c>
      <c r="P2" s="21"/>
      <c r="Q2" s="21" t="s">
        <v>25</v>
      </c>
      <c r="R2" s="21"/>
      <c r="S2" s="21" t="s">
        <v>26</v>
      </c>
      <c r="T2" s="21"/>
      <c r="U2" s="21" t="s">
        <v>27</v>
      </c>
      <c r="V2" s="21"/>
      <c r="W2" s="21" t="s">
        <v>28</v>
      </c>
      <c r="X2" s="21"/>
      <c r="Y2" s="21" t="s">
        <v>29</v>
      </c>
      <c r="Z2" s="21"/>
      <c r="AA2" s="21" t="s">
        <v>30</v>
      </c>
      <c r="AB2" s="21"/>
    </row>
    <row r="3" ht="27" customHeight="1" spans="1:28">
      <c r="A3" s="22"/>
      <c r="B3" s="23"/>
      <c r="C3" s="21" t="s">
        <v>31</v>
      </c>
      <c r="D3" s="21" t="s">
        <v>32</v>
      </c>
      <c r="E3" s="21" t="s">
        <v>31</v>
      </c>
      <c r="F3" s="21" t="s">
        <v>32</v>
      </c>
      <c r="G3" s="21" t="s">
        <v>31</v>
      </c>
      <c r="H3" s="21" t="s">
        <v>32</v>
      </c>
      <c r="I3" s="21" t="s">
        <v>31</v>
      </c>
      <c r="J3" s="21" t="s">
        <v>32</v>
      </c>
      <c r="K3" s="21" t="s">
        <v>31</v>
      </c>
      <c r="L3" s="21" t="s">
        <v>32</v>
      </c>
      <c r="M3" s="21" t="s">
        <v>31</v>
      </c>
      <c r="N3" s="21" t="s">
        <v>32</v>
      </c>
      <c r="O3" s="21" t="s">
        <v>31</v>
      </c>
      <c r="P3" s="21" t="s">
        <v>32</v>
      </c>
      <c r="Q3" s="21" t="s">
        <v>31</v>
      </c>
      <c r="R3" s="21" t="s">
        <v>32</v>
      </c>
      <c r="S3" s="21" t="s">
        <v>31</v>
      </c>
      <c r="T3" s="21" t="s">
        <v>32</v>
      </c>
      <c r="U3" s="21" t="s">
        <v>31</v>
      </c>
      <c r="V3" s="21" t="s">
        <v>32</v>
      </c>
      <c r="W3" s="21" t="s">
        <v>31</v>
      </c>
      <c r="X3" s="21" t="s">
        <v>32</v>
      </c>
      <c r="Y3" s="21" t="s">
        <v>31</v>
      </c>
      <c r="Z3" s="21" t="s">
        <v>32</v>
      </c>
      <c r="AA3" s="21" t="s">
        <v>31</v>
      </c>
      <c r="AB3" s="21" t="s">
        <v>32</v>
      </c>
    </row>
    <row r="4" ht="27" customHeight="1" spans="1:28">
      <c r="A4" s="24" t="s">
        <v>33</v>
      </c>
      <c r="B4" s="24" t="s">
        <v>34</v>
      </c>
      <c r="C4" s="25">
        <v>57874.95</v>
      </c>
      <c r="D4" s="26">
        <v>57874.95</v>
      </c>
      <c r="E4" s="25">
        <f>C8</f>
        <v>59543.49</v>
      </c>
      <c r="F4" s="26">
        <f>D8</f>
        <v>57874.95</v>
      </c>
      <c r="G4" s="25">
        <f t="shared" ref="G4:H4" si="0">E8</f>
        <v>59543.49</v>
      </c>
      <c r="H4" s="26">
        <f t="shared" si="0"/>
        <v>57874.95</v>
      </c>
      <c r="I4" s="25">
        <f t="shared" ref="I4:K4" si="1">G8</f>
        <v>58309.12</v>
      </c>
      <c r="J4" s="26">
        <f t="shared" si="1"/>
        <v>58827.19</v>
      </c>
      <c r="K4" s="25">
        <f t="shared" si="1"/>
        <v>59635.12</v>
      </c>
      <c r="L4" s="26">
        <f t="shared" ref="K4:L4" si="2">J8</f>
        <v>59801.54</v>
      </c>
      <c r="M4" s="25">
        <f t="shared" ref="M4:N4" si="3">K8</f>
        <v>59619.71</v>
      </c>
      <c r="N4" s="26">
        <f t="shared" si="3"/>
        <v>59801.54</v>
      </c>
      <c r="O4" s="25">
        <f t="shared" ref="O4:P4" si="4">M8</f>
        <v>58955.91</v>
      </c>
      <c r="P4" s="26">
        <f t="shared" si="4"/>
        <v>59801.54</v>
      </c>
      <c r="Q4" s="25">
        <f t="shared" ref="Q4:R4" si="5">O8</f>
        <v>58955.91</v>
      </c>
      <c r="R4" s="26">
        <f t="shared" si="5"/>
        <v>59801.54</v>
      </c>
      <c r="S4" s="25">
        <f t="shared" ref="S4:T4" si="6">Q8</f>
        <v>59003.66</v>
      </c>
      <c r="T4" s="26">
        <f t="shared" si="6"/>
        <v>59801.54</v>
      </c>
      <c r="U4" s="25">
        <f t="shared" ref="U4:V4" si="7">S8</f>
        <v>59003.66</v>
      </c>
      <c r="V4" s="26">
        <f t="shared" si="7"/>
        <v>59801.54</v>
      </c>
      <c r="W4" s="25">
        <f t="shared" ref="W4:X4" si="8">U8</f>
        <v>59211.74</v>
      </c>
      <c r="X4" s="26">
        <f t="shared" si="8"/>
        <v>59801.54</v>
      </c>
      <c r="Y4" s="25">
        <f t="shared" ref="Y4:Z4" si="9">W8</f>
        <v>60383.6</v>
      </c>
      <c r="Z4" s="26">
        <f t="shared" si="9"/>
        <v>59801.54</v>
      </c>
      <c r="AA4" s="27">
        <f>C4</f>
        <v>57874.95</v>
      </c>
      <c r="AB4" s="28">
        <f>D4</f>
        <v>57874.95</v>
      </c>
    </row>
    <row r="5" ht="27" customHeight="1" spans="1:28">
      <c r="A5" s="24"/>
      <c r="B5" s="24" t="s">
        <v>35</v>
      </c>
      <c r="C5" s="25">
        <v>1668.54</v>
      </c>
      <c r="D5" s="26">
        <v>0</v>
      </c>
      <c r="E5" s="25">
        <v>0</v>
      </c>
      <c r="F5" s="26"/>
      <c r="G5" s="25">
        <v>0</v>
      </c>
      <c r="H5" s="26">
        <v>1436.22</v>
      </c>
      <c r="I5" s="25">
        <v>1326</v>
      </c>
      <c r="J5" s="26">
        <v>1668.54</v>
      </c>
      <c r="K5" s="25">
        <v>511.55</v>
      </c>
      <c r="L5" s="26"/>
      <c r="M5" s="25">
        <v>483.83</v>
      </c>
      <c r="N5" s="26"/>
      <c r="O5" s="25">
        <v>0</v>
      </c>
      <c r="P5" s="26"/>
      <c r="Q5" s="25">
        <v>742.05</v>
      </c>
      <c r="R5" s="26"/>
      <c r="S5" s="25">
        <v>0</v>
      </c>
      <c r="T5" s="26"/>
      <c r="U5" s="25">
        <v>507.33</v>
      </c>
      <c r="V5" s="26"/>
      <c r="W5" s="25">
        <v>1171.86</v>
      </c>
      <c r="X5" s="26"/>
      <c r="Y5" s="25">
        <v>0</v>
      </c>
      <c r="Z5" s="26"/>
      <c r="AA5" s="27">
        <f>SUM(C5,E5,G5,I5,K5,M5,O5,Q5,S5,U5,W5,Y5)</f>
        <v>6411.16</v>
      </c>
      <c r="AB5" s="28">
        <f>SUM(D5,F5,H5,J5,L5,N5,P5,R5,T5,V5,X5,Z5)</f>
        <v>3104.76</v>
      </c>
    </row>
    <row r="6" ht="27" customHeight="1" spans="1:28">
      <c r="A6" s="24"/>
      <c r="B6" s="24" t="s">
        <v>36</v>
      </c>
      <c r="C6" s="25">
        <v>57</v>
      </c>
      <c r="D6" s="26"/>
      <c r="E6" s="25">
        <v>0</v>
      </c>
      <c r="F6" s="26"/>
      <c r="G6" s="25">
        <v>0</v>
      </c>
      <c r="H6" s="29">
        <v>31.12</v>
      </c>
      <c r="I6" s="25">
        <v>56.39</v>
      </c>
      <c r="J6" s="26">
        <v>76</v>
      </c>
      <c r="K6" s="25">
        <v>81.75</v>
      </c>
      <c r="L6" s="26"/>
      <c r="M6" s="25">
        <v>61.4285714285714</v>
      </c>
      <c r="N6" s="26"/>
      <c r="O6" s="25">
        <v>0</v>
      </c>
      <c r="P6" s="26"/>
      <c r="Q6" s="25">
        <v>45.6</v>
      </c>
      <c r="R6" s="26"/>
      <c r="S6" s="25">
        <v>0</v>
      </c>
      <c r="T6" s="26"/>
      <c r="U6" s="25">
        <v>50</v>
      </c>
      <c r="V6" s="26"/>
      <c r="W6" s="25">
        <v>40</v>
      </c>
      <c r="X6" s="26"/>
      <c r="Y6" s="25">
        <v>0</v>
      </c>
      <c r="Z6" s="26"/>
      <c r="AA6" s="27">
        <f>AVERAGE(C6,I6,K6,M6,Q6,U6,W6)</f>
        <v>56.0240816326531</v>
      </c>
      <c r="AB6" s="28"/>
    </row>
    <row r="7" ht="27" customHeight="1" spans="1:28">
      <c r="A7" s="24"/>
      <c r="B7" s="24" t="s">
        <v>37</v>
      </c>
      <c r="C7" s="25">
        <f t="shared" ref="C7:G7" si="10">C19-C20</f>
        <v>0</v>
      </c>
      <c r="D7" s="26">
        <v>0</v>
      </c>
      <c r="E7" s="25">
        <f t="shared" si="10"/>
        <v>0</v>
      </c>
      <c r="F7" s="26">
        <v>0</v>
      </c>
      <c r="G7" s="25">
        <f>G19-G20+502.31+732.06</f>
        <v>1234.37</v>
      </c>
      <c r="H7" s="26">
        <v>483.98</v>
      </c>
      <c r="I7" s="25">
        <f t="shared" ref="I7:M7" si="11">I19-I20</f>
        <v>0</v>
      </c>
      <c r="J7" s="26">
        <v>694.19</v>
      </c>
      <c r="K7" s="25">
        <f t="shared" si="11"/>
        <v>526.96</v>
      </c>
      <c r="L7" s="26"/>
      <c r="M7" s="25">
        <f>M19-M20+694.19+453.44</f>
        <v>1147.63</v>
      </c>
      <c r="N7" s="26"/>
      <c r="O7" s="25">
        <f t="shared" ref="O7:S7" si="12">O19-O20</f>
        <v>0</v>
      </c>
      <c r="P7" s="26"/>
      <c r="Q7" s="25">
        <f t="shared" si="12"/>
        <v>694.3</v>
      </c>
      <c r="R7" s="26"/>
      <c r="S7" s="25">
        <f t="shared" si="12"/>
        <v>0</v>
      </c>
      <c r="T7" s="26"/>
      <c r="U7" s="25">
        <f t="shared" ref="U7:Y7" si="13">U19-U20</f>
        <v>299.25</v>
      </c>
      <c r="V7" s="26"/>
      <c r="W7" s="25">
        <f t="shared" si="13"/>
        <v>0</v>
      </c>
      <c r="X7" s="26"/>
      <c r="Y7" s="25">
        <f t="shared" si="13"/>
        <v>2333.66</v>
      </c>
      <c r="Z7" s="26"/>
      <c r="AA7" s="27">
        <f>SUM(C7,E7,G7,I7,K7,M7,O7,Q7,S7,U7,W7,Y7)</f>
        <v>6236.17</v>
      </c>
      <c r="AB7" s="28">
        <f>SUM(D7,F7,H7,J7,L7,N7,P7,R7,T7,V7,X7,Z7)</f>
        <v>1178.17</v>
      </c>
    </row>
    <row r="8" ht="27" customHeight="1" spans="1:28">
      <c r="A8" s="24"/>
      <c r="B8" s="24" t="s">
        <v>38</v>
      </c>
      <c r="C8" s="25">
        <f>C4+C5-C7</f>
        <v>59543.49</v>
      </c>
      <c r="D8" s="26">
        <f>D4+D5-D7</f>
        <v>57874.95</v>
      </c>
      <c r="E8" s="25">
        <f>E4+E5-E7</f>
        <v>59543.49</v>
      </c>
      <c r="F8" s="26">
        <f t="shared" ref="E8:F8" si="14">F4+F5-F7</f>
        <v>57874.95</v>
      </c>
      <c r="G8" s="25">
        <f t="shared" ref="G8:I8" si="15">G4+G5-G7</f>
        <v>58309.12</v>
      </c>
      <c r="H8" s="26">
        <f t="shared" si="15"/>
        <v>58827.19</v>
      </c>
      <c r="I8" s="25">
        <f t="shared" si="15"/>
        <v>59635.12</v>
      </c>
      <c r="J8" s="26">
        <f t="shared" ref="I8:K8" si="16">J4+J5-J7</f>
        <v>59801.54</v>
      </c>
      <c r="K8" s="25">
        <f t="shared" si="16"/>
        <v>59619.71</v>
      </c>
      <c r="L8" s="26">
        <f t="shared" ref="K8:L8" si="17">L4+L5-L7</f>
        <v>59801.54</v>
      </c>
      <c r="M8" s="25">
        <f t="shared" ref="M8:N8" si="18">M4+M5-M7</f>
        <v>58955.91</v>
      </c>
      <c r="N8" s="26">
        <f t="shared" si="18"/>
        <v>59801.54</v>
      </c>
      <c r="O8" s="25">
        <f t="shared" ref="O8:P8" si="19">O4+O5-O7</f>
        <v>58955.91</v>
      </c>
      <c r="P8" s="26">
        <f t="shared" si="19"/>
        <v>59801.54</v>
      </c>
      <c r="Q8" s="25">
        <f t="shared" ref="Q8:R8" si="20">Q4+Q5-Q7</f>
        <v>59003.66</v>
      </c>
      <c r="R8" s="26">
        <f t="shared" si="20"/>
        <v>59801.54</v>
      </c>
      <c r="S8" s="25">
        <f t="shared" ref="S8:T8" si="21">S4+S5-S7</f>
        <v>59003.66</v>
      </c>
      <c r="T8" s="26">
        <f t="shared" si="21"/>
        <v>59801.54</v>
      </c>
      <c r="U8" s="25">
        <f t="shared" ref="U8:V8" si="22">U4+U5-U7</f>
        <v>59211.74</v>
      </c>
      <c r="V8" s="26">
        <f t="shared" si="22"/>
        <v>59801.54</v>
      </c>
      <c r="W8" s="25">
        <f t="shared" ref="W8:X8" si="23">W4+W5-W7</f>
        <v>60383.6</v>
      </c>
      <c r="X8" s="26">
        <f t="shared" si="23"/>
        <v>59801.54</v>
      </c>
      <c r="Y8" s="25">
        <f t="shared" ref="Y8:Z8" si="24">Y4+Y5-Y7</f>
        <v>58049.94</v>
      </c>
      <c r="Z8" s="26">
        <f t="shared" si="24"/>
        <v>59801.54</v>
      </c>
      <c r="AA8" s="27">
        <f t="shared" ref="AA8:AB8" si="25">AA4+AA5-AA7</f>
        <v>58049.94</v>
      </c>
      <c r="AB8" s="28">
        <f t="shared" si="25"/>
        <v>59801.54</v>
      </c>
    </row>
    <row r="9" ht="27" customHeight="1" spans="1:28">
      <c r="A9" s="24" t="s">
        <v>39</v>
      </c>
      <c r="B9" s="24" t="s">
        <v>40</v>
      </c>
      <c r="C9" s="30">
        <v>8</v>
      </c>
      <c r="D9" s="31">
        <v>7</v>
      </c>
      <c r="E9" s="30">
        <v>8</v>
      </c>
      <c r="F9" s="32">
        <v>4</v>
      </c>
      <c r="G9" s="30">
        <v>10</v>
      </c>
      <c r="H9" s="33">
        <v>3</v>
      </c>
      <c r="I9" s="30">
        <v>10</v>
      </c>
      <c r="J9" s="32">
        <v>7</v>
      </c>
      <c r="K9" s="30">
        <v>10</v>
      </c>
      <c r="L9" s="33"/>
      <c r="M9" s="30">
        <v>10</v>
      </c>
      <c r="N9" s="32"/>
      <c r="O9" s="30">
        <v>8</v>
      </c>
      <c r="P9" s="32"/>
      <c r="Q9" s="30">
        <v>8</v>
      </c>
      <c r="R9" s="32"/>
      <c r="S9" s="30">
        <v>10</v>
      </c>
      <c r="T9" s="32"/>
      <c r="U9" s="30">
        <v>10</v>
      </c>
      <c r="V9" s="32"/>
      <c r="W9" s="30">
        <v>8</v>
      </c>
      <c r="X9" s="32"/>
      <c r="Y9" s="30">
        <v>8</v>
      </c>
      <c r="Z9" s="31"/>
      <c r="AA9" s="34">
        <v>17138047.26</v>
      </c>
      <c r="AB9" s="35">
        <f>SUM(D9,F9,H9,J9,L9,N9,P9,R9,T9,V9,X9,Z9)</f>
        <v>21</v>
      </c>
    </row>
    <row r="10" ht="27" customHeight="1" spans="1:28">
      <c r="A10" s="24"/>
      <c r="B10" s="24" t="s">
        <v>41</v>
      </c>
      <c r="C10" s="36"/>
      <c r="D10" s="31"/>
      <c r="E10" s="36"/>
      <c r="F10" s="31"/>
      <c r="G10" s="36"/>
      <c r="H10" s="29">
        <v>1</v>
      </c>
      <c r="I10" s="36"/>
      <c r="J10" s="31"/>
      <c r="K10" s="36"/>
      <c r="L10" s="29"/>
      <c r="M10" s="36"/>
      <c r="N10" s="31"/>
      <c r="O10" s="36"/>
      <c r="P10" s="31"/>
      <c r="Q10" s="36"/>
      <c r="R10" s="31"/>
      <c r="S10" s="36"/>
      <c r="T10" s="31"/>
      <c r="U10" s="36"/>
      <c r="V10" s="31"/>
      <c r="W10" s="36"/>
      <c r="X10" s="31"/>
      <c r="Y10" s="36"/>
      <c r="Z10" s="31"/>
      <c r="AA10" s="34">
        <v>15376128.06</v>
      </c>
      <c r="AB10" s="35">
        <f>SUM(D10,F10,H10,J10,L10,N10,P10,R10,T10,V10,X10,Z10)</f>
        <v>1</v>
      </c>
    </row>
    <row r="11" ht="27" customHeight="1" spans="1:28">
      <c r="A11" s="24"/>
      <c r="B11" s="24" t="s">
        <v>35</v>
      </c>
      <c r="C11" s="36"/>
      <c r="D11" s="31"/>
      <c r="E11" s="36"/>
      <c r="F11" s="31"/>
      <c r="G11" s="36"/>
      <c r="H11" s="29">
        <v>1436.22</v>
      </c>
      <c r="I11" s="36"/>
      <c r="J11" s="31"/>
      <c r="K11" s="36"/>
      <c r="L11" s="29"/>
      <c r="M11" s="36"/>
      <c r="N11" s="31"/>
      <c r="O11" s="36"/>
      <c r="P11" s="31"/>
      <c r="Q11" s="36"/>
      <c r="R11" s="31"/>
      <c r="S11" s="36"/>
      <c r="T11" s="31"/>
      <c r="U11" s="36"/>
      <c r="V11" s="31"/>
      <c r="W11" s="36"/>
      <c r="X11" s="31"/>
      <c r="Y11" s="36"/>
      <c r="Z11" s="31"/>
      <c r="AA11" s="34">
        <v>2866218.76</v>
      </c>
      <c r="AB11" s="35">
        <f>SUM(D11,F11,H11,J11,L11,N11,P11,R11,T11,V11,X11,Z11)</f>
        <v>1436.22</v>
      </c>
    </row>
    <row r="12" ht="27" customHeight="1" spans="1:28">
      <c r="A12" s="24"/>
      <c r="B12" s="24" t="s">
        <v>42</v>
      </c>
      <c r="C12" s="36"/>
      <c r="D12" s="26"/>
      <c r="E12" s="36"/>
      <c r="F12" s="26"/>
      <c r="G12" s="36"/>
      <c r="H12" s="29">
        <v>2</v>
      </c>
      <c r="I12" s="36"/>
      <c r="J12" s="26"/>
      <c r="K12" s="36"/>
      <c r="L12" s="29"/>
      <c r="M12" s="36"/>
      <c r="N12" s="26"/>
      <c r="O12" s="36"/>
      <c r="P12" s="26"/>
      <c r="Q12" s="36"/>
      <c r="R12" s="26"/>
      <c r="S12" s="36"/>
      <c r="T12" s="26"/>
      <c r="U12" s="36"/>
      <c r="V12" s="26"/>
      <c r="W12" s="36"/>
      <c r="X12" s="26"/>
      <c r="Y12" s="36"/>
      <c r="Z12" s="26"/>
      <c r="AA12" s="34">
        <v>337363.42</v>
      </c>
      <c r="AB12" s="28">
        <v>2</v>
      </c>
    </row>
    <row r="13" ht="27" customHeight="1" spans="1:28">
      <c r="A13" s="24"/>
      <c r="B13" s="24" t="s">
        <v>43</v>
      </c>
      <c r="C13" s="37">
        <f t="shared" ref="C13:AB13" si="26">IFERROR(C10/C9,"")</f>
        <v>0</v>
      </c>
      <c r="D13" s="38">
        <f t="shared" si="26"/>
        <v>0</v>
      </c>
      <c r="E13" s="37">
        <f t="shared" si="26"/>
        <v>0</v>
      </c>
      <c r="F13" s="39">
        <f t="shared" si="26"/>
        <v>0</v>
      </c>
      <c r="G13" s="37">
        <f t="shared" si="26"/>
        <v>0</v>
      </c>
      <c r="H13" s="39">
        <f t="shared" si="26"/>
        <v>0.333333333333333</v>
      </c>
      <c r="I13" s="37">
        <f t="shared" si="26"/>
        <v>0</v>
      </c>
      <c r="J13" s="39">
        <f t="shared" si="26"/>
        <v>0</v>
      </c>
      <c r="K13" s="37">
        <f t="shared" si="26"/>
        <v>0</v>
      </c>
      <c r="L13" s="39" t="str">
        <f t="shared" si="26"/>
        <v/>
      </c>
      <c r="M13" s="37">
        <f t="shared" si="26"/>
        <v>0</v>
      </c>
      <c r="N13" s="39" t="str">
        <f t="shared" si="26"/>
        <v/>
      </c>
      <c r="O13" s="37">
        <f t="shared" si="26"/>
        <v>0</v>
      </c>
      <c r="P13" s="39" t="str">
        <f t="shared" si="26"/>
        <v/>
      </c>
      <c r="Q13" s="37">
        <f t="shared" si="26"/>
        <v>0</v>
      </c>
      <c r="R13" s="39" t="str">
        <f t="shared" si="26"/>
        <v/>
      </c>
      <c r="S13" s="37">
        <f t="shared" si="26"/>
        <v>0</v>
      </c>
      <c r="T13" s="39" t="str">
        <f t="shared" si="26"/>
        <v/>
      </c>
      <c r="U13" s="37">
        <f t="shared" si="26"/>
        <v>0</v>
      </c>
      <c r="V13" s="39" t="str">
        <f t="shared" si="26"/>
        <v/>
      </c>
      <c r="W13" s="37">
        <f t="shared" si="26"/>
        <v>0</v>
      </c>
      <c r="X13" s="39" t="str">
        <f t="shared" si="26"/>
        <v/>
      </c>
      <c r="Y13" s="37">
        <f t="shared" si="26"/>
        <v>0</v>
      </c>
      <c r="Z13" s="39" t="str">
        <f t="shared" si="26"/>
        <v/>
      </c>
      <c r="AA13" s="34">
        <v>666708.84</v>
      </c>
      <c r="AB13" s="40">
        <f t="shared" si="26"/>
        <v>0.0476190476190476</v>
      </c>
    </row>
    <row r="14" ht="27" customHeight="1" spans="1:28">
      <c r="A14" s="24" t="s">
        <v>44</v>
      </c>
      <c r="B14" s="24" t="s">
        <v>40</v>
      </c>
      <c r="C14" s="36">
        <v>6</v>
      </c>
      <c r="D14" s="31">
        <v>2</v>
      </c>
      <c r="E14" s="36">
        <v>6</v>
      </c>
      <c r="F14" s="31">
        <v>1</v>
      </c>
      <c r="G14" s="36">
        <v>8</v>
      </c>
      <c r="H14" s="29">
        <v>3</v>
      </c>
      <c r="I14" s="36">
        <v>8</v>
      </c>
      <c r="J14" s="31">
        <v>1</v>
      </c>
      <c r="K14" s="36">
        <v>8</v>
      </c>
      <c r="L14" s="29"/>
      <c r="M14" s="36">
        <v>8</v>
      </c>
      <c r="N14" s="31"/>
      <c r="O14" s="36">
        <v>6</v>
      </c>
      <c r="P14" s="31"/>
      <c r="Q14" s="36">
        <v>6</v>
      </c>
      <c r="R14" s="31"/>
      <c r="S14" s="36">
        <v>8</v>
      </c>
      <c r="T14" s="31"/>
      <c r="U14" s="36">
        <v>8</v>
      </c>
      <c r="V14" s="31"/>
      <c r="W14" s="36">
        <v>6</v>
      </c>
      <c r="X14" s="31"/>
      <c r="Y14" s="36">
        <v>6</v>
      </c>
      <c r="Z14" s="31"/>
      <c r="AA14" s="34" t="s">
        <v>45</v>
      </c>
      <c r="AB14" s="35">
        <f>SUM(D14,F14,H14,J14,L14,N14,P14,R14,T14,V14,X14,Z14)</f>
        <v>7</v>
      </c>
    </row>
    <row r="15" ht="26.25" customHeight="1" spans="1:28">
      <c r="A15" s="24"/>
      <c r="B15" s="24" t="s">
        <v>41</v>
      </c>
      <c r="C15" s="36"/>
      <c r="D15" s="31"/>
      <c r="E15" s="36"/>
      <c r="F15" s="31"/>
      <c r="G15" s="36"/>
      <c r="H15" s="29"/>
      <c r="I15" s="36"/>
      <c r="J15" s="31"/>
      <c r="K15" s="36"/>
      <c r="L15" s="31"/>
      <c r="M15" s="36"/>
      <c r="N15" s="31"/>
      <c r="O15" s="36"/>
      <c r="P15" s="31"/>
      <c r="Q15" s="36"/>
      <c r="R15" s="31"/>
      <c r="S15" s="36"/>
      <c r="T15" s="31"/>
      <c r="U15" s="36"/>
      <c r="V15" s="31"/>
      <c r="W15" s="36"/>
      <c r="X15" s="31"/>
      <c r="Y15" s="36"/>
      <c r="Z15" s="31"/>
      <c r="AA15" s="34">
        <v>15376128.06</v>
      </c>
      <c r="AB15" s="35">
        <f>SUM(D15,F15,H15,J15,L15,N15,P15,R15,T15,V15,X15,Z15)</f>
        <v>0</v>
      </c>
    </row>
    <row r="16" ht="27" customHeight="1" spans="1:28">
      <c r="A16" s="24"/>
      <c r="B16" s="24" t="s">
        <v>35</v>
      </c>
      <c r="C16" s="36"/>
      <c r="D16" s="26"/>
      <c r="E16" s="36"/>
      <c r="F16" s="26"/>
      <c r="G16" s="36"/>
      <c r="H16" s="29"/>
      <c r="I16" s="36"/>
      <c r="J16" s="26"/>
      <c r="K16" s="36"/>
      <c r="L16" s="26"/>
      <c r="M16" s="36"/>
      <c r="N16" s="26"/>
      <c r="O16" s="36"/>
      <c r="P16" s="26"/>
      <c r="Q16" s="36"/>
      <c r="R16" s="26"/>
      <c r="S16" s="36"/>
      <c r="T16" s="26"/>
      <c r="U16" s="36"/>
      <c r="V16" s="26"/>
      <c r="W16" s="36"/>
      <c r="X16" s="26"/>
      <c r="Y16" s="36"/>
      <c r="Z16" s="26"/>
      <c r="AA16" s="34">
        <v>2866218.76</v>
      </c>
      <c r="AB16" s="28">
        <f>SUM(D16,F16,H16,J16,L16,N16,P16,R16,T16,V16,X16,Z16)</f>
        <v>0</v>
      </c>
    </row>
    <row r="17" ht="27" customHeight="1" spans="1:28">
      <c r="A17" s="24"/>
      <c r="B17" s="24" t="s">
        <v>42</v>
      </c>
      <c r="C17" s="36"/>
      <c r="D17" s="26"/>
      <c r="E17" s="36"/>
      <c r="F17" s="26"/>
      <c r="G17" s="36"/>
      <c r="H17" s="29"/>
      <c r="I17" s="36"/>
      <c r="J17" s="26"/>
      <c r="K17" s="36"/>
      <c r="L17" s="26"/>
      <c r="M17" s="36"/>
      <c r="N17" s="26"/>
      <c r="O17" s="36"/>
      <c r="P17" s="26"/>
      <c r="Q17" s="36"/>
      <c r="R17" s="26"/>
      <c r="S17" s="36"/>
      <c r="T17" s="26"/>
      <c r="U17" s="36"/>
      <c r="V17" s="26"/>
      <c r="W17" s="36"/>
      <c r="X17" s="26"/>
      <c r="Y17" s="36"/>
      <c r="Z17" s="26"/>
      <c r="AA17" s="34">
        <v>337363.42</v>
      </c>
      <c r="AB17" s="28">
        <v>0</v>
      </c>
    </row>
    <row r="18" ht="27" customHeight="1" spans="1:28">
      <c r="A18" s="24"/>
      <c r="B18" s="24" t="s">
        <v>43</v>
      </c>
      <c r="C18" s="37">
        <f t="shared" ref="C18:AB18" si="27">IFERROR(C15/C14,"")</f>
        <v>0</v>
      </c>
      <c r="D18" s="38">
        <f t="shared" si="27"/>
        <v>0</v>
      </c>
      <c r="E18" s="37">
        <f t="shared" si="27"/>
        <v>0</v>
      </c>
      <c r="F18" s="38">
        <f t="shared" si="27"/>
        <v>0</v>
      </c>
      <c r="G18" s="37">
        <f t="shared" si="27"/>
        <v>0</v>
      </c>
      <c r="H18" s="39">
        <f t="shared" si="27"/>
        <v>0</v>
      </c>
      <c r="I18" s="37">
        <f t="shared" si="27"/>
        <v>0</v>
      </c>
      <c r="J18" s="39">
        <f t="shared" si="27"/>
        <v>0</v>
      </c>
      <c r="K18" s="37">
        <f t="shared" si="27"/>
        <v>0</v>
      </c>
      <c r="L18" s="39" t="str">
        <f t="shared" si="27"/>
        <v/>
      </c>
      <c r="M18" s="37">
        <f t="shared" si="27"/>
        <v>0</v>
      </c>
      <c r="N18" s="39" t="str">
        <f t="shared" si="27"/>
        <v/>
      </c>
      <c r="O18" s="37">
        <f t="shared" si="27"/>
        <v>0</v>
      </c>
      <c r="P18" s="39" t="str">
        <f t="shared" si="27"/>
        <v/>
      </c>
      <c r="Q18" s="37">
        <f t="shared" si="27"/>
        <v>0</v>
      </c>
      <c r="R18" s="39" t="str">
        <f t="shared" si="27"/>
        <v/>
      </c>
      <c r="S18" s="37">
        <f t="shared" si="27"/>
        <v>0</v>
      </c>
      <c r="T18" s="38" t="str">
        <f t="shared" si="27"/>
        <v/>
      </c>
      <c r="U18" s="37">
        <f t="shared" si="27"/>
        <v>0</v>
      </c>
      <c r="V18" s="38" t="str">
        <f t="shared" si="27"/>
        <v/>
      </c>
      <c r="W18" s="37">
        <f t="shared" si="27"/>
        <v>0</v>
      </c>
      <c r="X18" s="38" t="str">
        <f t="shared" si="27"/>
        <v/>
      </c>
      <c r="Y18" s="37">
        <f t="shared" si="27"/>
        <v>0</v>
      </c>
      <c r="Z18" s="38" t="str">
        <f t="shared" si="27"/>
        <v/>
      </c>
      <c r="AA18" s="34">
        <v>666708.84</v>
      </c>
      <c r="AB18" s="40">
        <f t="shared" si="27"/>
        <v>0</v>
      </c>
    </row>
    <row r="19" ht="27" customHeight="1" spans="1:28">
      <c r="A19" s="24" t="s">
        <v>46</v>
      </c>
      <c r="B19" s="24" t="s">
        <v>47</v>
      </c>
      <c r="C19" s="25">
        <v>1195.31</v>
      </c>
      <c r="D19" s="26">
        <v>1195.31</v>
      </c>
      <c r="E19" s="25">
        <v>2885.15</v>
      </c>
      <c r="F19" s="26">
        <v>2885.15</v>
      </c>
      <c r="G19" s="25">
        <v>2390.47</v>
      </c>
      <c r="H19" s="26">
        <v>2390.47</v>
      </c>
      <c r="I19" s="25">
        <v>1262.56</v>
      </c>
      <c r="J19" s="26">
        <v>1262.56</v>
      </c>
      <c r="K19" s="25">
        <v>1205.07</v>
      </c>
      <c r="L19" s="26"/>
      <c r="M19" s="25">
        <v>328.95</v>
      </c>
      <c r="N19" s="26"/>
      <c r="O19" s="25">
        <v>1533.06</v>
      </c>
      <c r="P19" s="26">
        <v>0</v>
      </c>
      <c r="Q19" s="25">
        <v>694.3</v>
      </c>
      <c r="R19" s="26"/>
      <c r="S19" s="25">
        <v>0</v>
      </c>
      <c r="T19" s="26"/>
      <c r="U19" s="25">
        <v>3882</v>
      </c>
      <c r="V19" s="26"/>
      <c r="W19" s="25">
        <v>1883.79</v>
      </c>
      <c r="X19" s="26"/>
      <c r="Y19" s="25">
        <v>2333.66</v>
      </c>
      <c r="Z19" s="26"/>
      <c r="AA19" s="27">
        <f t="shared" ref="AA19:AB20" si="28">SUM(C19,E19,G19,I19,K19,M19,O19,Q19,S19,U19,W19,Y19)</f>
        <v>19594.32</v>
      </c>
      <c r="AB19" s="28">
        <f t="shared" si="28"/>
        <v>7733.49</v>
      </c>
    </row>
    <row r="20" ht="27" customHeight="1" spans="1:28">
      <c r="A20" s="24"/>
      <c r="B20" s="24" t="s">
        <v>48</v>
      </c>
      <c r="C20" s="25">
        <v>1195.31</v>
      </c>
      <c r="D20" s="26">
        <v>1195.31</v>
      </c>
      <c r="E20" s="25">
        <v>2885.15</v>
      </c>
      <c r="F20" s="26">
        <v>2885.15</v>
      </c>
      <c r="G20" s="25">
        <v>2390.47</v>
      </c>
      <c r="H20" s="26">
        <v>2390.47</v>
      </c>
      <c r="I20" s="25">
        <v>1262.56</v>
      </c>
      <c r="J20" s="26">
        <v>778.58</v>
      </c>
      <c r="K20" s="25">
        <v>678.11</v>
      </c>
      <c r="L20" s="26"/>
      <c r="M20" s="25">
        <v>328.95</v>
      </c>
      <c r="N20" s="26"/>
      <c r="O20" s="25">
        <v>1533.06</v>
      </c>
      <c r="P20" s="26">
        <v>0</v>
      </c>
      <c r="Q20" s="25">
        <v>0</v>
      </c>
      <c r="R20" s="26"/>
      <c r="S20" s="25">
        <v>0</v>
      </c>
      <c r="T20" s="26"/>
      <c r="U20" s="25">
        <v>3582.75</v>
      </c>
      <c r="V20" s="26"/>
      <c r="W20" s="25">
        <v>1883.79</v>
      </c>
      <c r="X20" s="26"/>
      <c r="Y20" s="25">
        <v>0</v>
      </c>
      <c r="Z20" s="26"/>
      <c r="AA20" s="27">
        <f t="shared" si="28"/>
        <v>15740.15</v>
      </c>
      <c r="AB20" s="28">
        <f t="shared" si="28"/>
        <v>7249.51</v>
      </c>
    </row>
    <row r="21" customHeight="1" spans="1:28">
      <c r="AA21" s="41"/>
    </row>
  </sheetData>
  <autoFilter xmlns:etc="http://www.wps.cn/officeDocument/2017/etCustomData" ref="A3:AB20" etc:filterBottomFollowUsedRange="0">
    <extLst/>
  </autoFilter>
  <mergeCells count="19">
    <mergeCell ref="A1:AB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4:A8"/>
    <mergeCell ref="A9:A13"/>
    <mergeCell ref="A14:A18"/>
    <mergeCell ref="A19:A20"/>
    <mergeCell ref="A2:B3"/>
  </mergeCells>
  <pageMargins left="0.75" right="0.75" top="1" bottom="1" header="0.5" footer="0.5"/>
  <pageSetup paperSize="9" scale="38" orientation="landscape"/>
  <headerFooter/>
  <ignoredErrors>
    <ignoredError sqref="AB10 AA19:AB20 AB18 AB15:AB16 AA8:AB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13"/>
  <sheetViews>
    <sheetView workbookViewId="0">
      <selection activeCell="D10" sqref="D10"/>
    </sheetView>
  </sheetViews>
  <sheetFormatPr defaultColWidth="9" defaultRowHeight="28" customHeight="1"/>
  <cols>
    <col min="1" max="1" width="9" style="1"/>
    <col min="2" max="2" width="9.45" style="1" customWidth="1"/>
    <col min="3" max="28" width="10.6333333333333" style="1" customWidth="1"/>
    <col min="29" max="16384" width="9" style="1"/>
  </cols>
  <sheetData>
    <row r="1" customHeight="1" spans="1:28">
      <c r="A1" s="2" t="s">
        <v>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7" customHeight="1" spans="1:28">
      <c r="A2" s="14" t="s">
        <v>50</v>
      </c>
      <c r="B2" s="14"/>
      <c r="C2" s="5" t="s">
        <v>18</v>
      </c>
      <c r="D2" s="5"/>
      <c r="E2" s="5" t="s">
        <v>19</v>
      </c>
      <c r="F2" s="5"/>
      <c r="G2" s="5" t="s">
        <v>20</v>
      </c>
      <c r="H2" s="5"/>
      <c r="I2" s="5" t="s">
        <v>21</v>
      </c>
      <c r="J2" s="5"/>
      <c r="K2" s="5" t="s">
        <v>22</v>
      </c>
      <c r="L2" s="5"/>
      <c r="M2" s="5" t="s">
        <v>23</v>
      </c>
      <c r="N2" s="5"/>
      <c r="O2" s="5" t="s">
        <v>24</v>
      </c>
      <c r="P2" s="5"/>
      <c r="Q2" s="5" t="s">
        <v>25</v>
      </c>
      <c r="R2" s="5"/>
      <c r="S2" s="5" t="s">
        <v>26</v>
      </c>
      <c r="T2" s="5"/>
      <c r="U2" s="5" t="s">
        <v>27</v>
      </c>
      <c r="V2" s="5"/>
      <c r="W2" s="5" t="s">
        <v>28</v>
      </c>
      <c r="X2" s="5"/>
      <c r="Y2" s="5" t="s">
        <v>29</v>
      </c>
      <c r="Z2" s="5"/>
      <c r="AA2" s="5" t="s">
        <v>30</v>
      </c>
      <c r="AB2" s="5"/>
    </row>
    <row r="3" ht="27" customHeight="1" spans="1:28">
      <c r="A3" s="14"/>
      <c r="B3" s="14"/>
      <c r="C3" s="5" t="s">
        <v>31</v>
      </c>
      <c r="D3" s="5" t="s">
        <v>32</v>
      </c>
      <c r="E3" s="5" t="s">
        <v>31</v>
      </c>
      <c r="F3" s="5" t="s">
        <v>32</v>
      </c>
      <c r="G3" s="5" t="s">
        <v>31</v>
      </c>
      <c r="H3" s="5" t="s">
        <v>32</v>
      </c>
      <c r="I3" s="5" t="s">
        <v>31</v>
      </c>
      <c r="J3" s="5" t="s">
        <v>32</v>
      </c>
      <c r="K3" s="5" t="s">
        <v>31</v>
      </c>
      <c r="L3" s="5" t="s">
        <v>32</v>
      </c>
      <c r="M3" s="5" t="s">
        <v>31</v>
      </c>
      <c r="N3" s="5" t="s">
        <v>32</v>
      </c>
      <c r="O3" s="5" t="s">
        <v>31</v>
      </c>
      <c r="P3" s="5" t="s">
        <v>32</v>
      </c>
      <c r="Q3" s="5" t="s">
        <v>31</v>
      </c>
      <c r="R3" s="5" t="s">
        <v>32</v>
      </c>
      <c r="S3" s="5" t="s">
        <v>31</v>
      </c>
      <c r="T3" s="5" t="s">
        <v>32</v>
      </c>
      <c r="U3" s="5" t="s">
        <v>31</v>
      </c>
      <c r="V3" s="5" t="s">
        <v>32</v>
      </c>
      <c r="W3" s="5" t="s">
        <v>31</v>
      </c>
      <c r="X3" s="5" t="s">
        <v>32</v>
      </c>
      <c r="Y3" s="5" t="s">
        <v>31</v>
      </c>
      <c r="Z3" s="5" t="s">
        <v>32</v>
      </c>
      <c r="AA3" s="5" t="s">
        <v>31</v>
      </c>
      <c r="AB3" s="5" t="s">
        <v>32</v>
      </c>
    </row>
    <row r="4" ht="27" customHeight="1" spans="1:28">
      <c r="A4" s="15" t="s">
        <v>51</v>
      </c>
      <c r="B4" s="16" t="s">
        <v>52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ht="27" customHeight="1" spans="1:28">
      <c r="A5" s="17"/>
      <c r="B5" s="16" t="s">
        <v>53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ht="27" customHeight="1" spans="1:28">
      <c r="A6" s="17"/>
      <c r="B6" s="16" t="s">
        <v>54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27" customHeight="1" spans="1:28">
      <c r="A7" s="15" t="s">
        <v>55</v>
      </c>
      <c r="B7" s="16" t="s">
        <v>51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ht="27" customHeight="1" spans="1:28">
      <c r="A8" s="17"/>
      <c r="B8" s="16" t="s">
        <v>56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ht="27" customHeight="1" spans="1:28">
      <c r="A9" s="18"/>
      <c r="B9" s="16" t="s">
        <v>57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ht="27" customHeight="1" spans="1:28">
      <c r="A10" s="15" t="s">
        <v>58</v>
      </c>
      <c r="B10" s="16" t="s">
        <v>59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ht="27" customHeight="1" spans="1:28">
      <c r="A11" s="17"/>
      <c r="B11" s="16" t="s">
        <v>60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ht="27" customHeight="1" spans="1:28">
      <c r="A12" s="17"/>
      <c r="B12" s="16" t="s">
        <v>41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ht="27" customHeight="1" spans="1:28">
      <c r="A13" s="18"/>
      <c r="B13" s="16" t="s">
        <v>43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</sheetData>
  <mergeCells count="18">
    <mergeCell ref="A1:AB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4:A6"/>
    <mergeCell ref="A7:A9"/>
    <mergeCell ref="A10:A13"/>
    <mergeCell ref="A2:B3"/>
  </mergeCells>
  <pageMargins left="0.75" right="0.75" top="1" bottom="1" header="0.5" footer="0.5"/>
  <pageSetup paperSize="9" scale="95" orientation="landscape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20"/>
  <sheetViews>
    <sheetView workbookViewId="0">
      <selection activeCell="B16" sqref="B16"/>
    </sheetView>
  </sheetViews>
  <sheetFormatPr defaultColWidth="9" defaultRowHeight="30" customHeight="1"/>
  <cols>
    <col min="1" max="1" width="9" style="1" customWidth="1"/>
    <col min="2" max="2" width="17.45" style="1" customWidth="1"/>
    <col min="3" max="28" width="10.6333333333333" style="1" customWidth="1"/>
    <col min="29" max="16384" width="9" style="1"/>
  </cols>
  <sheetData>
    <row r="1" customHeight="1" spans="1:28">
      <c r="A1" s="2" t="s">
        <v>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7" customHeight="1" spans="1:28">
      <c r="A2" s="3" t="s">
        <v>61</v>
      </c>
      <c r="B2" s="4"/>
      <c r="C2" s="5" t="s">
        <v>18</v>
      </c>
      <c r="D2" s="5"/>
      <c r="E2" s="5" t="s">
        <v>19</v>
      </c>
      <c r="F2" s="5"/>
      <c r="G2" s="5" t="s">
        <v>20</v>
      </c>
      <c r="H2" s="5"/>
      <c r="I2" s="5" t="s">
        <v>21</v>
      </c>
      <c r="J2" s="5"/>
      <c r="K2" s="5" t="s">
        <v>22</v>
      </c>
      <c r="L2" s="5"/>
      <c r="M2" s="5" t="s">
        <v>23</v>
      </c>
      <c r="N2" s="5"/>
      <c r="O2" s="5" t="s">
        <v>24</v>
      </c>
      <c r="P2" s="5"/>
      <c r="Q2" s="5" t="s">
        <v>25</v>
      </c>
      <c r="R2" s="5"/>
      <c r="S2" s="5" t="s">
        <v>26</v>
      </c>
      <c r="T2" s="5"/>
      <c r="U2" s="5" t="s">
        <v>27</v>
      </c>
      <c r="V2" s="5"/>
      <c r="W2" s="5" t="s">
        <v>28</v>
      </c>
      <c r="X2" s="5"/>
      <c r="Y2" s="5" t="s">
        <v>29</v>
      </c>
      <c r="Z2" s="5"/>
      <c r="AA2" s="5" t="s">
        <v>30</v>
      </c>
      <c r="AB2" s="5"/>
    </row>
    <row r="3" ht="27" customHeight="1" spans="1:28">
      <c r="A3" s="6"/>
      <c r="B3" s="7"/>
      <c r="C3" s="5" t="s">
        <v>31</v>
      </c>
      <c r="D3" s="5" t="s">
        <v>32</v>
      </c>
      <c r="E3" s="5" t="s">
        <v>31</v>
      </c>
      <c r="F3" s="5" t="s">
        <v>32</v>
      </c>
      <c r="G3" s="5" t="s">
        <v>31</v>
      </c>
      <c r="H3" s="5" t="s">
        <v>32</v>
      </c>
      <c r="I3" s="5" t="s">
        <v>31</v>
      </c>
      <c r="J3" s="5" t="s">
        <v>32</v>
      </c>
      <c r="K3" s="5" t="s">
        <v>31</v>
      </c>
      <c r="L3" s="5" t="s">
        <v>32</v>
      </c>
      <c r="M3" s="5" t="s">
        <v>31</v>
      </c>
      <c r="N3" s="5" t="s">
        <v>32</v>
      </c>
      <c r="O3" s="5" t="s">
        <v>31</v>
      </c>
      <c r="P3" s="5" t="s">
        <v>32</v>
      </c>
      <c r="Q3" s="5" t="s">
        <v>31</v>
      </c>
      <c r="R3" s="5" t="s">
        <v>32</v>
      </c>
      <c r="S3" s="5" t="s">
        <v>31</v>
      </c>
      <c r="T3" s="5" t="s">
        <v>32</v>
      </c>
      <c r="U3" s="5" t="s">
        <v>31</v>
      </c>
      <c r="V3" s="5" t="s">
        <v>32</v>
      </c>
      <c r="W3" s="5" t="s">
        <v>31</v>
      </c>
      <c r="X3" s="5" t="s">
        <v>32</v>
      </c>
      <c r="Y3" s="5" t="s">
        <v>31</v>
      </c>
      <c r="Z3" s="5" t="s">
        <v>32</v>
      </c>
      <c r="AA3" s="5" t="s">
        <v>31</v>
      </c>
      <c r="AB3" s="5" t="s">
        <v>32</v>
      </c>
    </row>
    <row r="4" ht="27" customHeight="1" spans="1:28">
      <c r="A4" s="8" t="s">
        <v>62</v>
      </c>
      <c r="B4" s="9" t="s">
        <v>63</v>
      </c>
      <c r="C4" s="9"/>
      <c r="D4" s="10"/>
      <c r="E4" s="10"/>
      <c r="F4" s="10"/>
      <c r="G4" s="9"/>
      <c r="H4" s="10"/>
      <c r="I4" s="10"/>
      <c r="J4" s="10"/>
      <c r="K4" s="9"/>
      <c r="L4" s="10"/>
      <c r="M4" s="10"/>
      <c r="N4" s="10"/>
      <c r="O4" s="9"/>
      <c r="P4" s="10"/>
      <c r="Q4" s="10"/>
      <c r="R4" s="10"/>
      <c r="S4" s="9"/>
      <c r="T4" s="10"/>
      <c r="U4" s="10"/>
      <c r="V4" s="10"/>
      <c r="W4" s="9"/>
      <c r="X4" s="10"/>
      <c r="Y4" s="10"/>
      <c r="Z4" s="10"/>
      <c r="AA4" s="11"/>
      <c r="AB4" s="11"/>
    </row>
    <row r="5" ht="27" customHeight="1" spans="1:28">
      <c r="A5" s="12"/>
      <c r="B5" s="9" t="s">
        <v>64</v>
      </c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9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ht="27" customHeight="1" spans="1:28">
      <c r="A6" s="12"/>
      <c r="B6" s="9" t="s">
        <v>65</v>
      </c>
      <c r="C6" s="9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9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ht="27" customHeight="1" spans="1:28">
      <c r="A7" s="12"/>
      <c r="B7" s="9" t="s">
        <v>66</v>
      </c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9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ht="27" customHeight="1" spans="1:28">
      <c r="A8" s="12"/>
      <c r="B8" s="9" t="s">
        <v>67</v>
      </c>
      <c r="C8" s="9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9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ht="27" customHeight="1" spans="1:28">
      <c r="A9" s="12"/>
      <c r="B9" s="9" t="s">
        <v>68</v>
      </c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9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ht="27" customHeight="1" spans="1:28">
      <c r="A10" s="12"/>
      <c r="B10" s="9" t="s">
        <v>69</v>
      </c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9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ht="27" customHeight="1" spans="1:28">
      <c r="A11" s="13"/>
      <c r="B11" s="9" t="s">
        <v>70</v>
      </c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9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ht="27" customHeight="1" spans="1:28">
      <c r="A12" s="9" t="s">
        <v>71</v>
      </c>
      <c r="B12" s="9" t="s">
        <v>72</v>
      </c>
      <c r="C12" s="9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9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ht="27" customHeight="1" spans="1:28">
      <c r="A13" s="9"/>
      <c r="B13" s="9" t="s">
        <v>73</v>
      </c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9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ht="27" customHeight="1" spans="1:28">
      <c r="A14" s="9"/>
      <c r="B14" s="9" t="s">
        <v>74</v>
      </c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9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ht="27" customHeight="1" spans="1:28">
      <c r="A15" s="9"/>
      <c r="B15" s="9" t="s">
        <v>75</v>
      </c>
      <c r="C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9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ht="27" customHeight="1" spans="1:28">
      <c r="A16" s="9"/>
      <c r="B16" s="9" t="s">
        <v>76</v>
      </c>
      <c r="C16" s="9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9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ht="27" customHeight="1" spans="1:28">
      <c r="A17" s="9"/>
      <c r="B17" s="9" t="s">
        <v>77</v>
      </c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9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ht="27" customHeight="1" spans="1:28">
      <c r="A18" s="9"/>
      <c r="B18" s="9" t="s">
        <v>78</v>
      </c>
      <c r="C18" s="9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9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ht="27" customHeight="1" spans="1:28">
      <c r="A19" s="9"/>
      <c r="B19" s="9" t="s">
        <v>79</v>
      </c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9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ht="27" customHeight="1" spans="1:28">
      <c r="A20" s="9"/>
      <c r="B20" s="9" t="s">
        <v>80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</sheetData>
  <mergeCells count="17">
    <mergeCell ref="A1:AB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4:A11"/>
    <mergeCell ref="A12:A20"/>
    <mergeCell ref="A2:B3"/>
  </mergeCells>
  <pageMargins left="0.75" right="0.75" top="1" bottom="1" header="0.5" footer="0.5"/>
  <pageSetup paperSize="9" scale="9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填写说明</vt:lpstr>
      <vt:lpstr>商写类</vt:lpstr>
      <vt:lpstr>酒店类</vt:lpstr>
      <vt:lpstr>保险类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xinjun</dc:creator>
  <cp:lastModifiedBy>谨言</cp:lastModifiedBy>
  <dcterms:created xsi:type="dcterms:W3CDTF">2024-01-09T03:44:00Z</dcterms:created>
  <dcterms:modified xsi:type="dcterms:W3CDTF">2026-05-08T01:50:33Z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8723C7C5758D4BE5A4885F36F8ABE0EB_13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