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790" windowHeight="12255" activeTab="1"/>
  </bookViews>
  <sheets>
    <sheet name="填写说明" sheetId="4" r:id="rId1"/>
    <sheet name="写字楼和商业综合体类" sheetId="2" r:id="rId2"/>
    <sheet name="酒店类" sheetId="1" r:id="rId3"/>
    <sheet name="保险类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黄伟</author>
  </authors>
  <commentList>
    <comment ref="A7" authorId="0">
      <text>
        <r>
          <rPr>
            <b/>
            <sz val="9"/>
            <rFont val="宋体"/>
            <charset val="134"/>
          </rPr>
          <t>黄伟:</t>
        </r>
        <r>
          <rPr>
            <sz val="9"/>
            <rFont val="宋体"/>
            <charset val="134"/>
          </rPr>
          <t xml:space="preserve">
入住的房间数量</t>
        </r>
      </text>
    </comment>
  </commentList>
</comments>
</file>

<file path=xl/sharedStrings.xml><?xml version="1.0" encoding="utf-8"?>
<sst xmlns="http://schemas.openxmlformats.org/spreadsheetml/2006/main" count="198" uniqueCount="81">
  <si>
    <t>填写说明</t>
  </si>
  <si>
    <t>1、</t>
  </si>
  <si>
    <t>子公司类别</t>
  </si>
  <si>
    <t>写字楼类：中言地产、钱隆商管、君康凯丹</t>
  </si>
  <si>
    <t>商业综合体类：重庆宜新、君康春夏秋冬</t>
  </si>
  <si>
    <t>酒店类：伯豪瑞庭、瑞尔酒店</t>
  </si>
  <si>
    <t>保险类：盛唐融信、君康经纪</t>
  </si>
  <si>
    <t>工程类：君康联谊、君康联杰</t>
  </si>
  <si>
    <t>按分类填写对应表格</t>
  </si>
  <si>
    <t>2、</t>
  </si>
  <si>
    <t>指标说明</t>
  </si>
  <si>
    <t>计划列是指子公司根据自身经营计划安排分解到月的目标，受统计口径影响无法分解的计划值可不填写</t>
  </si>
  <si>
    <t>达成列是指当月实际达成情况</t>
  </si>
  <si>
    <t>3、</t>
  </si>
  <si>
    <t>表格结构不得修改</t>
  </si>
  <si>
    <t>精确到两位小数</t>
  </si>
  <si>
    <t>2026年各月指标达成统计表</t>
  </si>
  <si>
    <t>项目            年月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</si>
  <si>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</si>
  <si>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</si>
  <si>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</si>
  <si>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</si>
  <si>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</si>
  <si>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</si>
  <si>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</si>
  <si>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</si>
  <si>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</si>
  <si>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</si>
  <si>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</si>
  <si>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</si>
  <si>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</si>
  <si>
    <t>计划</t>
  </si>
  <si>
    <t>达成</t>
  </si>
  <si>
    <t>整体情况</t>
  </si>
  <si>
    <t>期初面积</t>
  </si>
  <si>
    <t>签约面积</t>
  </si>
  <si>
    <t>平均租金</t>
  </si>
  <si>
    <t>-</t>
  </si>
  <si>
    <t>退租面积</t>
  </si>
  <si>
    <t>月末面积</t>
  </si>
  <si>
    <t>合作渠道</t>
  </si>
  <si>
    <t>带客数量</t>
  </si>
  <si>
    <t>成交数量</t>
  </si>
  <si>
    <t>成交周期</t>
  </si>
  <si>
    <t>转化率</t>
  </si>
  <si>
    <t>自有招商</t>
  </si>
  <si>
    <t>续租情况</t>
  </si>
  <si>
    <t>到期面积</t>
  </si>
  <si>
    <t>续签面积</t>
  </si>
  <si>
    <t>2024年各月指标达成统计表</t>
  </si>
  <si>
    <t>项目              年月</t>
  </si>
  <si>
    <t>协议客户</t>
  </si>
  <si>
    <t>签约数量</t>
  </si>
  <si>
    <t>新签数量</t>
  </si>
  <si>
    <t>激活率</t>
  </si>
  <si>
    <t>客户情况</t>
  </si>
  <si>
    <t>旅行团</t>
  </si>
  <si>
    <t>平台散客</t>
  </si>
  <si>
    <t>营销活动</t>
  </si>
  <si>
    <t>投放数量</t>
  </si>
  <si>
    <t>受众数量</t>
  </si>
  <si>
    <t>项目             年月</t>
  </si>
  <si>
    <t>人力</t>
  </si>
  <si>
    <t>期初人力</t>
  </si>
  <si>
    <t>当月入职</t>
  </si>
  <si>
    <t>当月离职</t>
  </si>
  <si>
    <t>当月净增</t>
  </si>
  <si>
    <t>月末人力</t>
  </si>
  <si>
    <t>平均人力</t>
  </si>
  <si>
    <t>开单人数</t>
  </si>
  <si>
    <t>活动率</t>
  </si>
  <si>
    <t>产能</t>
  </si>
  <si>
    <t>承保新单规模保费</t>
  </si>
  <si>
    <t>承保期交规模保费</t>
  </si>
  <si>
    <t>应收13月续期保费</t>
  </si>
  <si>
    <t>实收13月续期保费</t>
  </si>
  <si>
    <t>应收25月续期保费</t>
  </si>
  <si>
    <t>实收25月续期保费</t>
  </si>
  <si>
    <t>承保件数</t>
  </si>
  <si>
    <t>件均保费</t>
  </si>
  <si>
    <t>人均保费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</si>
</sst>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距更纱黑体 SC"/>
      <charset val="134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1"/>
      <color theme="0"/>
      <name val="微软雅黑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sz val="11"/>
      <color theme="0"/>
      <name val="等距更纱黑体 SC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7" borderId="15" applyNumberFormat="0" applyAlignment="0" applyProtection="0">
      <alignment vertical="center"/>
    </xf>
    <xf numFmtId="0" fontId="18" fillId="7" borderId="14" applyNumberFormat="0" applyAlignment="0" applyProtection="0">
      <alignment vertical="center"/>
    </xf>
    <xf numFmtId="0" fontId="19" fillId="8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0" fontId="4" fillId="0" borderId="3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0" fontId="0" fillId="3" borderId="0" xfId="0" applyFill="1">
      <alignment vertical="center"/>
    </xf>
    <xf numFmtId="0" fontId="6" fillId="4" borderId="0" xfId="0" applyFont="1" applyFill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 17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D9D9D9"/>
      <color rgb="00C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13"/>
  <sheetViews>
    <sheetView workbookViewId="0">
      <selection activeCell="B10" sqref="B10"/>
    </sheetView>
  </sheetViews>
  <sheetFormatPr defaultColWidth="9" defaultRowHeight="29.1" customHeight="1" outlineLevelCol="1"/>
  <cols>
    <col min="1" max="1" width="11.125" style="22" customWidth="1"/>
    <col min="2" max="16384" width="9" style="22"/>
  </cols>
  <sheetData>
    <row r="1" customHeight="1" spans="1:2">
      <c r="A1" s="23" t="s">
        <v>0</v>
      </c>
    </row>
    <row r="2" customHeight="1" spans="1:2">
      <c r="A2" s="24" t="s">
        <v>1</v>
      </c>
      <c r="B2" s="22" t="s">
        <v>2</v>
      </c>
    </row>
    <row r="3" ht="13.5" customHeight="1" spans="1:2">
      <c r="A3" s="24"/>
      <c r="B3" s="25" t="s">
        <v>3</v>
      </c>
    </row>
    <row r="4" customHeight="1" spans="1:2">
      <c r="A4" s="24"/>
      <c r="B4" s="22" t="s">
        <v>4</v>
      </c>
    </row>
    <row r="5" customHeight="1" spans="1:2">
      <c r="A5" s="24"/>
      <c r="B5" s="22" t="s">
        <v>5</v>
      </c>
    </row>
    <row r="6" customHeight="1" spans="1:2">
      <c r="A6" s="24"/>
      <c r="B6" s="22" t="s">
        <v>6</v>
      </c>
    </row>
    <row r="7" customHeight="1" spans="1:2">
      <c r="A7" s="24"/>
      <c r="B7" s="22" t="s">
        <v>7</v>
      </c>
    </row>
    <row r="8" customHeight="1" spans="1:2">
      <c r="A8" s="24"/>
      <c r="B8" s="22" t="s">
        <v>8</v>
      </c>
    </row>
    <row r="9" customHeight="1" spans="1:2">
      <c r="A9" s="24" t="s">
        <v>9</v>
      </c>
      <c r="B9" s="22" t="s">
        <v>10</v>
      </c>
    </row>
    <row r="10" customHeight="1" spans="1:2">
      <c r="A10" s="24"/>
      <c r="B10" s="22" t="s">
        <v>11</v>
      </c>
    </row>
    <row r="11" customHeight="1" spans="1:2">
      <c r="A11" s="24"/>
      <c r="B11" s="22" t="s">
        <v>12</v>
      </c>
    </row>
    <row r="12" customHeight="1" spans="1:2">
      <c r="A12" s="24" t="s">
        <v>13</v>
      </c>
      <c r="B12" s="22" t="s">
        <v>14</v>
      </c>
    </row>
    <row r="13" customHeight="1" spans="1:2">
      <c r="B13" s="22" t="s">
        <v>15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AB20"/>
  <sheetViews>
    <sheetView tabSelected="1" zoomScale="80" zoomScaleNormal="80" workbookViewId="0">
      <pane xSplit="2" ySplit="3" topLeftCell="C4" activePane="bottomRight" state="frozen"/>
      <selection/>
      <selection pane="topRight"/>
      <selection pane="bottomLeft"/>
      <selection pane="bottomRight" activeCell="A2" sqref="A2:B3"/>
    </sheetView>
  </sheetViews>
  <sheetFormatPr defaultColWidth="9" defaultRowHeight="30" customHeight="1"/>
  <cols>
    <col min="1" max="1" width="9" style="1" customWidth="1"/>
    <col min="2" max="2" width="13.25" style="1" customWidth="1"/>
    <col min="3" max="28" width="10.625" style="1" customWidth="1"/>
  </cols>
  <sheetData>
    <row r="1" customHeight="1" spans="1:28">
      <c r="A1" s="2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7" customHeight="1" spans="1:28">
      <c r="A2" s="14" t="s">
        <v>17</v>
      </c>
      <c r="B2" s="14"/>
      <c r="C2" s="5" t="s">
        <v>18</v>
      </c>
      <c r="D2" s="5"/>
      <c r="E2" s="5" t="s">
        <v>19</v>
      </c>
      <c r="F2" s="5"/>
      <c r="G2" s="5" t="s">
        <v>20</v>
      </c>
      <c r="H2" s="5"/>
      <c r="I2" s="5" t="s">
        <v>21</v>
      </c>
      <c r="J2" s="5"/>
      <c r="K2" s="5" t="s">
        <v>22</v>
      </c>
      <c r="L2" s="5"/>
      <c r="M2" s="5" t="s">
        <v>23</v>
      </c>
      <c r="N2" s="5"/>
      <c r="O2" s="5" t="s">
        <v>24</v>
      </c>
      <c r="P2" s="5"/>
      <c r="Q2" s="5" t="s">
        <v>25</v>
      </c>
      <c r="R2" s="5"/>
      <c r="S2" s="5" t="s">
        <v>26</v>
      </c>
      <c r="T2" s="5"/>
      <c r="U2" s="5" t="s">
        <v>27</v>
      </c>
      <c r="V2" s="5"/>
      <c r="W2" s="5" t="s">
        <v>28</v>
      </c>
      <c r="X2" s="5"/>
      <c r="Y2" s="5" t="s">
        <v>29</v>
      </c>
      <c r="Z2" s="5"/>
      <c r="AA2" s="5" t="s">
        <v>30</v>
      </c>
      <c r="AB2" s="5"/>
    </row>
    <row r="3" ht="27" customHeight="1" spans="1:28">
      <c r="A3" s="14"/>
      <c r="B3" s="14"/>
      <c r="C3" s="5" t="s">
        <v>31</v>
      </c>
      <c r="D3" s="5" t="s">
        <v>32</v>
      </c>
      <c r="E3" s="5" t="s">
        <v>31</v>
      </c>
      <c r="F3" s="5" t="s">
        <v>32</v>
      </c>
      <c r="G3" s="5" t="s">
        <v>31</v>
      </c>
      <c r="H3" s="5" t="s">
        <v>32</v>
      </c>
      <c r="I3" s="5" t="s">
        <v>31</v>
      </c>
      <c r="J3" s="5" t="s">
        <v>32</v>
      </c>
      <c r="K3" s="5" t="s">
        <v>31</v>
      </c>
      <c r="L3" s="5" t="s">
        <v>32</v>
      </c>
      <c r="M3" s="5" t="s">
        <v>31</v>
      </c>
      <c r="N3" s="5" t="s">
        <v>32</v>
      </c>
      <c r="O3" s="5" t="s">
        <v>31</v>
      </c>
      <c r="P3" s="5" t="s">
        <v>32</v>
      </c>
      <c r="Q3" s="5" t="s">
        <v>31</v>
      </c>
      <c r="R3" s="5" t="s">
        <v>32</v>
      </c>
      <c r="S3" s="5" t="s">
        <v>31</v>
      </c>
      <c r="T3" s="5" t="s">
        <v>32</v>
      </c>
      <c r="U3" s="5" t="s">
        <v>31</v>
      </c>
      <c r="V3" s="5" t="s">
        <v>32</v>
      </c>
      <c r="W3" s="5" t="s">
        <v>31</v>
      </c>
      <c r="X3" s="5" t="s">
        <v>32</v>
      </c>
      <c r="Y3" s="5" t="s">
        <v>31</v>
      </c>
      <c r="Z3" s="5" t="s">
        <v>32</v>
      </c>
      <c r="AA3" s="5" t="s">
        <v>31</v>
      </c>
      <c r="AB3" s="5" t="s">
        <v>32</v>
      </c>
    </row>
    <row r="4" ht="27" customHeight="1" spans="1:28">
      <c r="A4" s="9" t="s">
        <v>33</v>
      </c>
      <c r="B4" s="9" t="s">
        <v>34</v>
      </c>
      <c r="D4" s="9">
        <v>13442.88</v>
      </c>
      <c r="E4" s="9"/>
      <c r="F4" s="9">
        <v>13385.01</v>
      </c>
      <c r="G4" s="9"/>
      <c r="H4" s="9">
        <v>13703.13</v>
      </c>
      <c r="I4" s="9"/>
      <c r="J4" s="9">
        <v>13914.13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ht="27" customHeight="1" spans="1:28">
      <c r="A5" s="9"/>
      <c r="B5" s="9" t="s">
        <v>35</v>
      </c>
      <c r="C5" s="9">
        <v>320</v>
      </c>
      <c r="D5" s="9">
        <v>0</v>
      </c>
      <c r="E5" s="9">
        <v>200</v>
      </c>
      <c r="F5" s="9">
        <v>318.12</v>
      </c>
      <c r="G5" s="9">
        <v>300</v>
      </c>
      <c r="H5" s="9">
        <v>211</v>
      </c>
      <c r="I5" s="9"/>
      <c r="J5" s="9">
        <v>0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ht="27" customHeight="1" spans="1:28">
      <c r="A6" s="9"/>
      <c r="B6" s="9" t="s">
        <v>36</v>
      </c>
      <c r="C6" s="9">
        <v>1.43</v>
      </c>
      <c r="D6" s="9" t="s">
        <v>37</v>
      </c>
      <c r="E6" s="19">
        <v>1.43</v>
      </c>
      <c r="F6" s="19">
        <v>1.61</v>
      </c>
      <c r="G6" s="9">
        <v>1.43</v>
      </c>
      <c r="H6" s="9">
        <v>1.5</v>
      </c>
      <c r="I6" s="9">
        <v>1.43</v>
      </c>
      <c r="J6" s="9" t="s">
        <v>37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ht="27" customHeight="1" spans="1:28">
      <c r="A7" s="9"/>
      <c r="B7" s="9" t="s">
        <v>38</v>
      </c>
      <c r="C7" s="9"/>
      <c r="D7" s="9">
        <v>57.87</v>
      </c>
      <c r="E7" s="9"/>
      <c r="F7" s="9">
        <v>0</v>
      </c>
      <c r="G7" s="9"/>
      <c r="H7" s="9">
        <v>0</v>
      </c>
      <c r="I7" s="9"/>
      <c r="J7" s="9">
        <v>160.72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ht="27" customHeight="1" spans="1:28">
      <c r="A8" s="9"/>
      <c r="B8" s="9" t="s">
        <v>39</v>
      </c>
      <c r="C8" s="9"/>
      <c r="D8" s="9">
        <f>D4+D5-D7</f>
        <v>13385.01</v>
      </c>
      <c r="E8" s="9"/>
      <c r="F8" s="9">
        <f>F4+F5-F7</f>
        <v>13703.13</v>
      </c>
      <c r="G8" s="9"/>
      <c r="H8" s="9">
        <f>H4+H5</f>
        <v>13914.13</v>
      </c>
      <c r="I8" s="9"/>
      <c r="J8" s="9">
        <f>J4-J7</f>
        <v>13753.41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ht="27" customHeight="1" spans="1:28">
      <c r="A9" s="9" t="s">
        <v>40</v>
      </c>
      <c r="B9" s="9" t="s">
        <v>41</v>
      </c>
      <c r="C9" s="9">
        <v>22</v>
      </c>
      <c r="D9" s="9">
        <v>8</v>
      </c>
      <c r="E9" s="9">
        <v>22</v>
      </c>
      <c r="F9" s="9">
        <v>16</v>
      </c>
      <c r="G9" s="9">
        <v>22</v>
      </c>
      <c r="H9" s="9">
        <v>14</v>
      </c>
      <c r="I9" s="9">
        <v>22</v>
      </c>
      <c r="J9" s="9">
        <v>16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ht="27" customHeight="1" spans="1:28">
      <c r="A10" s="9"/>
      <c r="B10" s="9" t="s">
        <v>42</v>
      </c>
      <c r="C10" s="9"/>
      <c r="D10" s="9">
        <v>0</v>
      </c>
      <c r="E10" s="9"/>
      <c r="F10" s="9">
        <v>3</v>
      </c>
      <c r="G10" s="9"/>
      <c r="H10" s="9">
        <v>2</v>
      </c>
      <c r="I10" s="9"/>
      <c r="J10" s="9">
        <v>0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ht="29.1" customHeight="1" spans="1:28">
      <c r="A11" s="9"/>
      <c r="B11" s="9" t="s">
        <v>35</v>
      </c>
      <c r="C11" s="9"/>
      <c r="D11" s="9">
        <v>0</v>
      </c>
      <c r="E11" s="9"/>
      <c r="F11" s="9">
        <v>318.12</v>
      </c>
      <c r="G11" s="9"/>
      <c r="H11" s="9">
        <v>211</v>
      </c>
      <c r="I11" s="9"/>
      <c r="J11" s="9">
        <v>0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ht="27" customHeight="1" spans="1:28">
      <c r="A12" s="9"/>
      <c r="B12" s="9" t="s">
        <v>43</v>
      </c>
      <c r="C12" s="9"/>
      <c r="D12" s="9" t="s">
        <v>37</v>
      </c>
      <c r="E12" s="9"/>
      <c r="F12" s="9">
        <v>35</v>
      </c>
      <c r="G12" s="9"/>
      <c r="H12" s="9">
        <v>26</v>
      </c>
      <c r="I12" s="9"/>
      <c r="J12" s="9" t="s">
        <v>37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ht="27" customHeight="1" spans="1:28">
      <c r="A13" s="9"/>
      <c r="B13" s="9" t="s">
        <v>44</v>
      </c>
      <c r="C13" s="20"/>
      <c r="D13" s="20" t="s">
        <v>37</v>
      </c>
      <c r="E13" s="20"/>
      <c r="F13" s="20">
        <f>F10/F9</f>
        <v>0.1875</v>
      </c>
      <c r="G13" s="20"/>
      <c r="H13" s="20">
        <v>0.1429</v>
      </c>
      <c r="I13" s="20"/>
      <c r="J13" s="20" t="s">
        <v>37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ht="27" customHeight="1" spans="1:28">
      <c r="A14" s="9" t="s">
        <v>45</v>
      </c>
      <c r="B14" s="9" t="s">
        <v>41</v>
      </c>
      <c r="C14" s="9">
        <v>5</v>
      </c>
      <c r="D14" s="9">
        <v>0</v>
      </c>
      <c r="E14" s="9">
        <v>5</v>
      </c>
      <c r="F14" s="9">
        <v>0</v>
      </c>
      <c r="G14" s="9">
        <v>5</v>
      </c>
      <c r="H14" s="9">
        <v>0</v>
      </c>
      <c r="I14" s="9">
        <v>5</v>
      </c>
      <c r="J14" s="9">
        <v>0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ht="27" customHeight="1" spans="1:28">
      <c r="A15" s="9"/>
      <c r="B15" s="9" t="s">
        <v>42</v>
      </c>
      <c r="C15" s="9">
        <v>0.5</v>
      </c>
      <c r="D15" s="9">
        <v>0</v>
      </c>
      <c r="E15" s="9">
        <v>0.5</v>
      </c>
      <c r="F15" s="9">
        <v>0</v>
      </c>
      <c r="G15" s="9">
        <v>0.5</v>
      </c>
      <c r="H15" s="9">
        <v>0</v>
      </c>
      <c r="I15" s="9">
        <v>0.5</v>
      </c>
      <c r="J15" s="9">
        <v>0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ht="27" customHeight="1" spans="1:28">
      <c r="A16" s="9"/>
      <c r="B16" s="9" t="s">
        <v>35</v>
      </c>
      <c r="C16" s="9"/>
      <c r="D16" s="9">
        <v>0</v>
      </c>
      <c r="E16" s="9"/>
      <c r="F16" s="9">
        <v>0</v>
      </c>
      <c r="G16" s="9"/>
      <c r="H16" s="9">
        <v>0</v>
      </c>
      <c r="I16" s="9"/>
      <c r="J16" s="9">
        <v>0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ht="27" customHeight="1" spans="1:28">
      <c r="A17" s="9"/>
      <c r="B17" s="9" t="s">
        <v>43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ht="27" customHeight="1" spans="1:28">
      <c r="A18" s="9"/>
      <c r="B18" s="9" t="s">
        <v>44</v>
      </c>
      <c r="C18" s="21">
        <v>0.1</v>
      </c>
      <c r="D18" s="20"/>
      <c r="E18" s="21">
        <v>0.1</v>
      </c>
      <c r="F18" s="20"/>
      <c r="G18" s="21">
        <v>0.1</v>
      </c>
      <c r="H18" s="20"/>
      <c r="I18" s="21">
        <v>0.1</v>
      </c>
      <c r="J18" s="20"/>
      <c r="K18" s="21"/>
      <c r="L18" s="20"/>
      <c r="M18" s="21"/>
      <c r="N18" s="20"/>
      <c r="O18" s="21"/>
      <c r="P18" s="20"/>
      <c r="Q18" s="21"/>
      <c r="R18" s="20"/>
      <c r="S18" s="21"/>
      <c r="T18" s="20"/>
      <c r="U18" s="21"/>
      <c r="V18" s="20"/>
      <c r="W18" s="21"/>
      <c r="X18" s="20"/>
      <c r="Y18" s="21"/>
      <c r="Z18" s="20"/>
      <c r="AA18" s="20"/>
      <c r="AB18" s="9"/>
    </row>
    <row r="19" ht="27" customHeight="1" spans="1:28">
      <c r="A19" s="9" t="s">
        <v>46</v>
      </c>
      <c r="B19" s="9" t="s">
        <v>47</v>
      </c>
      <c r="C19" s="9"/>
      <c r="D19" s="9">
        <v>57.66</v>
      </c>
      <c r="E19" s="9"/>
      <c r="F19" s="9">
        <v>0</v>
      </c>
      <c r="G19" s="9"/>
      <c r="H19" s="9">
        <v>0</v>
      </c>
      <c r="I19" s="9"/>
      <c r="J19" s="9">
        <v>160.72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ht="27" customHeight="1" spans="1:28">
      <c r="A20" s="9"/>
      <c r="B20" s="9" t="s">
        <v>48</v>
      </c>
      <c r="C20" s="9"/>
      <c r="D20" s="9">
        <v>57.66</v>
      </c>
      <c r="E20" s="9"/>
      <c r="F20" s="9">
        <v>0</v>
      </c>
      <c r="G20" s="9"/>
      <c r="H20" s="9">
        <v>0</v>
      </c>
      <c r="I20" s="9"/>
      <c r="J20" s="9">
        <v>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</sheetData>
  <mergeCells count="19">
    <mergeCell ref="A1:AB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4:A8"/>
    <mergeCell ref="A9:A13"/>
    <mergeCell ref="A14:A18"/>
    <mergeCell ref="A19:A20"/>
    <mergeCell ref="A2:B3"/>
  </mergeCells>
  <pageMargins left="0.75" right="0.75" top="1" bottom="1" header="0.5" footer="0.5"/>
  <pageSetup paperSize="9" scale="44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A1:AB13"/>
  <sheetViews>
    <sheetView workbookViewId="0">
      <selection activeCell="D10" sqref="D10"/>
    </sheetView>
  </sheetViews>
  <sheetFormatPr defaultColWidth="9" defaultRowHeight="27.95" customHeight="1"/>
  <cols>
    <col min="1" max="1" width="9" style="1"/>
    <col min="2" max="2" width="9.5" style="1" customWidth="1"/>
    <col min="3" max="28" width="10.625" style="1" customWidth="1"/>
    <col min="29" max="16384" width="9" style="1"/>
  </cols>
  <sheetData>
    <row r="1" customHeight="1" spans="1:28">
      <c r="A1" s="2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7" customHeight="1" spans="1:28">
      <c r="A2" s="14" t="s">
        <v>50</v>
      </c>
      <c r="B2" s="14"/>
      <c r="C2" s="5" t="s">
        <v>18</v>
      </c>
      <c r="D2" s="5"/>
      <c r="E2" s="5" t="s">
        <v>19</v>
      </c>
      <c r="F2" s="5"/>
      <c r="G2" s="5" t="s">
        <v>20</v>
      </c>
      <c r="H2" s="5"/>
      <c r="I2" s="5" t="s">
        <v>21</v>
      </c>
      <c r="J2" s="5"/>
      <c r="K2" s="5" t="s">
        <v>22</v>
      </c>
      <c r="L2" s="5"/>
      <c r="M2" s="5" t="s">
        <v>23</v>
      </c>
      <c r="N2" s="5"/>
      <c r="O2" s="5" t="s">
        <v>24</v>
      </c>
      <c r="P2" s="5"/>
      <c r="Q2" s="5" t="s">
        <v>25</v>
      </c>
      <c r="R2" s="5"/>
      <c r="S2" s="5" t="s">
        <v>26</v>
      </c>
      <c r="T2" s="5"/>
      <c r="U2" s="5" t="s">
        <v>27</v>
      </c>
      <c r="V2" s="5"/>
      <c r="W2" s="5" t="s">
        <v>28</v>
      </c>
      <c r="X2" s="5"/>
      <c r="Y2" s="5" t="s">
        <v>29</v>
      </c>
      <c r="Z2" s="5"/>
      <c r="AA2" s="5" t="s">
        <v>30</v>
      </c>
      <c r="AB2" s="5"/>
    </row>
    <row r="3" ht="27" customHeight="1" spans="1:28">
      <c r="A3" s="14"/>
      <c r="B3" s="14"/>
      <c r="C3" s="5" t="s">
        <v>31</v>
      </c>
      <c r="D3" s="5" t="s">
        <v>32</v>
      </c>
      <c r="E3" s="5" t="s">
        <v>31</v>
      </c>
      <c r="F3" s="5" t="s">
        <v>32</v>
      </c>
      <c r="G3" s="5" t="s">
        <v>31</v>
      </c>
      <c r="H3" s="5" t="s">
        <v>32</v>
      </c>
      <c r="I3" s="5" t="s">
        <v>31</v>
      </c>
      <c r="J3" s="5" t="s">
        <v>32</v>
      </c>
      <c r="K3" s="5" t="s">
        <v>31</v>
      </c>
      <c r="L3" s="5" t="s">
        <v>32</v>
      </c>
      <c r="M3" s="5" t="s">
        <v>31</v>
      </c>
      <c r="N3" s="5" t="s">
        <v>32</v>
      </c>
      <c r="O3" s="5" t="s">
        <v>31</v>
      </c>
      <c r="P3" s="5" t="s">
        <v>32</v>
      </c>
      <c r="Q3" s="5" t="s">
        <v>31</v>
      </c>
      <c r="R3" s="5" t="s">
        <v>32</v>
      </c>
      <c r="S3" s="5" t="s">
        <v>31</v>
      </c>
      <c r="T3" s="5" t="s">
        <v>32</v>
      </c>
      <c r="U3" s="5" t="s">
        <v>31</v>
      </c>
      <c r="V3" s="5" t="s">
        <v>32</v>
      </c>
      <c r="W3" s="5" t="s">
        <v>31</v>
      </c>
      <c r="X3" s="5" t="s">
        <v>32</v>
      </c>
      <c r="Y3" s="5" t="s">
        <v>31</v>
      </c>
      <c r="Z3" s="5" t="s">
        <v>32</v>
      </c>
      <c r="AA3" s="5" t="s">
        <v>31</v>
      </c>
      <c r="AB3" s="5" t="s">
        <v>32</v>
      </c>
    </row>
    <row r="4" ht="27" customHeight="1" spans="1:28">
      <c r="A4" s="15" t="s">
        <v>51</v>
      </c>
      <c r="B4" s="16" t="s">
        <v>52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ht="27" customHeight="1" spans="1:28">
      <c r="A5" s="17"/>
      <c r="B5" s="16" t="s">
        <v>53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t="27" customHeight="1" spans="1:28">
      <c r="A6" s="17"/>
      <c r="B6" s="16" t="s">
        <v>54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7" customHeight="1" spans="1:28">
      <c r="A7" s="15" t="s">
        <v>55</v>
      </c>
      <c r="B7" s="16" t="s">
        <v>51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ht="27" customHeight="1" spans="1:28">
      <c r="A8" s="17"/>
      <c r="B8" s="16" t="s">
        <v>56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ht="27" customHeight="1" spans="1:28">
      <c r="A9" s="18"/>
      <c r="B9" s="16" t="s">
        <v>57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ht="27" customHeight="1" spans="1:28">
      <c r="A10" s="15" t="s">
        <v>58</v>
      </c>
      <c r="B10" s="16" t="s">
        <v>59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ht="27" customHeight="1" spans="1:28">
      <c r="A11" s="17"/>
      <c r="B11" s="16" t="s">
        <v>60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ht="27" customHeight="1" spans="1:28">
      <c r="A12" s="17"/>
      <c r="B12" s="16" t="s">
        <v>42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ht="27" customHeight="1" spans="1:28">
      <c r="A13" s="18"/>
      <c r="B13" s="16" t="s">
        <v>44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</sheetData>
  <mergeCells count="18">
    <mergeCell ref="A1:AB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4:A6"/>
    <mergeCell ref="A7:A9"/>
    <mergeCell ref="A10:A13"/>
    <mergeCell ref="A2:B3"/>
  </mergeCells>
  <pageMargins left="0.75" right="0.75" top="1" bottom="1" header="0.5" footer="0.5"/>
  <pageSetup paperSize="9" scale="44" orientation="landscape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AB20"/>
  <sheetViews>
    <sheetView workbookViewId="0">
      <selection activeCell="B16" sqref="B16"/>
    </sheetView>
  </sheetViews>
  <sheetFormatPr defaultColWidth="9" defaultRowHeight="30" customHeight="1"/>
  <cols>
    <col min="1" max="1" width="9" style="1" customWidth="1"/>
    <col min="2" max="2" width="17.5" style="1" customWidth="1"/>
    <col min="3" max="28" width="10.625" style="1" customWidth="1"/>
    <col min="29" max="16384" width="9" style="1"/>
  </cols>
  <sheetData>
    <row r="1" customHeight="1" spans="1:28">
      <c r="A1" s="2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7" customHeight="1" spans="1:28">
      <c r="A2" s="3" t="s">
        <v>61</v>
      </c>
      <c r="B2" s="4"/>
      <c r="C2" s="5" t="s">
        <v>18</v>
      </c>
      <c r="D2" s="5"/>
      <c r="E2" s="5" t="s">
        <v>19</v>
      </c>
      <c r="F2" s="5"/>
      <c r="G2" s="5" t="s">
        <v>20</v>
      </c>
      <c r="H2" s="5"/>
      <c r="I2" s="5" t="s">
        <v>21</v>
      </c>
      <c r="J2" s="5"/>
      <c r="K2" s="5" t="s">
        <v>22</v>
      </c>
      <c r="L2" s="5"/>
      <c r="M2" s="5" t="s">
        <v>23</v>
      </c>
      <c r="N2" s="5"/>
      <c r="O2" s="5" t="s">
        <v>24</v>
      </c>
      <c r="P2" s="5"/>
      <c r="Q2" s="5" t="s">
        <v>25</v>
      </c>
      <c r="R2" s="5"/>
      <c r="S2" s="5" t="s">
        <v>26</v>
      </c>
      <c r="T2" s="5"/>
      <c r="U2" s="5" t="s">
        <v>27</v>
      </c>
      <c r="V2" s="5"/>
      <c r="W2" s="5" t="s">
        <v>28</v>
      </c>
      <c r="X2" s="5"/>
      <c r="Y2" s="5" t="s">
        <v>29</v>
      </c>
      <c r="Z2" s="5"/>
      <c r="AA2" s="5" t="s">
        <v>30</v>
      </c>
      <c r="AB2" s="5"/>
    </row>
    <row r="3" ht="27" customHeight="1" spans="1:28">
      <c r="A3" s="6"/>
      <c r="B3" s="7"/>
      <c r="C3" s="5" t="s">
        <v>31</v>
      </c>
      <c r="D3" s="5" t="s">
        <v>32</v>
      </c>
      <c r="E3" s="5" t="s">
        <v>31</v>
      </c>
      <c r="F3" s="5" t="s">
        <v>32</v>
      </c>
      <c r="G3" s="5" t="s">
        <v>31</v>
      </c>
      <c r="H3" s="5" t="s">
        <v>32</v>
      </c>
      <c r="I3" s="5" t="s">
        <v>31</v>
      </c>
      <c r="J3" s="5" t="s">
        <v>32</v>
      </c>
      <c r="K3" s="5" t="s">
        <v>31</v>
      </c>
      <c r="L3" s="5" t="s">
        <v>32</v>
      </c>
      <c r="M3" s="5" t="s">
        <v>31</v>
      </c>
      <c r="N3" s="5" t="s">
        <v>32</v>
      </c>
      <c r="O3" s="5" t="s">
        <v>31</v>
      </c>
      <c r="P3" s="5" t="s">
        <v>32</v>
      </c>
      <c r="Q3" s="5" t="s">
        <v>31</v>
      </c>
      <c r="R3" s="5" t="s">
        <v>32</v>
      </c>
      <c r="S3" s="5" t="s">
        <v>31</v>
      </c>
      <c r="T3" s="5" t="s">
        <v>32</v>
      </c>
      <c r="U3" s="5" t="s">
        <v>31</v>
      </c>
      <c r="V3" s="5" t="s">
        <v>32</v>
      </c>
      <c r="W3" s="5" t="s">
        <v>31</v>
      </c>
      <c r="X3" s="5" t="s">
        <v>32</v>
      </c>
      <c r="Y3" s="5" t="s">
        <v>31</v>
      </c>
      <c r="Z3" s="5" t="s">
        <v>32</v>
      </c>
      <c r="AA3" s="5" t="s">
        <v>31</v>
      </c>
      <c r="AB3" s="5" t="s">
        <v>32</v>
      </c>
    </row>
    <row r="4" ht="27" customHeight="1" spans="1:28">
      <c r="A4" s="8" t="s">
        <v>62</v>
      </c>
      <c r="B4" s="9" t="s">
        <v>63</v>
      </c>
      <c r="C4" s="9"/>
      <c r="D4" s="10"/>
      <c r="E4" s="10"/>
      <c r="F4" s="10"/>
      <c r="G4" s="9"/>
      <c r="H4" s="10"/>
      <c r="I4" s="10"/>
      <c r="J4" s="10"/>
      <c r="K4" s="9"/>
      <c r="L4" s="10"/>
      <c r="M4" s="10"/>
      <c r="N4" s="10"/>
      <c r="O4" s="9"/>
      <c r="P4" s="10"/>
      <c r="Q4" s="10"/>
      <c r="R4" s="10"/>
      <c r="S4" s="9"/>
      <c r="T4" s="10"/>
      <c r="U4" s="10"/>
      <c r="V4" s="10"/>
      <c r="W4" s="9"/>
      <c r="X4" s="10"/>
      <c r="Y4" s="10"/>
      <c r="Z4" s="10"/>
      <c r="AA4" s="11"/>
      <c r="AB4" s="11"/>
    </row>
    <row r="5" ht="27" customHeight="1" spans="1:28">
      <c r="A5" s="12"/>
      <c r="B5" s="9" t="s">
        <v>64</v>
      </c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9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ht="27" customHeight="1" spans="1:28">
      <c r="A6" s="12"/>
      <c r="B6" s="9" t="s">
        <v>65</v>
      </c>
      <c r="C6" s="9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9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ht="27" customHeight="1" spans="1:28">
      <c r="A7" s="12"/>
      <c r="B7" s="9" t="s">
        <v>66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9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ht="27" customHeight="1" spans="1:28">
      <c r="A8" s="12"/>
      <c r="B8" s="9" t="s">
        <v>67</v>
      </c>
      <c r="C8" s="9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9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ht="27" customHeight="1" spans="1:28">
      <c r="A9" s="12"/>
      <c r="B9" s="9" t="s">
        <v>68</v>
      </c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9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ht="27" customHeight="1" spans="1:28">
      <c r="A10" s="12"/>
      <c r="B10" s="9" t="s">
        <v>69</v>
      </c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9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ht="27" customHeight="1" spans="1:28">
      <c r="A11" s="13"/>
      <c r="B11" s="9" t="s">
        <v>70</v>
      </c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9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ht="27" customHeight="1" spans="1:28">
      <c r="A12" s="9" t="s">
        <v>71</v>
      </c>
      <c r="B12" s="9" t="s">
        <v>72</v>
      </c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9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ht="27" customHeight="1" spans="1:28">
      <c r="A13" s="9"/>
      <c r="B13" s="9" t="s">
        <v>73</v>
      </c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9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ht="27" customHeight="1" spans="1:28">
      <c r="A14" s="9"/>
      <c r="B14" s="9" t="s">
        <v>74</v>
      </c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9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ht="27" customHeight="1" spans="1:28">
      <c r="A15" s="9"/>
      <c r="B15" s="9" t="s">
        <v>75</v>
      </c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9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ht="27" customHeight="1" spans="1:28">
      <c r="A16" s="9"/>
      <c r="B16" s="9" t="s">
        <v>76</v>
      </c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9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ht="27" customHeight="1" spans="1:28">
      <c r="A17" s="9"/>
      <c r="B17" s="9" t="s">
        <v>77</v>
      </c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9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ht="27" customHeight="1" spans="1:28">
      <c r="A18" s="9"/>
      <c r="B18" s="9" t="s">
        <v>78</v>
      </c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9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ht="27" customHeight="1" spans="1:28">
      <c r="A19" s="9"/>
      <c r="B19" s="9" t="s">
        <v>79</v>
      </c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9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ht="27" customHeight="1" spans="1:28">
      <c r="A20" s="9"/>
      <c r="B20" s="9" t="s">
        <v>80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</sheetData>
  <mergeCells count="17">
    <mergeCell ref="A1:AB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4:A11"/>
    <mergeCell ref="A12:A20"/>
    <mergeCell ref="A2:B3"/>
  </mergeCells>
  <pageMargins left="0.75" right="0.75" top="1" bottom="1" header="0.5" footer="0.5"/>
  <pageSetup paperSize="9" scale="43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填写说明</vt:lpstr>
      <vt:lpstr>写字楼和商业综合体类</vt:lpstr>
      <vt:lpstr>酒店类</vt:lpstr>
      <vt:lpstr>保险类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xinjun</dc:creator>
  <cp:lastModifiedBy>PLAN  B</cp:lastModifiedBy>
  <dcterms:created xsi:type="dcterms:W3CDTF">2024-01-09T03:44:00Z</dcterms:created>
  <dcterms:modified xsi:type="dcterms:W3CDTF">2026-05-07T06:34:47Z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EBD90208785A4EC6BFC7D927A481AE47_13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