
<file path=[Content_Types].xml><?xml version="1.0" encoding="utf-8"?>
<Types xmlns="http://schemas.openxmlformats.org/package/2006/content-types">
  <Default Extension="xml" ContentType="application/xml"/>
  <Default Extension="vml" ContentType="application/vnd.openxmlformats-officedocument.vmlDrawing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charts/chart29.xml" ContentType="application/vnd.openxmlformats-officedocument.drawingml.chart+xml"/>
  <Override PartName="/xl/charts/chart3.xml" ContentType="application/vnd.openxmlformats-officedocument.drawingml.chart+xml"/>
  <Override PartName="/xl/charts/chart30.xml" ContentType="application/vnd.openxmlformats-officedocument.drawingml.chart+xml"/>
  <Override PartName="/xl/charts/chart31.xml" ContentType="application/vnd.openxmlformats-officedocument.drawingml.chart+xml"/>
  <Override PartName="/xl/charts/chart32.xml" ContentType="application/vnd.openxmlformats-officedocument.drawingml.chart+xml"/>
  <Override PartName="/xl/charts/chart33.xml" ContentType="application/vnd.openxmlformats-officedocument.drawingml.chart+xml"/>
  <Override PartName="/xl/charts/chart34.xml" ContentType="application/vnd.openxmlformats-officedocument.drawingml.chart+xml"/>
  <Override PartName="/xl/charts/chart35.xml" ContentType="application/vnd.openxmlformats-officedocument.drawingml.chart+xml"/>
  <Override PartName="/xl/charts/chart36.xml" ContentType="application/vnd.openxmlformats-officedocument.drawingml.chart+xml"/>
  <Override PartName="/xl/charts/chart37.xml" ContentType="application/vnd.openxmlformats-officedocument.drawingml.chart+xml"/>
  <Override PartName="/xl/charts/chart38.xml" ContentType="application/vnd.openxmlformats-officedocument.drawingml.chart+xml"/>
  <Override PartName="/xl/charts/chart39.xml" ContentType="application/vnd.openxmlformats-officedocument.drawingml.chart+xml"/>
  <Override PartName="/xl/charts/chart4.xml" ContentType="application/vnd.openxmlformats-officedocument.drawingml.chart+xml"/>
  <Override PartName="/xl/charts/chart40.xml" ContentType="application/vnd.openxmlformats-officedocument.drawingml.chart+xml"/>
  <Override PartName="/xl/charts/chart41.xml" ContentType="application/vnd.openxmlformats-officedocument.drawingml.chart+xml"/>
  <Override PartName="/xl/charts/chart42.xml" ContentType="application/vnd.openxmlformats-officedocument.drawingml.chart+xml"/>
  <Override PartName="/xl/charts/chart43.xml" ContentType="application/vnd.openxmlformats-officedocument.drawingml.chart+xml"/>
  <Override PartName="/xl/charts/chart44.xml" ContentType="application/vnd.openxmlformats-officedocument.drawingml.chart+xml"/>
  <Override PartName="/xl/charts/chart45.xml" ContentType="application/vnd.openxmlformats-officedocument.drawingml.chart+xml"/>
  <Override PartName="/xl/charts/chart46.xml" ContentType="application/vnd.openxmlformats-officedocument.drawingml.chart+xml"/>
  <Override PartName="/xl/charts/chart47.xml" ContentType="application/vnd.openxmlformats-officedocument.drawingml.chart+xml"/>
  <Override PartName="/xl/charts/chart48.xml" ContentType="application/vnd.openxmlformats-officedocument.drawingml.chart+xml"/>
  <Override PartName="/xl/charts/chart49.xml" ContentType="application/vnd.openxmlformats-officedocument.drawingml.chart+xml"/>
  <Override PartName="/xl/charts/chart5.xml" ContentType="application/vnd.openxmlformats-officedocument.drawingml.chart+xml"/>
  <Override PartName="/xl/charts/chart50.xml" ContentType="application/vnd.openxmlformats-officedocument.drawingml.chart+xml"/>
  <Override PartName="/xl/charts/chart51.xml" ContentType="application/vnd.openxmlformats-officedocument.drawingml.chart+xml"/>
  <Override PartName="/xl/charts/chart52.xml" ContentType="application/vnd.openxmlformats-officedocument.drawingml.chart+xml"/>
  <Override PartName="/xl/charts/chart53.xml" ContentType="application/vnd.openxmlformats-officedocument.drawingml.chart+xml"/>
  <Override PartName="/xl/charts/chart54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theme/themeOverride1.xml" ContentType="application/vnd.openxmlformats-officedocument.themeOverride+xml"/>
  <Override PartName="/xl/theme/themeOverride2.xml" ContentType="application/vnd.openxmlformats-officedocument.themeOverride+xml"/>
  <Override PartName="/xl/theme/themeOverride3.xml" ContentType="application/vnd.openxmlformats-officedocument.themeOverride+xml"/>
  <Override PartName="/xl/theme/themeOverride4.xml" ContentType="application/vnd.openxmlformats-officedocument.themeOverride+xml"/>
  <Override PartName="/xl/theme/themeOverride5.xml" ContentType="application/vnd.openxmlformats-officedocument.themeOverrid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 updateLinks="always"/>
  <bookViews>
    <workbookView windowWidth="25714" windowHeight="13234" tabRatio="925" firstSheet="3" activeTab="8"/>
  </bookViews>
  <sheets>
    <sheet name="配色及公式" sheetId="29" state="hidden" r:id="rId1"/>
    <sheet name="年度计划" sheetId="27" r:id="rId2"/>
    <sheet name="分解计划" sheetId="17" r:id="rId3"/>
    <sheet name="总指标历史分期" sheetId="32" r:id="rId4"/>
    <sheet name="营收历史分体分期" sheetId="38" r:id="rId5"/>
    <sheet name="Sheet2" sheetId="21" state="veryHidden" r:id="rId6"/>
    <sheet name="Sheet1" sheetId="20" state="veryHidden" r:id="rId7"/>
    <sheet name="管理建议" sheetId="37" r:id="rId8"/>
    <sheet name="填写页" sheetId="28" r:id="rId9"/>
    <sheet name="整体" sheetId="25" r:id="rId10"/>
    <sheet name="营收" sheetId="39" r:id="rId11"/>
    <sheet name="商写类" sheetId="33" r:id="rId12"/>
    <sheet name="酒店类" sheetId="34" r:id="rId13"/>
    <sheet name="保险类" sheetId="35" r:id="rId14"/>
    <sheet name="北京中言" sheetId="3" r:id="rId15"/>
    <sheet name="大连凯丹" sheetId="9" r:id="rId16"/>
    <sheet name="福建钱隆" sheetId="10" r:id="rId17"/>
    <sheet name="春夏秋冬" sheetId="11" r:id="rId18"/>
    <sheet name="重庆宜新" sheetId="12" r:id="rId19"/>
    <sheet name="伯豪瑞廷" sheetId="13" r:id="rId20"/>
    <sheet name="重庆瑞尔" sheetId="14" r:id="rId21"/>
    <sheet name="盛唐融信" sheetId="15" r:id="rId22"/>
    <sheet name="君康经纪" sheetId="16" r:id="rId23"/>
    <sheet name="北京联谊" sheetId="19" state="hidden" r:id="rId24"/>
    <sheet name="上海联杰" sheetId="18" state="hidden" r:id="rId25"/>
  </sheets>
  <definedNames>
    <definedName name="_xlnm._FilterDatabase" localSheetId="10" hidden="1">营收!$B$55:$E$66</definedName>
    <definedName name="______xlfn.COUNTIFS" hidden="1">#NAME?</definedName>
    <definedName name="_xlnm._FilterDatabase" localSheetId="4" hidden="1">营收历史分体分期!#REF!</definedName>
    <definedName name="_xlnm._FilterDatabase" localSheetId="3" hidden="1">总指标历史分期!#REF!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xinjun</author>
  </authors>
  <commentList>
    <comment ref="I20" authorId="0">
      <text>
        <r>
          <rPr>
            <b/>
            <sz val="9"/>
            <rFont val="宋体"/>
            <charset val="134"/>
          </rPr>
          <t>xinjun:</t>
        </r>
        <r>
          <rPr>
            <sz val="9"/>
            <rFont val="宋体"/>
            <charset val="134"/>
          </rPr>
          <t xml:space="preserve">
+销售房源收入177.71万元</t>
        </r>
      </text>
    </comment>
  </commentList>
</comments>
</file>

<file path=xl/sharedStrings.xml><?xml version="1.0" encoding="utf-8"?>
<sst xmlns="http://schemas.openxmlformats.org/spreadsheetml/2006/main" count="1636" uniqueCount="258">
  <si>
    <t>二元配色</t>
  </si>
  <si>
    <t>#FF3C3C</t>
  </si>
  <si>
    <t>#070707</t>
  </si>
  <si>
    <t>#FE827E</t>
  </si>
  <si>
    <t>#82B9DF</t>
  </si>
  <si>
    <t>三元配色</t>
  </si>
  <si>
    <t>#4E86BD</t>
  </si>
  <si>
    <t>#F7913E</t>
  </si>
  <si>
    <t>#5AAA5B</t>
  </si>
  <si>
    <t>#D22229</t>
  </si>
  <si>
    <t>#3A5A8A</t>
  </si>
  <si>
    <t>#80A6B7</t>
  </si>
  <si>
    <t>四元配色</t>
  </si>
  <si>
    <t>#2A527A</t>
  </si>
  <si>
    <t>#43B396</t>
  </si>
  <si>
    <t>#E54E72</t>
  </si>
  <si>
    <t>#F3C36B</t>
  </si>
  <si>
    <t>#6B5B95</t>
  </si>
  <si>
    <t>#D64161</t>
  </si>
  <si>
    <t>#92A8D1</t>
  </si>
  <si>
    <t>#88B04B</t>
  </si>
  <si>
    <t>五元配色</t>
  </si>
  <si>
    <t>#03579A</t>
  </si>
  <si>
    <t>#F9C011</t>
  </si>
  <si>
    <t>#F3774B</t>
  </si>
  <si>
    <t>#60C6C9</t>
  </si>
  <si>
    <t>#505A6E</t>
  </si>
  <si>
    <t>六元配色</t>
  </si>
  <si>
    <t>#CBB57C</t>
  </si>
  <si>
    <t>#5CB8CD</t>
  </si>
  <si>
    <t>#4879B9</t>
  </si>
  <si>
    <t>#55AD76</t>
  </si>
  <si>
    <t>#C5575A</t>
  </si>
  <si>
    <t>#7673B5</t>
  </si>
  <si>
    <t>自定义配色</t>
  </si>
  <si>
    <t>C00000</t>
  </si>
  <si>
    <t>9CD2A4</t>
  </si>
  <si>
    <t>FAA61A</t>
  </si>
  <si>
    <t>B53B6D</t>
  </si>
  <si>
    <t>3EBAE9</t>
  </si>
  <si>
    <t>F5F5F5</t>
  </si>
  <si>
    <t>`=INDEX(INDIRECT("'"&amp;$B2&amp;"'!F2:Q2"),MATCH(9.99999999999999E+307,INDIRECT("'"&amp;$B2&amp;"'!F2:Q2")))</t>
  </si>
  <si>
    <t>`=MATCH("4月",C2:N2,0)   `取列序号</t>
  </si>
  <si>
    <t>`=INDIRECT("'"&amp;$B2&amp;"'!D2")</t>
  </si>
  <si>
    <t>`=MID(REPLACE(CELL("filename"),1,FIND("[",CELL("filename")),""),7,1)</t>
  </si>
  <si>
    <t>[【2025年1月】经营数据.xlsx]年度计划</t>
  </si>
  <si>
    <t xml:space="preserve">`_ * #,##0.00_ ;[红色]_ * -#,##0.00_ ;_ * "-"??_ ;_ @_ </t>
  </si>
  <si>
    <t xml:space="preserve">`_ * #,##0.00%_ ;[红色]_ * -#,##0.00%_ ;_ * "-"??_ ;_ @_ </t>
  </si>
  <si>
    <t>类别</t>
  </si>
  <si>
    <t>序号</t>
  </si>
  <si>
    <t>指标</t>
  </si>
  <si>
    <t>年度计划</t>
  </si>
  <si>
    <t>北京中言</t>
  </si>
  <si>
    <t>大连凯丹</t>
  </si>
  <si>
    <t>福建钱隆</t>
  </si>
  <si>
    <t>春夏秋冬</t>
  </si>
  <si>
    <t>重庆宜新</t>
  </si>
  <si>
    <t>伯豪瑞廷</t>
  </si>
  <si>
    <t>重庆瑞尔</t>
  </si>
  <si>
    <t>盛唐融信</t>
  </si>
  <si>
    <t>君康经纪</t>
  </si>
  <si>
    <r>
      <rPr>
        <b/>
        <sz val="9"/>
        <color rgb="FFFF0000"/>
        <rFont val="思源黑体 Medium"/>
        <charset val="134"/>
        <scheme val="minor"/>
      </rPr>
      <t>第</t>
    </r>
    <r>
      <rPr>
        <b/>
        <sz val="9"/>
        <color indexed="10"/>
        <rFont val="思源黑体 Medium"/>
        <charset val="134"/>
      </rPr>
      <t>5</t>
    </r>
    <r>
      <rPr>
        <b/>
        <sz val="9"/>
        <color rgb="FFFF0000"/>
        <rFont val="思源黑体 Medium"/>
        <charset val="134"/>
        <scheme val="minor"/>
      </rPr>
      <t>版预算</t>
    </r>
  </si>
  <si>
    <t>经营指标</t>
  </si>
  <si>
    <t>营业收入</t>
  </si>
  <si>
    <t>EBITDA/GOP/扣非利润</t>
  </si>
  <si>
    <t>经营活动净现金流</t>
  </si>
  <si>
    <t>财务指标</t>
  </si>
  <si>
    <t>经营支出小计</t>
  </si>
  <si>
    <t>固定费用</t>
  </si>
  <si>
    <t>4.1.1</t>
  </si>
  <si>
    <t>人力费用</t>
  </si>
  <si>
    <t>4.1.2</t>
  </si>
  <si>
    <t>日常费用</t>
  </si>
  <si>
    <t>变动费用</t>
  </si>
  <si>
    <t>4.2.1</t>
  </si>
  <si>
    <t>经营变动费用</t>
  </si>
  <si>
    <t>4.2.2</t>
  </si>
  <si>
    <t>营业成本</t>
  </si>
  <si>
    <t>资本性支出</t>
  </si>
  <si>
    <t>业务指标</t>
  </si>
  <si>
    <t>期末出租率/月均入住率</t>
  </si>
  <si>
    <t>回款率</t>
  </si>
  <si>
    <t>OTA网络评价</t>
  </si>
  <si>
    <t>规模保费</t>
  </si>
  <si>
    <t>13月继续率</t>
  </si>
  <si>
    <t>25月继续率</t>
  </si>
  <si>
    <t>#4CAF50</t>
  </si>
  <si>
    <t>#F44336</t>
  </si>
  <si>
    <r>
      <rPr>
        <sz val="9"/>
        <color theme="1"/>
        <rFont val="思源黑体 Medium"/>
        <charset val="134"/>
        <scheme val="minor"/>
      </rPr>
      <t>`=MATCH("4</t>
    </r>
    <r>
      <rPr>
        <sz val="9"/>
        <color indexed="63"/>
        <rFont val="思源黑体 Medium"/>
        <charset val="134"/>
        <scheme val="minor"/>
      </rPr>
      <t>月</t>
    </r>
    <r>
      <rPr>
        <sz val="9"/>
        <color theme="1"/>
        <rFont val="思源黑体 Medium"/>
        <charset val="134"/>
        <scheme val="minor"/>
      </rPr>
      <t>",C2:N2,0)   `</t>
    </r>
    <r>
      <rPr>
        <sz val="9"/>
        <color indexed="63"/>
        <rFont val="思源黑体 Medium"/>
        <charset val="134"/>
        <scheme val="minor"/>
      </rPr>
      <t>取列序号</t>
    </r>
  </si>
  <si>
    <t>`=GET.WORKBOOK(1)</t>
  </si>
  <si>
    <t>`=CELL("filename",A43)</t>
  </si>
  <si>
    <t>`=MID(CELL("filename",A1),FIND("]",CELL("filename",A1))+1,30)</t>
  </si>
  <si>
    <t>`=SHEETSNAME()</t>
  </si>
  <si>
    <r>
      <rPr>
        <sz val="9"/>
        <color theme="1"/>
        <rFont val="思源黑体 Medium"/>
        <charset val="134"/>
        <scheme val="minor"/>
      </rPr>
      <t>`_ * #,##0.00_ ;[</t>
    </r>
    <r>
      <rPr>
        <sz val="9"/>
        <color indexed="63"/>
        <rFont val="思源黑体 Medium"/>
        <charset val="134"/>
        <scheme val="minor"/>
      </rPr>
      <t>红色</t>
    </r>
    <r>
      <rPr>
        <sz val="9"/>
        <color theme="1"/>
        <rFont val="思源黑体 Medium"/>
        <charset val="134"/>
        <scheme val="minor"/>
      </rPr>
      <t xml:space="preserve">]_ * -#,##0.00_ ;_ * "-"??_ ;_ @_ </t>
    </r>
  </si>
  <si>
    <r>
      <rPr>
        <sz val="9"/>
        <color theme="1"/>
        <rFont val="思源黑体 Medium"/>
        <charset val="134"/>
        <scheme val="minor"/>
      </rPr>
      <t>`_ * #,##0.00%_ ;[</t>
    </r>
    <r>
      <rPr>
        <sz val="9"/>
        <color indexed="63"/>
        <rFont val="思源黑体 Medium"/>
        <charset val="134"/>
        <scheme val="minor"/>
      </rPr>
      <t>红色</t>
    </r>
    <r>
      <rPr>
        <sz val="9"/>
        <color theme="1"/>
        <rFont val="思源黑体 Medium"/>
        <charset val="134"/>
        <scheme val="minor"/>
      </rPr>
      <t xml:space="preserve">]_ * -#,##0.00%_ ;_ * "-"??_ ;_ @_ </t>
    </r>
  </si>
  <si>
    <r>
      <rPr>
        <sz val="9"/>
        <color theme="1"/>
        <rFont val="思源黑体 Medium"/>
        <charset val="134"/>
        <scheme val="minor"/>
      </rPr>
      <t>`=INDIRECT("'.\\</t>
    </r>
    <r>
      <rPr>
        <sz val="9"/>
        <color indexed="63"/>
        <rFont val="思源黑体 Medium"/>
        <charset val="134"/>
        <scheme val="minor"/>
      </rPr>
      <t>经营报表</t>
    </r>
    <r>
      <rPr>
        <sz val="9"/>
        <color theme="1"/>
        <rFont val="思源黑体 Medium"/>
        <charset val="134"/>
        <scheme val="minor"/>
      </rPr>
      <t>\\["&amp;SHEETSNAME(A1)&amp;".xlsx]</t>
    </r>
    <r>
      <rPr>
        <sz val="9"/>
        <color indexed="63"/>
        <rFont val="思源黑体 Medium"/>
        <charset val="134"/>
        <scheme val="minor"/>
      </rPr>
      <t>指标统计</t>
    </r>
    <r>
      <rPr>
        <sz val="9"/>
        <color theme="1"/>
        <rFont val="思源黑体 Medium"/>
        <charset val="134"/>
        <scheme val="minor"/>
      </rPr>
      <t>'!$G$4:$R$20")</t>
    </r>
  </si>
  <si>
    <r>
      <rPr>
        <sz val="9"/>
        <color theme="1"/>
        <rFont val="思源黑体 Medium"/>
        <charset val="134"/>
        <scheme val="minor"/>
      </rPr>
      <t>`=INDIRECT("G2:"&amp;CELL("address",INDEX(G2:R2,0,MATCH(</t>
    </r>
    <r>
      <rPr>
        <sz val="9"/>
        <color indexed="63"/>
        <rFont val="思源黑体 Medium"/>
        <charset val="134"/>
        <scheme val="minor"/>
      </rPr>
      <t>填写页</t>
    </r>
    <r>
      <rPr>
        <sz val="9"/>
        <color theme="1"/>
        <rFont val="思源黑体 Medium"/>
        <charset val="134"/>
        <scheme val="minor"/>
      </rPr>
      <t>!$A$1,G1:R1,0))))</t>
    </r>
  </si>
  <si>
    <r>
      <rPr>
        <sz val="9"/>
        <color theme="1"/>
        <rFont val="思源黑体 Medium"/>
        <charset val="134"/>
        <scheme val="minor"/>
      </rPr>
      <t>`=</t>
    </r>
    <r>
      <rPr>
        <sz val="9"/>
        <color indexed="63"/>
        <rFont val="思源黑体 Medium"/>
        <charset val="134"/>
        <scheme val="minor"/>
      </rPr>
      <t>历史分体分期</t>
    </r>
    <r>
      <rPr>
        <sz val="9"/>
        <color theme="1"/>
        <rFont val="思源黑体 Medium"/>
        <charset val="134"/>
        <scheme val="minor"/>
      </rPr>
      <t>!D21:INDEX(</t>
    </r>
    <r>
      <rPr>
        <sz val="9"/>
        <color indexed="63"/>
        <rFont val="思源黑体 Medium"/>
        <charset val="134"/>
        <scheme val="minor"/>
      </rPr>
      <t>历史分体分期</t>
    </r>
    <r>
      <rPr>
        <sz val="9"/>
        <color theme="1"/>
        <rFont val="思源黑体 Medium"/>
        <charset val="134"/>
        <scheme val="minor"/>
      </rPr>
      <t>!D21:O21,0,MATCH(</t>
    </r>
    <r>
      <rPr>
        <sz val="9"/>
        <color indexed="63"/>
        <rFont val="思源黑体 Medium"/>
        <charset val="134"/>
        <scheme val="minor"/>
      </rPr>
      <t>填写页</t>
    </r>
    <r>
      <rPr>
        <sz val="9"/>
        <color theme="1"/>
        <rFont val="思源黑体 Medium"/>
        <charset val="134"/>
        <scheme val="minor"/>
      </rPr>
      <t>!$A$1,</t>
    </r>
    <r>
      <rPr>
        <sz val="9"/>
        <color indexed="63"/>
        <rFont val="思源黑体 Medium"/>
        <charset val="134"/>
        <scheme val="minor"/>
      </rPr>
      <t>历史分体分期</t>
    </r>
    <r>
      <rPr>
        <sz val="9"/>
        <color theme="1"/>
        <rFont val="思源黑体 Medium"/>
        <charset val="134"/>
        <scheme val="minor"/>
      </rPr>
      <t>!$D$1:$O$1,0))</t>
    </r>
  </si>
  <si>
    <r>
      <rPr>
        <sz val="9"/>
        <color theme="1"/>
        <rFont val="思源黑体 Medium"/>
        <charset val="134"/>
        <scheme val="minor"/>
      </rPr>
      <t>`=IFERROR(TEXT(1+(E2-D2)/ABS(D2),"0.00%")&amp;IF(SIGN(E2)&lt;&gt;SIGN(D2),"</t>
    </r>
    <r>
      <rPr>
        <sz val="9"/>
        <color indexed="63"/>
        <rFont val="思源黑体 Medium"/>
        <charset val="134"/>
        <scheme val="minor"/>
      </rPr>
      <t>（反向偏差）</t>
    </r>
    <r>
      <rPr>
        <sz val="9"/>
        <color theme="1"/>
        <rFont val="思源黑体 Medium"/>
        <charset val="134"/>
        <scheme val="minor"/>
      </rPr>
      <t>",""),"N/A")</t>
    </r>
  </si>
  <si>
    <t>`=IFERROR(1+(E2-D2)/ABS(D2),)</t>
  </si>
  <si>
    <t>`=IFERROR(MAX(1+(E2-D2)/ABS(D2),0),)</t>
  </si>
  <si>
    <r>
      <rPr>
        <sz val="9"/>
        <color theme="1"/>
        <rFont val="思源黑体 Medium"/>
        <charset val="134"/>
        <scheme val="minor"/>
      </rPr>
      <t>`=IF(OR(B2=0,C2=0),0,  '</t>
    </r>
    <r>
      <rPr>
        <sz val="9"/>
        <color indexed="63"/>
        <rFont val="思源黑体 Medium"/>
        <charset val="134"/>
        <scheme val="minor"/>
      </rPr>
      <t>如果计划或实际为</t>
    </r>
    <r>
      <rPr>
        <sz val="9"/>
        <color theme="1"/>
        <rFont val="思源黑体 Medium"/>
        <charset val="134"/>
        <scheme val="minor"/>
      </rPr>
      <t>0</t>
    </r>
    <r>
      <rPr>
        <sz val="9"/>
        <color indexed="63"/>
        <rFont val="思源黑体 Medium"/>
        <charset val="134"/>
        <scheme val="minor"/>
      </rPr>
      <t>，返回</t>
    </r>
    <r>
      <rPr>
        <sz val="9"/>
        <color theme="1"/>
        <rFont val="思源黑体 Medium"/>
        <charset val="134"/>
        <scheme val="minor"/>
      </rPr>
      <t>0%
   IF(B2&gt;0,
      IF(C2&lt;0,0,C2/B2),  '</t>
    </r>
    <r>
      <rPr>
        <sz val="9"/>
        <color indexed="63"/>
        <rFont val="思源黑体 Medium"/>
        <charset val="134"/>
        <scheme val="minor"/>
      </rPr>
      <t>计划</t>
    </r>
    <r>
      <rPr>
        <sz val="9"/>
        <color theme="1"/>
        <rFont val="思源黑体 Medium"/>
        <charset val="134"/>
        <scheme val="minor"/>
      </rPr>
      <t>B2</t>
    </r>
    <r>
      <rPr>
        <sz val="9"/>
        <color indexed="63"/>
        <rFont val="思源黑体 Medium"/>
        <charset val="134"/>
        <scheme val="minor"/>
      </rPr>
      <t>为正数时的逻辑</t>
    </r>
    <r>
      <rPr>
        <sz val="9"/>
        <color theme="1"/>
        <rFont val="思源黑体 Medium"/>
        <charset val="134"/>
        <scheme val="minor"/>
      </rPr>
      <t xml:space="preserve">
      1 + (C2 - B2) / ABS(B2)  '</t>
    </r>
    <r>
      <rPr>
        <sz val="9"/>
        <color indexed="63"/>
        <rFont val="思源黑体 Medium"/>
        <charset val="134"/>
        <scheme val="minor"/>
      </rPr>
      <t>计划为负数时的逻辑</t>
    </r>
    <r>
      <rPr>
        <sz val="9"/>
        <color theme="1"/>
        <rFont val="思源黑体 Medium"/>
        <charset val="134"/>
        <scheme val="minor"/>
      </rPr>
      <t xml:space="preserve">
   )
)</t>
    </r>
  </si>
  <si>
    <r>
      <rPr>
        <sz val="9"/>
        <color theme="1"/>
        <rFont val="思源黑体 Medium"/>
        <charset val="134"/>
        <scheme val="minor"/>
      </rPr>
      <t>`=OFFSET(G2, 0, 0, 4, MATCH(</t>
    </r>
    <r>
      <rPr>
        <sz val="9"/>
        <color indexed="63"/>
        <rFont val="思源黑体 Medium"/>
        <charset val="134"/>
        <scheme val="minor"/>
      </rPr>
      <t>填写页</t>
    </r>
    <r>
      <rPr>
        <sz val="9"/>
        <color theme="1"/>
        <rFont val="思源黑体 Medium"/>
        <charset val="134"/>
        <scheme val="minor"/>
      </rPr>
      <t>!$A$1, G1:R1, 0))</t>
    </r>
  </si>
  <si>
    <r>
      <rPr>
        <sz val="9"/>
        <color theme="1"/>
        <rFont val="思源黑体 Medium"/>
        <charset val="134"/>
        <scheme val="minor"/>
      </rPr>
      <t>`=IF(VALUE(SUBSTITUTE(G$1,"</t>
    </r>
    <r>
      <rPr>
        <sz val="9"/>
        <color indexed="63"/>
        <rFont val="思源黑体 Medium"/>
        <charset val="134"/>
        <scheme val="minor"/>
      </rPr>
      <t>月</t>
    </r>
    <r>
      <rPr>
        <sz val="9"/>
        <color theme="1"/>
        <rFont val="思源黑体 Medium"/>
        <charset val="134"/>
        <scheme val="minor"/>
      </rPr>
      <t>",""))&lt;=</t>
    </r>
    <r>
      <rPr>
        <sz val="9"/>
        <color indexed="63"/>
        <rFont val="思源黑体 Medium"/>
        <charset val="134"/>
        <scheme val="minor"/>
      </rPr>
      <t>填写页</t>
    </r>
    <r>
      <rPr>
        <sz val="9"/>
        <color theme="1"/>
        <rFont val="思源黑体 Medium"/>
        <charset val="134"/>
        <scheme val="minor"/>
      </rPr>
      <t>!$B$1,SUM(</t>
    </r>
    <r>
      <rPr>
        <sz val="9"/>
        <color indexed="63"/>
        <rFont val="思源黑体 Medium"/>
        <charset val="134"/>
        <scheme val="minor"/>
      </rPr>
      <t>北京中言</t>
    </r>
    <r>
      <rPr>
        <sz val="9"/>
        <color theme="1"/>
        <rFont val="思源黑体 Medium"/>
        <charset val="134"/>
        <scheme val="minor"/>
      </rPr>
      <t>:</t>
    </r>
    <r>
      <rPr>
        <sz val="9"/>
        <color indexed="63"/>
        <rFont val="思源黑体 Medium"/>
        <charset val="134"/>
        <scheme val="minor"/>
      </rPr>
      <t>君康经纪</t>
    </r>
    <r>
      <rPr>
        <sz val="9"/>
        <color theme="1"/>
        <rFont val="思源黑体 Medium"/>
        <charset val="134"/>
        <scheme val="minor"/>
      </rPr>
      <t>!G2),NA())</t>
    </r>
  </si>
  <si>
    <r>
      <rPr>
        <sz val="9"/>
        <color theme="1"/>
        <rFont val="思源黑体 Medium"/>
        <charset val="134"/>
        <scheme val="minor"/>
      </rPr>
      <t>`=IF(COLUMN()-2&gt;MATCH(</t>
    </r>
    <r>
      <rPr>
        <sz val="9"/>
        <color indexed="63"/>
        <rFont val="思源黑体 Medium"/>
        <charset val="134"/>
        <scheme val="minor"/>
      </rPr>
      <t>填写页</t>
    </r>
    <r>
      <rPr>
        <sz val="9"/>
        <color theme="1"/>
        <rFont val="思源黑体 Medium"/>
        <charset val="134"/>
        <scheme val="minor"/>
      </rPr>
      <t>!$A$1,$C$69:$N$69,0),NA(),IF(C$71&lt;&gt;0,IFERROR((C$71-C$70)/ABS(C$70),NA()),NA()))</t>
    </r>
  </si>
  <si>
    <r>
      <rPr>
        <sz val="9"/>
        <color theme="1"/>
        <rFont val="思源黑体 Medium"/>
        <charset val="134"/>
        <scheme val="minor"/>
      </rPr>
      <t>`=IF(COLUMN()-3&gt;MATCH(</t>
    </r>
    <r>
      <rPr>
        <sz val="9"/>
        <color indexed="63"/>
        <rFont val="思源黑体 Medium"/>
        <charset val="134"/>
        <scheme val="minor"/>
      </rPr>
      <t>填写页</t>
    </r>
    <r>
      <rPr>
        <sz val="9"/>
        <color theme="1"/>
        <rFont val="思源黑体 Medium"/>
        <charset val="134"/>
        <scheme val="minor"/>
      </rPr>
      <t>!$A$1,$C$69:$N$69,0),NA(),IF(D$71&lt;&gt;0,IFERROR((D$71-C$71)/ABS(C$71),NA()),NA()))</t>
    </r>
  </si>
  <si>
    <t>2026年
营收分解</t>
  </si>
  <si>
    <t>合计</t>
  </si>
  <si>
    <t>1月</t>
  </si>
  <si>
    <t>2月</t>
  </si>
  <si>
    <t>3月</t>
  </si>
  <si>
    <t>4月</t>
  </si>
  <si>
    <t>5月</t>
  </si>
  <si>
    <t>6月</t>
  </si>
  <si>
    <t>7月</t>
  </si>
  <si>
    <t>8月</t>
  </si>
  <si>
    <t>9月</t>
  </si>
  <si>
    <t>10月</t>
  </si>
  <si>
    <t>11月</t>
  </si>
  <si>
    <t>12月</t>
  </si>
  <si>
    <t>一季度</t>
  </si>
  <si>
    <t>二季度</t>
  </si>
  <si>
    <t>三季度</t>
  </si>
  <si>
    <t>四季度</t>
  </si>
  <si>
    <t>核对</t>
  </si>
  <si>
    <r>
      <rPr>
        <b/>
        <sz val="9"/>
        <color rgb="FFFF0000"/>
        <rFont val="思源黑体 Heavy"/>
        <charset val="134"/>
        <scheme val="major"/>
      </rPr>
      <t>第</t>
    </r>
    <r>
      <rPr>
        <b/>
        <sz val="9"/>
        <color indexed="10"/>
        <rFont val="思源黑体 Heavy"/>
        <charset val="134"/>
      </rPr>
      <t>5</t>
    </r>
    <r>
      <rPr>
        <b/>
        <sz val="9"/>
        <color rgb="FFFF0000"/>
        <rFont val="思源黑体 Heavy"/>
        <charset val="134"/>
        <scheme val="major"/>
      </rPr>
      <t>版预算</t>
    </r>
  </si>
  <si>
    <t>项目</t>
  </si>
  <si>
    <t>项目-202512经营报告</t>
  </si>
  <si>
    <t>年度目标</t>
  </si>
  <si>
    <t>实际达成</t>
  </si>
  <si>
    <t>达成率</t>
  </si>
  <si>
    <t>公司</t>
  </si>
  <si>
    <t>小计</t>
  </si>
  <si>
    <t>-1.#QNAN</t>
  </si>
  <si>
    <t>名称</t>
  </si>
  <si>
    <t>月</t>
  </si>
  <si>
    <t>年</t>
  </si>
  <si>
    <t>序时进度</t>
  </si>
  <si>
    <t>同比变化</t>
  </si>
  <si>
    <t>当月达成</t>
  </si>
  <si>
    <t>累计达成</t>
  </si>
  <si>
    <t>当月计划</t>
  </si>
  <si>
    <t>累计计划</t>
  </si>
  <si>
    <t>当月达成率</t>
  </si>
  <si>
    <t>累计达成率</t>
  </si>
  <si>
    <t>年度达成率</t>
  </si>
  <si>
    <t>上年同期累计</t>
  </si>
  <si>
    <t>上月达成</t>
  </si>
  <si>
    <t>环比变化</t>
  </si>
  <si>
    <t>同比数值</t>
  </si>
  <si>
    <t>同比比率</t>
  </si>
  <si>
    <t>`=INDEX(INDIRECT("'"&amp;$B2&amp;"'!$G$2:$R$2"),0,MATCH(填写页!$A$1,INDIRECT("'"&amp;$B2&amp;"'!$G$1:$R$1"))-1)</t>
  </si>
  <si>
    <t>缺口</t>
  </si>
  <si>
    <t>分解计划</t>
  </si>
  <si>
    <t>分解计划达成率</t>
  </si>
  <si>
    <t>季度计划</t>
  </si>
  <si>
    <t>季度达成</t>
  </si>
  <si>
    <t>年度达成</t>
  </si>
  <si>
    <t>2025营收</t>
  </si>
  <si>
    <t>2026营收</t>
  </si>
  <si>
    <t>单月同比</t>
  </si>
  <si>
    <t>环比</t>
  </si>
  <si>
    <t>上年同期</t>
  </si>
  <si>
    <t>2026年</t>
  </si>
  <si>
    <t>占比</t>
  </si>
  <si>
    <t>同比</t>
  </si>
  <si>
    <t>同比水平轴线</t>
  </si>
  <si>
    <t>环比水平轴线</t>
  </si>
  <si>
    <t>整体情况</t>
  </si>
  <si>
    <t>期初面积</t>
  </si>
  <si>
    <t>新增签约面积</t>
  </si>
  <si>
    <t>平均租金</t>
  </si>
  <si>
    <t>本期退租面积</t>
  </si>
  <si>
    <t>月末面积</t>
  </si>
  <si>
    <t>合作渠道</t>
  </si>
  <si>
    <t>渠道带客</t>
  </si>
  <si>
    <t>渠道成交</t>
  </si>
  <si>
    <t>渠道签约面积</t>
  </si>
  <si>
    <t>成交周期</t>
  </si>
  <si>
    <t>转化率</t>
  </si>
  <si>
    <t>自有招商</t>
  </si>
  <si>
    <t>自营带客</t>
  </si>
  <si>
    <t>自营成交</t>
  </si>
  <si>
    <t>自营签约面积</t>
  </si>
  <si>
    <t>续租情况</t>
  </si>
  <si>
    <t>到期面积</t>
  </si>
  <si>
    <t>续签面积</t>
  </si>
  <si>
    <t>最新出租率</t>
  </si>
  <si>
    <t>续签率</t>
  </si>
  <si>
    <t>月均入住率</t>
  </si>
  <si>
    <t>营销活动</t>
  </si>
  <si>
    <t>投放数量</t>
  </si>
  <si>
    <t>受众数量</t>
  </si>
  <si>
    <t>成交数量</t>
  </si>
  <si>
    <t>人力</t>
  </si>
  <si>
    <t>期初人力</t>
  </si>
  <si>
    <t>月末人力</t>
  </si>
  <si>
    <t>当月入职</t>
  </si>
  <si>
    <t>开单人数</t>
  </si>
  <si>
    <t>当月离职</t>
  </si>
  <si>
    <t>活动率</t>
  </si>
  <si>
    <t>当月净增</t>
  </si>
  <si>
    <t>平均人力</t>
  </si>
  <si>
    <t>承保新单规模保费</t>
  </si>
  <si>
    <t>承保件数</t>
  </si>
  <si>
    <t>件均保费</t>
  </si>
  <si>
    <t>产能</t>
  </si>
  <si>
    <t>人均保费</t>
  </si>
  <si>
    <t>承保期交规模保费</t>
  </si>
  <si>
    <t>应收13月续期保费</t>
  </si>
  <si>
    <t>实收13月续期保费</t>
  </si>
  <si>
    <t>应收25月续期保费</t>
  </si>
  <si>
    <t>实收25月续期保费</t>
  </si>
  <si>
    <t>年度目标达成率</t>
  </si>
  <si>
    <t>EBITDA</t>
  </si>
  <si>
    <t>经营支出</t>
  </si>
  <si>
    <t>2025年实际</t>
  </si>
  <si>
    <t>同期营收</t>
  </si>
  <si>
    <t>营收分解计划</t>
  </si>
  <si>
    <t>GOP</t>
  </si>
  <si>
    <t>扣非利润</t>
  </si>
  <si>
    <t>达成率/执行率</t>
  </si>
  <si>
    <t>1月实际</t>
  </si>
  <si>
    <t>2月实际</t>
  </si>
  <si>
    <t>3月实际</t>
  </si>
  <si>
    <t>4月实际</t>
  </si>
  <si>
    <t>5月实际</t>
  </si>
  <si>
    <t>6月实际</t>
  </si>
  <si>
    <t>7月实际</t>
  </si>
  <si>
    <t>8月实际</t>
  </si>
  <si>
    <t>9月实际</t>
  </si>
  <si>
    <t>10月实际</t>
  </si>
  <si>
    <t>11月实际</t>
  </si>
  <si>
    <t>12月实际</t>
  </si>
  <si>
    <t>项目(7月末)</t>
  </si>
  <si>
    <t>期末余额 (万元)</t>
  </si>
  <si>
    <t>期初余额 (万元)</t>
  </si>
  <si>
    <t>资产总额</t>
  </si>
  <si>
    <t>负债总额</t>
  </si>
  <si>
    <t>所有者权益</t>
  </si>
  <si>
    <t>资产负债率</t>
  </si>
  <si>
    <r>
      <rPr>
        <b/>
        <sz val="12"/>
        <color rgb="FF000000"/>
        <rFont val="微软雅黑"/>
        <charset val="134"/>
      </rPr>
      <t>-固定费用</t>
    </r>
  </si>
  <si>
    <t>资金余额</t>
  </si>
  <si>
    <r>
      <rPr>
        <sz val="12"/>
        <color rgb="FF000000"/>
        <rFont val="微软雅黑"/>
        <charset val="134"/>
      </rPr>
      <t>--人力费用</t>
    </r>
  </si>
  <si>
    <r>
      <rPr>
        <sz val="12"/>
        <color rgb="FF000000"/>
        <rFont val="微软雅黑"/>
        <charset val="134"/>
      </rPr>
      <t>--日常费用</t>
    </r>
  </si>
  <si>
    <r>
      <rPr>
        <b/>
        <sz val="12"/>
        <color rgb="FF000000"/>
        <rFont val="微软雅黑"/>
        <charset val="134"/>
      </rPr>
      <t>-变动费用</t>
    </r>
  </si>
  <si>
    <r>
      <rPr>
        <sz val="12"/>
        <color rgb="FF000000"/>
        <rFont val="微软雅黑"/>
        <charset val="134"/>
      </rPr>
      <t>--经营变动费用</t>
    </r>
  </si>
  <si>
    <r>
      <rPr>
        <sz val="12"/>
        <color rgb="FF000000"/>
        <rFont val="微软雅黑"/>
        <charset val="134"/>
      </rPr>
      <t>--营业成本</t>
    </r>
  </si>
  <si>
    <t>折旧摊销</t>
  </si>
  <si>
    <t>财务费用</t>
  </si>
  <si>
    <t>税金及附加</t>
  </si>
  <si>
    <t>成本结构</t>
  </si>
  <si>
    <t>变动费用率</t>
  </si>
  <si>
    <t>人力费用占比</t>
  </si>
  <si>
    <t>日常费用占比</t>
  </si>
  <si>
    <t>经营变动费用占比</t>
  </si>
  <si>
    <t>营业成本占比</t>
  </si>
  <si>
    <t>利润率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</si>
</sst>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2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_(* #,##0.00_);_(* \(#,##0.00\);_(* &quot;-&quot;??_);_(@_)"/>
    <numFmt numFmtId="177" formatCode="_ * #,##0.00_ ;[Red]_ * \-#,##0.00_ ;_ * &quot;-&quot;??_ ;_ @_ "/>
    <numFmt numFmtId="178" formatCode="_ * #,##0.00%_ ;[Red]_ * \-#,##0.00%_ ;_ * &quot;-&quot;??_ ;_ @_ "/>
    <numFmt numFmtId="179" formatCode="_ * #,##0_ ;_ * \-#,##0_ ;_ * &quot;-&quot;??_ ;_ @_ "/>
    <numFmt numFmtId="180" formatCode="0.0000%"/>
    <numFmt numFmtId="181" formatCode="_ * &quot;+&quot;#,##0.00_ ;[Red]_ * \-#,##0.00_ ;_ * &quot;-&quot;??_ ;_ @_ "/>
    <numFmt numFmtId="182" formatCode="_ * &quot;+&quot;#,##0.00%_ ;[Red]_ * \-#,##0.00%_ ;_ * &quot;-&quot;??_ ;_ @_ "/>
    <numFmt numFmtId="183" formatCode="0.0%"/>
  </numFmts>
  <fonts count="76">
    <font>
      <sz val="11"/>
      <color theme="1"/>
      <name val="等距更纱黑体 SC"/>
      <charset val="134"/>
    </font>
    <font>
      <sz val="11"/>
      <color theme="1"/>
      <name val="微软雅黑"/>
      <charset val="134"/>
    </font>
    <font>
      <b/>
      <sz val="14"/>
      <color theme="0"/>
      <name val="微软雅黑"/>
      <charset val="134"/>
    </font>
    <font>
      <sz val="12"/>
      <color theme="0"/>
      <name val="微软雅黑"/>
      <charset val="134"/>
    </font>
    <font>
      <b/>
      <sz val="11"/>
      <color theme="0"/>
      <name val="微软雅黑"/>
      <charset val="134"/>
    </font>
    <font>
      <b/>
      <sz val="12"/>
      <color theme="1"/>
      <name val="微软雅黑"/>
      <charset val="134"/>
    </font>
    <font>
      <b/>
      <sz val="11"/>
      <name val="微软雅黑"/>
      <charset val="134"/>
    </font>
    <font>
      <b/>
      <sz val="12"/>
      <color rgb="FF000000"/>
      <name val="微软雅黑"/>
      <charset val="134"/>
    </font>
    <font>
      <sz val="12"/>
      <color rgb="FF000000"/>
      <name val="微软雅黑"/>
      <charset val="134"/>
    </font>
    <font>
      <sz val="12"/>
      <color theme="1"/>
      <name val="微软雅黑"/>
      <charset val="134"/>
    </font>
    <font>
      <b/>
      <sz val="11"/>
      <color theme="1"/>
      <name val="微软雅黑"/>
      <charset val="134"/>
    </font>
    <font>
      <sz val="10"/>
      <color theme="1"/>
      <name val="微软雅黑"/>
      <charset val="134"/>
    </font>
    <font>
      <sz val="9"/>
      <color theme="1"/>
      <name val="思源黑体 Medium"/>
      <charset val="134"/>
      <scheme val="minor"/>
    </font>
    <font>
      <b/>
      <sz val="9"/>
      <color theme="0"/>
      <name val="思源黑体 Heavy"/>
      <charset val="134"/>
      <scheme val="major"/>
    </font>
    <font>
      <b/>
      <sz val="9"/>
      <color theme="1"/>
      <name val="思源黑体 Medium"/>
      <charset val="134"/>
      <scheme val="minor"/>
    </font>
    <font>
      <sz val="9"/>
      <color theme="0"/>
      <name val="思源黑体 Heavy"/>
      <charset val="134"/>
      <scheme val="major"/>
    </font>
    <font>
      <b/>
      <sz val="9"/>
      <color theme="0"/>
      <name val="思源黑体 Medium"/>
      <charset val="134"/>
      <scheme val="minor"/>
    </font>
    <font>
      <b/>
      <sz val="9"/>
      <color rgb="FF333333"/>
      <name val="思源黑体 Medium"/>
      <charset val="134"/>
      <scheme val="minor"/>
    </font>
    <font>
      <sz val="9"/>
      <color rgb="FF333333"/>
      <name val="思源黑体 Medium"/>
      <charset val="134"/>
      <scheme val="minor"/>
    </font>
    <font>
      <sz val="9"/>
      <color rgb="FF000000"/>
      <name val="思源黑体 Medium"/>
      <charset val="134"/>
      <scheme val="minor"/>
    </font>
    <font>
      <sz val="9"/>
      <color theme="1"/>
      <name val="思源黑体 Heavy"/>
      <charset val="134"/>
      <scheme val="major"/>
    </font>
    <font>
      <b/>
      <sz val="9"/>
      <name val="思源黑体 Heavy"/>
      <charset val="134"/>
      <scheme val="major"/>
    </font>
    <font>
      <b/>
      <sz val="9"/>
      <color theme="2" tint="-0.899563585314493"/>
      <name val="思源黑体 Heavy"/>
      <charset val="134"/>
      <scheme val="major"/>
    </font>
    <font>
      <sz val="9"/>
      <name val="思源黑体 Medium"/>
      <charset val="134"/>
      <scheme val="minor"/>
    </font>
    <font>
      <b/>
      <sz val="9"/>
      <color rgb="FF000000"/>
      <name val="思源黑体 Medium"/>
      <charset val="134"/>
      <scheme val="minor"/>
    </font>
    <font>
      <b/>
      <sz val="9"/>
      <name val="思源黑体 Medium"/>
      <charset val="134"/>
      <scheme val="minor"/>
    </font>
    <font>
      <sz val="9"/>
      <color theme="0"/>
      <name val="思源黑体 Medium"/>
      <charset val="134"/>
      <scheme val="minor"/>
    </font>
    <font>
      <sz val="9"/>
      <color theme="1"/>
      <name val="等距更纱黑体 SC"/>
      <charset val="134"/>
    </font>
    <font>
      <b/>
      <sz val="9"/>
      <color theme="0"/>
      <name val="等距更纱黑体 SC"/>
      <charset val="134"/>
    </font>
    <font>
      <sz val="9"/>
      <name val="等距更纱黑体 SC"/>
      <charset val="134"/>
    </font>
    <font>
      <b/>
      <sz val="9"/>
      <name val="等距更纱黑体 SC"/>
      <charset val="134"/>
    </font>
    <font>
      <b/>
      <sz val="11"/>
      <color theme="1"/>
      <name val="等距更纱黑体 SC"/>
      <charset val="134"/>
    </font>
    <font>
      <b/>
      <sz val="9"/>
      <color rgb="FFFFFFFF"/>
      <name val="思源黑体 Heavy"/>
      <charset val="134"/>
      <scheme val="major"/>
    </font>
    <font>
      <sz val="8"/>
      <color theme="1"/>
      <name val="思源黑体 Medium"/>
      <charset val="134"/>
      <scheme val="minor"/>
    </font>
    <font>
      <b/>
      <sz val="8"/>
      <color theme="0"/>
      <name val="思源黑体 Heavy"/>
      <charset val="134"/>
      <scheme val="major"/>
    </font>
    <font>
      <b/>
      <sz val="8"/>
      <color theme="1"/>
      <name val="思源黑体 Medium"/>
      <charset val="134"/>
      <scheme val="minor"/>
    </font>
    <font>
      <sz val="8"/>
      <color theme="0"/>
      <name val="思源黑体 Heavy"/>
      <charset val="134"/>
      <scheme val="major"/>
    </font>
    <font>
      <b/>
      <sz val="9"/>
      <color rgb="FFFF0000"/>
      <name val="思源黑体 Heavy"/>
      <charset val="134"/>
      <scheme val="major"/>
    </font>
    <font>
      <b/>
      <sz val="9"/>
      <color rgb="FFFF0000"/>
      <name val="思源黑体 Medium"/>
      <charset val="134"/>
      <scheme val="minor"/>
    </font>
    <font>
      <sz val="9"/>
      <color indexed="63"/>
      <name val="思源黑体 Medium"/>
      <charset val="134"/>
      <scheme val="minor"/>
    </font>
    <font>
      <b/>
      <sz val="9"/>
      <color theme="2" tint="-0.899563585314493"/>
      <name val="思源黑体 Medium"/>
      <charset val="134"/>
      <scheme val="minor"/>
    </font>
    <font>
      <b/>
      <sz val="9"/>
      <color theme="2" tint="-0.749992370372631"/>
      <name val="思源黑体 Medium"/>
      <charset val="134"/>
      <scheme val="minor"/>
    </font>
    <font>
      <sz val="9"/>
      <color theme="2" tint="-0.749992370372631"/>
      <name val="思源黑体 Medium"/>
      <charset val="134"/>
      <scheme val="minor"/>
    </font>
    <font>
      <sz val="12"/>
      <color rgb="FF191B1F"/>
      <name val="等距更纱黑体 SC"/>
      <charset val="134"/>
    </font>
    <font>
      <b/>
      <sz val="11"/>
      <color theme="0"/>
      <name val="等距更纱黑体 SC"/>
      <charset val="134"/>
    </font>
    <font>
      <sz val="12"/>
      <color theme="1"/>
      <name val="等距更纱黑体 SC"/>
      <charset val="134"/>
    </font>
    <font>
      <b/>
      <sz val="11"/>
      <color theme="2" tint="-0.899563585314493"/>
      <name val="等距更纱黑体 SC"/>
      <charset val="134"/>
    </font>
    <font>
      <b/>
      <sz val="11"/>
      <color theme="2" tint="-0.749992370372631"/>
      <name val="等距更纱黑体 SC"/>
      <charset val="134"/>
    </font>
    <font>
      <sz val="11"/>
      <color theme="0"/>
      <name val="等距更纱黑体 SC"/>
      <charset val="134"/>
    </font>
    <font>
      <sz val="11"/>
      <color theme="2" tint="-0.749992370372631"/>
      <name val="等距更纱黑体 SC"/>
      <charset val="134"/>
    </font>
    <font>
      <sz val="10.5"/>
      <color rgb="FF1B1C21"/>
      <name val="等距更纱黑体 SC"/>
      <charset val="134"/>
    </font>
    <font>
      <sz val="11"/>
      <color theme="1"/>
      <name val="思源黑体 Medium"/>
      <charset val="134"/>
      <scheme val="minor"/>
    </font>
    <font>
      <u/>
      <sz val="11"/>
      <color rgb="FF0000FF"/>
      <name val="思源黑体 Medium"/>
      <charset val="0"/>
      <scheme val="minor"/>
    </font>
    <font>
      <u/>
      <sz val="11"/>
      <color rgb="FF800080"/>
      <name val="思源黑体 Medium"/>
      <charset val="0"/>
      <scheme val="minor"/>
    </font>
    <font>
      <sz val="11"/>
      <color rgb="FFFF0000"/>
      <name val="思源黑体 Medium"/>
      <charset val="0"/>
      <scheme val="minor"/>
    </font>
    <font>
      <b/>
      <sz val="18"/>
      <color theme="3"/>
      <name val="思源黑体 Medium"/>
      <charset val="134"/>
      <scheme val="minor"/>
    </font>
    <font>
      <i/>
      <sz val="11"/>
      <color rgb="FF7F7F7F"/>
      <name val="思源黑体 Medium"/>
      <charset val="0"/>
      <scheme val="minor"/>
    </font>
    <font>
      <b/>
      <sz val="15"/>
      <color theme="3"/>
      <name val="思源黑体 Medium"/>
      <charset val="134"/>
      <scheme val="minor"/>
    </font>
    <font>
      <b/>
      <sz val="13"/>
      <color theme="3"/>
      <name val="思源黑体 Medium"/>
      <charset val="134"/>
      <scheme val="minor"/>
    </font>
    <font>
      <b/>
      <sz val="11"/>
      <color theme="3"/>
      <name val="思源黑体 Medium"/>
      <charset val="134"/>
      <scheme val="minor"/>
    </font>
    <font>
      <sz val="11"/>
      <color rgb="FF3F3F76"/>
      <name val="思源黑体 Medium"/>
      <charset val="0"/>
      <scheme val="minor"/>
    </font>
    <font>
      <b/>
      <sz val="11"/>
      <color rgb="FF3F3F3F"/>
      <name val="思源黑体 Medium"/>
      <charset val="0"/>
      <scheme val="minor"/>
    </font>
    <font>
      <b/>
      <sz val="11"/>
      <color rgb="FFFA7D00"/>
      <name val="思源黑体 Medium"/>
      <charset val="0"/>
      <scheme val="minor"/>
    </font>
    <font>
      <b/>
      <sz val="11"/>
      <color rgb="FFFFFFFF"/>
      <name val="思源黑体 Medium"/>
      <charset val="0"/>
      <scheme val="minor"/>
    </font>
    <font>
      <sz val="11"/>
      <color rgb="FFFA7D00"/>
      <name val="思源黑体 Medium"/>
      <charset val="0"/>
      <scheme val="minor"/>
    </font>
    <font>
      <b/>
      <sz val="11"/>
      <color theme="1"/>
      <name val="思源黑体 Medium"/>
      <charset val="0"/>
      <scheme val="minor"/>
    </font>
    <font>
      <sz val="11"/>
      <color rgb="FF006100"/>
      <name val="思源黑体 Medium"/>
      <charset val="0"/>
      <scheme val="minor"/>
    </font>
    <font>
      <sz val="11"/>
      <color rgb="FF9C0006"/>
      <name val="思源黑体 Medium"/>
      <charset val="0"/>
      <scheme val="minor"/>
    </font>
    <font>
      <sz val="11"/>
      <color rgb="FF9C6500"/>
      <name val="思源黑体 Medium"/>
      <charset val="0"/>
      <scheme val="minor"/>
    </font>
    <font>
      <sz val="11"/>
      <color theme="0"/>
      <name val="思源黑体 Medium"/>
      <charset val="0"/>
      <scheme val="minor"/>
    </font>
    <font>
      <sz val="11"/>
      <color theme="1"/>
      <name val="思源黑体 Medium"/>
      <charset val="0"/>
      <scheme val="minor"/>
    </font>
    <font>
      <sz val="11"/>
      <name val="宋体"/>
      <charset val="134"/>
    </font>
    <font>
      <b/>
      <sz val="9"/>
      <color indexed="10"/>
      <name val="思源黑体 Heavy"/>
      <charset val="134"/>
    </font>
    <font>
      <b/>
      <sz val="9"/>
      <color indexed="10"/>
      <name val="思源黑体 Medium"/>
      <charset val="134"/>
    </font>
    <font>
      <b/>
      <sz val="9"/>
      <name val="宋体"/>
      <charset val="134"/>
    </font>
    <font>
      <sz val="9"/>
      <name val="宋体"/>
      <charset val="134"/>
    </font>
  </fonts>
  <fills count="83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4" tint="0.799676503799554"/>
        <bgColor theme="4" tint="0.799676503799554"/>
      </patternFill>
    </fill>
    <fill>
      <patternFill patternType="solid">
        <fgColor theme="4"/>
        <bgColor indexed="64"/>
      </patternFill>
    </fill>
    <fill>
      <patternFill patternType="solid">
        <fgColor theme="4"/>
        <bgColor theme="4"/>
      </patternFill>
    </fill>
    <fill>
      <patternFill patternType="solid">
        <fgColor rgb="FF92D05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4E86BD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1" tint="0.79970702230903"/>
        <bgColor indexed="64"/>
      </patternFill>
    </fill>
    <fill>
      <patternFill patternType="solid">
        <fgColor rgb="FFFF3C3C"/>
        <bgColor indexed="64"/>
      </patternFill>
    </fill>
    <fill>
      <patternFill patternType="solid">
        <fgColor rgb="FF070707"/>
        <bgColor indexed="64"/>
      </patternFill>
    </fill>
    <fill>
      <patternFill patternType="solid">
        <fgColor rgb="FFFE827E"/>
        <bgColor indexed="64"/>
      </patternFill>
    </fill>
    <fill>
      <patternFill patternType="solid">
        <fgColor rgb="FF82B9DF"/>
        <bgColor indexed="64"/>
      </patternFill>
    </fill>
    <fill>
      <patternFill patternType="solid">
        <fgColor rgb="FFF7913E"/>
        <bgColor indexed="64"/>
      </patternFill>
    </fill>
    <fill>
      <patternFill patternType="solid">
        <fgColor rgb="FF5AAA5B"/>
        <bgColor indexed="64"/>
      </patternFill>
    </fill>
    <fill>
      <patternFill patternType="solid">
        <fgColor rgb="FF4CAF50"/>
        <bgColor indexed="64"/>
      </patternFill>
    </fill>
    <fill>
      <patternFill patternType="solid">
        <fgColor rgb="FFD22229"/>
        <bgColor indexed="64"/>
      </patternFill>
    </fill>
    <fill>
      <patternFill patternType="solid">
        <fgColor rgb="FF3A5A8A"/>
        <bgColor indexed="64"/>
      </patternFill>
    </fill>
    <fill>
      <patternFill patternType="solid">
        <fgColor rgb="FF80A6B7"/>
        <bgColor indexed="64"/>
      </patternFill>
    </fill>
    <fill>
      <patternFill patternType="solid">
        <fgColor rgb="FFF44336"/>
        <bgColor indexed="64"/>
      </patternFill>
    </fill>
    <fill>
      <patternFill patternType="solid">
        <fgColor rgb="FF2A527A"/>
        <bgColor indexed="64"/>
      </patternFill>
    </fill>
    <fill>
      <patternFill patternType="solid">
        <fgColor rgb="FF43B396"/>
        <bgColor indexed="64"/>
      </patternFill>
    </fill>
    <fill>
      <patternFill patternType="solid">
        <fgColor rgb="FFE54E72"/>
        <bgColor indexed="64"/>
      </patternFill>
    </fill>
    <fill>
      <patternFill patternType="solid">
        <fgColor rgb="FF6B5B95"/>
        <bgColor indexed="64"/>
      </patternFill>
    </fill>
    <fill>
      <patternFill patternType="solid">
        <fgColor rgb="FFD64161"/>
        <bgColor indexed="64"/>
      </patternFill>
    </fill>
    <fill>
      <patternFill patternType="solid">
        <fgColor rgb="FF92A8D1"/>
        <bgColor indexed="64"/>
      </patternFill>
    </fill>
    <fill>
      <patternFill patternType="solid">
        <fgColor rgb="FF88B04B"/>
        <bgColor indexed="64"/>
      </patternFill>
    </fill>
    <fill>
      <patternFill patternType="solid">
        <fgColor rgb="FFF3C36B"/>
        <bgColor indexed="64"/>
      </patternFill>
    </fill>
    <fill>
      <patternFill patternType="solid">
        <fgColor rgb="FF03579A"/>
        <bgColor indexed="64"/>
      </patternFill>
    </fill>
    <fill>
      <patternFill patternType="solid">
        <fgColor rgb="FFF9C011"/>
        <bgColor indexed="64"/>
      </patternFill>
    </fill>
    <fill>
      <patternFill patternType="solid">
        <fgColor rgb="FFF3774B"/>
        <bgColor indexed="64"/>
      </patternFill>
    </fill>
    <fill>
      <patternFill patternType="solid">
        <fgColor rgb="FF60C6C9"/>
        <bgColor indexed="64"/>
      </patternFill>
    </fill>
    <fill>
      <patternFill patternType="solid">
        <fgColor rgb="FF505A6E"/>
        <bgColor indexed="64"/>
      </patternFill>
    </fill>
    <fill>
      <patternFill patternType="solid">
        <fgColor rgb="FFCBB57C"/>
        <bgColor indexed="64"/>
      </patternFill>
    </fill>
    <fill>
      <patternFill patternType="solid">
        <fgColor rgb="FF5CB8CD"/>
        <bgColor indexed="64"/>
      </patternFill>
    </fill>
    <fill>
      <patternFill patternType="solid">
        <fgColor rgb="FF4879B9"/>
        <bgColor indexed="64"/>
      </patternFill>
    </fill>
    <fill>
      <patternFill patternType="solid">
        <fgColor rgb="FF55AD76"/>
        <bgColor indexed="64"/>
      </patternFill>
    </fill>
    <fill>
      <patternFill patternType="solid">
        <fgColor rgb="FFC5575A"/>
        <bgColor indexed="64"/>
      </patternFill>
    </fill>
    <fill>
      <patternFill patternType="solid">
        <fgColor rgb="FF7673B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444758"/>
        <bgColor indexed="64"/>
      </patternFill>
    </fill>
    <fill>
      <patternFill patternType="solid">
        <fgColor rgb="FF554455"/>
        <bgColor indexed="64"/>
      </patternFill>
    </fill>
    <fill>
      <patternFill patternType="solid">
        <fgColor rgb="FF555544"/>
        <bgColor indexed="64"/>
      </patternFill>
    </fill>
    <fill>
      <patternFill patternType="solid">
        <fgColor rgb="FF445544"/>
        <bgColor indexed="64"/>
      </patternFill>
    </fill>
    <fill>
      <patternFill patternType="solid">
        <fgColor rgb="FF9CD2A4"/>
        <bgColor indexed="64"/>
      </patternFill>
    </fill>
    <fill>
      <patternFill patternType="solid">
        <fgColor rgb="FFFAA61A"/>
        <bgColor indexed="64"/>
      </patternFill>
    </fill>
    <fill>
      <patternFill patternType="solid">
        <fgColor rgb="FFB53B6D"/>
        <bgColor indexed="64"/>
      </patternFill>
    </fill>
    <fill>
      <patternFill patternType="solid">
        <fgColor rgb="FF3EBAE9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4"/>
      </left>
      <right style="thin">
        <color theme="4" tint="0.399670400097659"/>
      </right>
      <top style="thin">
        <color theme="4" tint="0.399670400097659"/>
      </top>
      <bottom style="thin">
        <color theme="4" tint="0.399670400097659"/>
      </bottom>
      <diagonal/>
    </border>
    <border>
      <left style="thin">
        <color theme="4"/>
      </left>
      <right style="thin">
        <color theme="4" tint="0.399670400097659"/>
      </right>
      <top style="medium">
        <color theme="4"/>
      </top>
      <bottom style="thin">
        <color theme="4" tint="0.399670400097659"/>
      </bottom>
      <diagonal/>
    </border>
    <border>
      <left style="thin">
        <color theme="4"/>
      </left>
      <right style="thin">
        <color theme="4" tint="0.399670400097659"/>
      </right>
      <top style="thin">
        <color theme="4" tint="0.399670400097659"/>
      </top>
      <bottom style="thin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60">
    <xf numFmtId="0" fontId="0" fillId="0" borderId="0">
      <alignment vertical="center"/>
    </xf>
    <xf numFmtId="43" fontId="51" fillId="0" borderId="0" applyFont="0" applyFill="0" applyBorder="0" applyAlignment="0" applyProtection="0">
      <alignment vertical="center"/>
    </xf>
    <xf numFmtId="44" fontId="51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2" fontId="51" fillId="0" borderId="0" applyFon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1" fillId="58" borderId="9" applyNumberFormat="0" applyFont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7" fillId="0" borderId="10" applyNumberFormat="0" applyFill="0" applyAlignment="0" applyProtection="0">
      <alignment vertical="center"/>
    </xf>
    <xf numFmtId="0" fontId="58" fillId="0" borderId="10" applyNumberFormat="0" applyFill="0" applyAlignment="0" applyProtection="0">
      <alignment vertical="center"/>
    </xf>
    <xf numFmtId="0" fontId="59" fillId="0" borderId="11" applyNumberFormat="0" applyFill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60" fillId="59" borderId="12" applyNumberFormat="0" applyAlignment="0" applyProtection="0">
      <alignment vertical="center"/>
    </xf>
    <xf numFmtId="0" fontId="61" fillId="60" borderId="13" applyNumberFormat="0" applyAlignment="0" applyProtection="0">
      <alignment vertical="center"/>
    </xf>
    <xf numFmtId="0" fontId="62" fillId="60" borderId="12" applyNumberFormat="0" applyAlignment="0" applyProtection="0">
      <alignment vertical="center"/>
    </xf>
    <xf numFmtId="0" fontId="63" fillId="61" borderId="14" applyNumberFormat="0" applyAlignment="0" applyProtection="0">
      <alignment vertical="center"/>
    </xf>
    <xf numFmtId="0" fontId="64" fillId="0" borderId="15" applyNumberFormat="0" applyFill="0" applyAlignment="0" applyProtection="0">
      <alignment vertical="center"/>
    </xf>
    <xf numFmtId="0" fontId="65" fillId="0" borderId="16" applyNumberFormat="0" applyFill="0" applyAlignment="0" applyProtection="0">
      <alignment vertical="center"/>
    </xf>
    <xf numFmtId="0" fontId="66" fillId="62" borderId="0" applyNumberFormat="0" applyBorder="0" applyAlignment="0" applyProtection="0">
      <alignment vertical="center"/>
    </xf>
    <xf numFmtId="0" fontId="67" fillId="63" borderId="0" applyNumberFormat="0" applyBorder="0" applyAlignment="0" applyProtection="0">
      <alignment vertical="center"/>
    </xf>
    <xf numFmtId="0" fontId="68" fillId="64" borderId="0" applyNumberFormat="0" applyBorder="0" applyAlignment="0" applyProtection="0">
      <alignment vertical="center"/>
    </xf>
    <xf numFmtId="0" fontId="69" fillId="7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70" fillId="66" borderId="0" applyNumberFormat="0" applyBorder="0" applyAlignment="0" applyProtection="0">
      <alignment vertical="center"/>
    </xf>
    <xf numFmtId="0" fontId="69" fillId="67" borderId="0" applyNumberFormat="0" applyBorder="0" applyAlignment="0" applyProtection="0">
      <alignment vertical="center"/>
    </xf>
    <xf numFmtId="0" fontId="69" fillId="16" borderId="0" applyNumberFormat="0" applyBorder="0" applyAlignment="0" applyProtection="0">
      <alignment vertical="center"/>
    </xf>
    <xf numFmtId="0" fontId="70" fillId="68" borderId="0" applyNumberFormat="0" applyBorder="0" applyAlignment="0" applyProtection="0">
      <alignment vertical="center"/>
    </xf>
    <xf numFmtId="0" fontId="70" fillId="69" borderId="0" applyNumberFormat="0" applyBorder="0" applyAlignment="0" applyProtection="0">
      <alignment vertical="center"/>
    </xf>
    <xf numFmtId="0" fontId="69" fillId="70" borderId="0" applyNumberFormat="0" applyBorder="0" applyAlignment="0" applyProtection="0">
      <alignment vertical="center"/>
    </xf>
    <xf numFmtId="0" fontId="69" fillId="11" borderId="0" applyNumberFormat="0" applyBorder="0" applyAlignment="0" applyProtection="0">
      <alignment vertical="center"/>
    </xf>
    <xf numFmtId="0" fontId="70" fillId="71" borderId="0" applyNumberFormat="0" applyBorder="0" applyAlignment="0" applyProtection="0">
      <alignment vertical="center"/>
    </xf>
    <xf numFmtId="0" fontId="70" fillId="72" borderId="0" applyNumberFormat="0" applyBorder="0" applyAlignment="0" applyProtection="0">
      <alignment vertical="center"/>
    </xf>
    <xf numFmtId="0" fontId="69" fillId="73" borderId="0" applyNumberFormat="0" applyBorder="0" applyAlignment="0" applyProtection="0">
      <alignment vertical="center"/>
    </xf>
    <xf numFmtId="0" fontId="69" fillId="13" borderId="0" applyNumberFormat="0" applyBorder="0" applyAlignment="0" applyProtection="0">
      <alignment vertical="center"/>
    </xf>
    <xf numFmtId="0" fontId="70" fillId="74" borderId="0" applyNumberFormat="0" applyBorder="0" applyAlignment="0" applyProtection="0">
      <alignment vertical="center"/>
    </xf>
    <xf numFmtId="0" fontId="70" fillId="75" borderId="0" applyNumberFormat="0" applyBorder="0" applyAlignment="0" applyProtection="0">
      <alignment vertical="center"/>
    </xf>
    <xf numFmtId="0" fontId="69" fillId="76" borderId="0" applyNumberFormat="0" applyBorder="0" applyAlignment="0" applyProtection="0">
      <alignment vertical="center"/>
    </xf>
    <xf numFmtId="0" fontId="69" fillId="10" borderId="0" applyNumberFormat="0" applyBorder="0" applyAlignment="0" applyProtection="0">
      <alignment vertical="center"/>
    </xf>
    <xf numFmtId="0" fontId="70" fillId="77" borderId="0" applyNumberFormat="0" applyBorder="0" applyAlignment="0" applyProtection="0">
      <alignment vertical="center"/>
    </xf>
    <xf numFmtId="0" fontId="70" fillId="78" borderId="0" applyNumberFormat="0" applyBorder="0" applyAlignment="0" applyProtection="0">
      <alignment vertical="center"/>
    </xf>
    <xf numFmtId="0" fontId="69" fillId="79" borderId="0" applyNumberFormat="0" applyBorder="0" applyAlignment="0" applyProtection="0">
      <alignment vertical="center"/>
    </xf>
    <xf numFmtId="0" fontId="69" fillId="15" borderId="0" applyNumberFormat="0" applyBorder="0" applyAlignment="0" applyProtection="0">
      <alignment vertical="center"/>
    </xf>
    <xf numFmtId="0" fontId="70" fillId="80" borderId="0" applyNumberFormat="0" applyBorder="0" applyAlignment="0" applyProtection="0">
      <alignment vertical="center"/>
    </xf>
    <xf numFmtId="0" fontId="70" fillId="81" borderId="0" applyNumberFormat="0" applyBorder="0" applyAlignment="0" applyProtection="0">
      <alignment vertical="center"/>
    </xf>
    <xf numFmtId="0" fontId="69" fillId="82" borderId="0" applyNumberFormat="0" applyBorder="0" applyAlignment="0" applyProtection="0">
      <alignment vertical="center"/>
    </xf>
    <xf numFmtId="0" fontId="71" fillId="0" borderId="0">
      <alignment vertical="top"/>
      <protection locked="0"/>
    </xf>
    <xf numFmtId="0" fontId="71" fillId="0" borderId="0">
      <alignment vertical="top"/>
      <protection locked="0"/>
    </xf>
    <xf numFmtId="0" fontId="71" fillId="0" borderId="0">
      <alignment vertical="top"/>
      <protection locked="0"/>
    </xf>
    <xf numFmtId="0" fontId="71" fillId="0" borderId="0">
      <alignment vertical="top"/>
      <protection locked="0"/>
    </xf>
    <xf numFmtId="9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176" fontId="51" fillId="0" borderId="0" applyFont="0" applyFill="0" applyBorder="0" applyAlignment="0" applyProtection="0">
      <alignment vertical="center"/>
    </xf>
    <xf numFmtId="176" fontId="51" fillId="0" borderId="0" applyFont="0" applyFill="0" applyBorder="0" applyAlignment="0" applyProtection="0">
      <alignment vertical="center"/>
    </xf>
  </cellStyleXfs>
  <cellXfs count="247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49" fontId="4" fillId="2" borderId="1" xfId="0" applyNumberFormat="1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10" fontId="5" fillId="0" borderId="1" xfId="3" applyNumberFormat="1" applyFont="1" applyBorder="1" applyAlignment="1">
      <alignment horizontal="center" vertical="center"/>
    </xf>
    <xf numFmtId="43" fontId="1" fillId="0" borderId="1" xfId="0" applyNumberFormat="1" applyFont="1" applyBorder="1" applyAlignment="1">
      <alignment horizontal="center" vertical="center"/>
    </xf>
    <xf numFmtId="0" fontId="6" fillId="0" borderId="1" xfId="58" applyNumberFormat="1" applyFont="1" applyFill="1" applyBorder="1" applyAlignment="1">
      <alignment vertical="center" wrapText="1"/>
    </xf>
    <xf numFmtId="0" fontId="1" fillId="0" borderId="1" xfId="0" applyFont="1" applyBorder="1">
      <alignment vertical="center"/>
    </xf>
    <xf numFmtId="10" fontId="1" fillId="0" borderId="1" xfId="3" applyNumberFormat="1" applyFont="1" applyBorder="1">
      <alignment vertical="center"/>
    </xf>
    <xf numFmtId="0" fontId="7" fillId="0" borderId="1" xfId="0" applyFont="1" applyBorder="1" applyAlignment="1">
      <alignment vertical="center" wrapText="1"/>
    </xf>
    <xf numFmtId="0" fontId="8" fillId="0" borderId="1" xfId="0" applyFont="1" applyBorder="1" applyAlignment="1">
      <alignment vertical="center" wrapText="1"/>
    </xf>
    <xf numFmtId="0" fontId="9" fillId="0" borderId="1" xfId="0" applyFont="1" applyBorder="1" applyAlignment="1">
      <alignment horizontal="center" vertical="center"/>
    </xf>
    <xf numFmtId="10" fontId="9" fillId="0" borderId="1" xfId="3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1" fillId="0" borderId="0" xfId="0" applyFont="1" applyAlignment="1">
      <alignment horizontal="right" vertical="center"/>
    </xf>
    <xf numFmtId="0" fontId="10" fillId="0" borderId="1" xfId="0" applyFont="1" applyBorder="1" applyAlignment="1">
      <alignment horizontal="left" vertical="center"/>
    </xf>
    <xf numFmtId="0" fontId="11" fillId="0" borderId="1" xfId="0" applyFont="1" applyBorder="1" applyAlignment="1">
      <alignment horizontal="right" vertical="center"/>
    </xf>
    <xf numFmtId="0" fontId="10" fillId="3" borderId="1" xfId="0" applyFont="1" applyFill="1" applyBorder="1" applyAlignment="1">
      <alignment horizontal="left" vertical="center"/>
    </xf>
    <xf numFmtId="9" fontId="1" fillId="3" borderId="1" xfId="3" applyFont="1" applyFill="1" applyBorder="1" applyAlignment="1">
      <alignment horizontal="right" vertical="center"/>
    </xf>
    <xf numFmtId="0" fontId="1" fillId="0" borderId="1" xfId="3" applyNumberFormat="1" applyFont="1" applyBorder="1" applyAlignment="1">
      <alignment horizontal="right" vertical="center"/>
    </xf>
    <xf numFmtId="10" fontId="1" fillId="0" borderId="1" xfId="3" applyNumberFormat="1" applyFont="1" applyBorder="1" applyAlignment="1">
      <alignment horizontal="right" vertical="center"/>
    </xf>
    <xf numFmtId="0" fontId="12" fillId="0" borderId="0" xfId="0" applyFont="1" applyAlignment="1">
      <alignment vertical="center" shrinkToFit="1"/>
    </xf>
    <xf numFmtId="0" fontId="13" fillId="2" borderId="1" xfId="0" applyFont="1" applyFill="1" applyBorder="1" applyAlignment="1">
      <alignment horizontal="center" vertical="center" wrapText="1" shrinkToFit="1"/>
    </xf>
    <xf numFmtId="0" fontId="13" fillId="4" borderId="1" xfId="0" applyFont="1" applyFill="1" applyBorder="1" applyAlignment="1">
      <alignment horizontal="center" vertical="center" shrinkToFit="1"/>
    </xf>
    <xf numFmtId="0" fontId="13" fillId="4" borderId="1" xfId="0" applyFont="1" applyFill="1" applyBorder="1" applyAlignment="1">
      <alignment horizontal="left" vertical="center" shrinkToFit="1"/>
    </xf>
    <xf numFmtId="177" fontId="14" fillId="5" borderId="1" xfId="0" applyNumberFormat="1" applyFont="1" applyFill="1" applyBorder="1" applyAlignment="1">
      <alignment vertical="center" shrinkToFit="1"/>
    </xf>
    <xf numFmtId="178" fontId="14" fillId="5" borderId="1" xfId="0" applyNumberFormat="1" applyFont="1" applyFill="1" applyBorder="1" applyAlignment="1">
      <alignment vertical="center" shrinkToFit="1"/>
    </xf>
    <xf numFmtId="177" fontId="12" fillId="0" borderId="1" xfId="0" applyNumberFormat="1" applyFont="1" applyBorder="1" applyAlignment="1">
      <alignment vertical="center" shrinkToFit="1"/>
    </xf>
    <xf numFmtId="177" fontId="12" fillId="5" borderId="1" xfId="0" applyNumberFormat="1" applyFont="1" applyFill="1" applyBorder="1" applyAlignment="1">
      <alignment vertical="center" shrinkToFit="1"/>
    </xf>
    <xf numFmtId="178" fontId="12" fillId="5" borderId="1" xfId="0" applyNumberFormat="1" applyFont="1" applyFill="1" applyBorder="1" applyAlignment="1">
      <alignment vertical="center" shrinkToFit="1"/>
    </xf>
    <xf numFmtId="0" fontId="15" fillId="4" borderId="1" xfId="0" applyFont="1" applyFill="1" applyBorder="1" applyAlignment="1">
      <alignment horizontal="left" vertical="center" shrinkToFit="1"/>
    </xf>
    <xf numFmtId="0" fontId="16" fillId="2" borderId="1" xfId="0" applyFont="1" applyFill="1" applyBorder="1" applyAlignment="1">
      <alignment horizontal="center" vertical="center" shrinkToFit="1"/>
    </xf>
    <xf numFmtId="177" fontId="17" fillId="0" borderId="1" xfId="0" applyNumberFormat="1" applyFont="1" applyBorder="1" applyAlignment="1">
      <alignment horizontal="center" vertical="center" shrinkToFit="1"/>
    </xf>
    <xf numFmtId="177" fontId="18" fillId="0" borderId="1" xfId="0" applyNumberFormat="1" applyFont="1" applyBorder="1" applyAlignment="1">
      <alignment horizontal="center" vertical="center" shrinkToFit="1"/>
    </xf>
    <xf numFmtId="178" fontId="18" fillId="0" borderId="1" xfId="3" applyNumberFormat="1" applyFont="1" applyBorder="1" applyAlignment="1">
      <alignment horizontal="center" vertical="center" shrinkToFit="1"/>
    </xf>
    <xf numFmtId="177" fontId="12" fillId="6" borderId="1" xfId="0" applyNumberFormat="1" applyFont="1" applyFill="1" applyBorder="1" applyAlignment="1">
      <alignment vertical="center" wrapText="1" shrinkToFit="1"/>
    </xf>
    <xf numFmtId="177" fontId="18" fillId="6" borderId="1" xfId="0" applyNumberFormat="1" applyFont="1" applyFill="1" applyBorder="1" applyAlignment="1">
      <alignment horizontal="center" vertical="center" shrinkToFit="1"/>
    </xf>
    <xf numFmtId="177" fontId="12" fillId="6" borderId="1" xfId="0" applyNumberFormat="1" applyFont="1" applyFill="1" applyBorder="1" applyAlignment="1">
      <alignment vertical="center" shrinkToFit="1"/>
    </xf>
    <xf numFmtId="43" fontId="12" fillId="0" borderId="1" xfId="0" applyNumberFormat="1" applyFont="1" applyBorder="1" applyAlignment="1">
      <alignment vertical="center" shrinkToFit="1"/>
    </xf>
    <xf numFmtId="0" fontId="12" fillId="0" borderId="0" xfId="0" applyFont="1" applyAlignment="1">
      <alignment horizontal="left" vertical="top" wrapText="1" shrinkToFit="1"/>
    </xf>
    <xf numFmtId="9" fontId="12" fillId="0" borderId="1" xfId="3" applyFont="1" applyBorder="1" applyAlignment="1">
      <alignment vertical="center" shrinkToFit="1"/>
    </xf>
    <xf numFmtId="43" fontId="14" fillId="5" borderId="1" xfId="0" applyNumberFormat="1" applyFont="1" applyFill="1" applyBorder="1" applyAlignment="1">
      <alignment vertical="center" shrinkToFit="1"/>
    </xf>
    <xf numFmtId="43" fontId="12" fillId="0" borderId="1" xfId="3" applyNumberFormat="1" applyFont="1" applyBorder="1" applyAlignment="1">
      <alignment vertical="center" shrinkToFit="1"/>
    </xf>
    <xf numFmtId="0" fontId="19" fillId="0" borderId="0" xfId="0" applyFont="1" applyAlignment="1">
      <alignment vertical="center" shrinkToFit="1"/>
    </xf>
    <xf numFmtId="0" fontId="13" fillId="7" borderId="1" xfId="0" applyFont="1" applyFill="1" applyBorder="1" applyAlignment="1">
      <alignment horizontal="center" vertical="center" shrinkToFit="1"/>
    </xf>
    <xf numFmtId="0" fontId="12" fillId="0" borderId="0" xfId="0" applyFont="1" applyAlignment="1">
      <alignment vertical="center" wrapText="1" shrinkToFit="1"/>
    </xf>
    <xf numFmtId="0" fontId="13" fillId="4" borderId="2" xfId="0" applyFont="1" applyFill="1" applyBorder="1" applyAlignment="1">
      <alignment horizontal="center" vertical="center" shrinkToFit="1"/>
    </xf>
    <xf numFmtId="0" fontId="14" fillId="0" borderId="1" xfId="0" applyFont="1" applyBorder="1" applyAlignment="1">
      <alignment vertical="center" shrinkToFit="1"/>
    </xf>
    <xf numFmtId="0" fontId="12" fillId="0" borderId="1" xfId="0" applyFont="1" applyBorder="1" applyAlignment="1">
      <alignment vertical="center" shrinkToFit="1"/>
    </xf>
    <xf numFmtId="0" fontId="13" fillId="4" borderId="3" xfId="0" applyFont="1" applyFill="1" applyBorder="1" applyAlignment="1">
      <alignment horizontal="center" vertical="center" shrinkToFit="1"/>
    </xf>
    <xf numFmtId="10" fontId="12" fillId="0" borderId="1" xfId="3" applyNumberFormat="1" applyFont="1" applyBorder="1" applyAlignment="1">
      <alignment vertical="center" shrinkToFit="1"/>
    </xf>
    <xf numFmtId="179" fontId="12" fillId="0" borderId="1" xfId="0" applyNumberFormat="1" applyFont="1" applyBorder="1" applyAlignment="1">
      <alignment vertical="center" shrinkToFit="1"/>
    </xf>
    <xf numFmtId="0" fontId="13" fillId="4" borderId="4" xfId="0" applyFont="1" applyFill="1" applyBorder="1" applyAlignment="1">
      <alignment horizontal="center" vertical="center" shrinkToFit="1"/>
    </xf>
    <xf numFmtId="10" fontId="14" fillId="0" borderId="1" xfId="3" applyNumberFormat="1" applyFont="1" applyBorder="1" applyAlignment="1">
      <alignment vertical="center" shrinkToFit="1"/>
    </xf>
    <xf numFmtId="4" fontId="14" fillId="0" borderId="1" xfId="0" applyNumberFormat="1" applyFont="1" applyBorder="1" applyAlignment="1">
      <alignment vertical="center" shrinkToFit="1"/>
    </xf>
    <xf numFmtId="0" fontId="13" fillId="8" borderId="1" xfId="0" applyFont="1" applyFill="1" applyBorder="1" applyAlignment="1">
      <alignment horizontal="center" vertical="center" shrinkToFit="1"/>
    </xf>
    <xf numFmtId="0" fontId="20" fillId="0" borderId="0" xfId="0" applyFont="1" applyAlignment="1">
      <alignment vertical="center" shrinkToFit="1"/>
    </xf>
    <xf numFmtId="0" fontId="13" fillId="4" borderId="1" xfId="0" applyFont="1" applyFill="1" applyBorder="1" applyAlignment="1">
      <alignment vertical="center" shrinkToFit="1"/>
    </xf>
    <xf numFmtId="3" fontId="14" fillId="0" borderId="1" xfId="0" applyNumberFormat="1" applyFont="1" applyBorder="1" applyAlignment="1">
      <alignment vertical="center" shrinkToFit="1"/>
    </xf>
    <xf numFmtId="2" fontId="12" fillId="0" borderId="1" xfId="0" applyNumberFormat="1" applyFont="1" applyBorder="1" applyAlignment="1">
      <alignment vertical="center" shrinkToFit="1"/>
    </xf>
    <xf numFmtId="9" fontId="13" fillId="4" borderId="1" xfId="0" applyNumberFormat="1" applyFont="1" applyFill="1" applyBorder="1" applyAlignment="1">
      <alignment horizontal="center" vertical="center" shrinkToFit="1"/>
    </xf>
    <xf numFmtId="9" fontId="12" fillId="0" borderId="1" xfId="3" applyNumberFormat="1" applyFont="1" applyBorder="1" applyAlignment="1">
      <alignment vertical="center" shrinkToFit="1"/>
    </xf>
    <xf numFmtId="2" fontId="13" fillId="4" borderId="1" xfId="0" applyNumberFormat="1" applyFont="1" applyFill="1" applyBorder="1" applyAlignment="1">
      <alignment horizontal="center" vertical="center" shrinkToFit="1"/>
    </xf>
    <xf numFmtId="9" fontId="12" fillId="0" borderId="0" xfId="0" applyNumberFormat="1" applyFont="1" applyAlignment="1">
      <alignment vertical="center" shrinkToFit="1"/>
    </xf>
    <xf numFmtId="180" fontId="14" fillId="0" borderId="1" xfId="3" applyNumberFormat="1" applyFont="1" applyBorder="1" applyAlignment="1">
      <alignment vertical="center" shrinkToFit="1"/>
    </xf>
    <xf numFmtId="2" fontId="12" fillId="0" borderId="0" xfId="0" applyNumberFormat="1" applyFont="1" applyAlignment="1">
      <alignment vertical="center" shrinkToFit="1"/>
    </xf>
    <xf numFmtId="0" fontId="12" fillId="0" borderId="0" xfId="0" applyFont="1" applyAlignment="1">
      <alignment vertical="top" wrapText="1" shrinkToFit="1"/>
    </xf>
    <xf numFmtId="43" fontId="12" fillId="0" borderId="0" xfId="0" applyNumberFormat="1" applyFont="1" applyAlignment="1">
      <alignment vertical="center" shrinkToFit="1"/>
    </xf>
    <xf numFmtId="0" fontId="14" fillId="0" borderId="0" xfId="0" applyFont="1" applyAlignment="1">
      <alignment horizontal="center" vertical="center" shrinkToFit="1"/>
    </xf>
    <xf numFmtId="10" fontId="14" fillId="0" borderId="0" xfId="0" applyNumberFormat="1" applyFont="1" applyAlignment="1">
      <alignment vertical="center" shrinkToFit="1"/>
    </xf>
    <xf numFmtId="10" fontId="14" fillId="0" borderId="0" xfId="3" applyNumberFormat="1" applyFont="1" applyAlignment="1">
      <alignment vertical="center" shrinkToFit="1"/>
    </xf>
    <xf numFmtId="0" fontId="13" fillId="2" borderId="1" xfId="0" applyFont="1" applyFill="1" applyBorder="1" applyAlignment="1">
      <alignment horizontal="center" vertical="center" shrinkToFit="1"/>
    </xf>
    <xf numFmtId="0" fontId="21" fillId="9" borderId="1" xfId="0" applyFont="1" applyFill="1" applyBorder="1" applyAlignment="1">
      <alignment horizontal="center" vertical="center" shrinkToFit="1"/>
    </xf>
    <xf numFmtId="0" fontId="21" fillId="10" borderId="1" xfId="0" applyFont="1" applyFill="1" applyBorder="1" applyAlignment="1">
      <alignment horizontal="center" vertical="center" shrinkToFit="1"/>
    </xf>
    <xf numFmtId="0" fontId="21" fillId="11" borderId="1" xfId="0" applyFont="1" applyFill="1" applyBorder="1" applyAlignment="1">
      <alignment horizontal="center" vertical="center" shrinkToFit="1"/>
    </xf>
    <xf numFmtId="0" fontId="22" fillId="12" borderId="1" xfId="0" applyFont="1" applyFill="1" applyBorder="1" applyAlignment="1">
      <alignment horizontal="center" vertical="center" shrinkToFit="1"/>
    </xf>
    <xf numFmtId="0" fontId="21" fillId="13" borderId="1" xfId="0" applyFont="1" applyFill="1" applyBorder="1" applyAlignment="1">
      <alignment horizontal="center" vertical="center" shrinkToFit="1"/>
    </xf>
    <xf numFmtId="0" fontId="15" fillId="4" borderId="1" xfId="0" applyFont="1" applyFill="1" applyBorder="1" applyAlignment="1">
      <alignment horizontal="center" vertical="center" shrinkToFit="1"/>
    </xf>
    <xf numFmtId="0" fontId="15" fillId="4" borderId="1" xfId="58" applyNumberFormat="1" applyFont="1" applyFill="1" applyBorder="1" applyAlignment="1">
      <alignment vertical="center" shrinkToFit="1"/>
    </xf>
    <xf numFmtId="177" fontId="19" fillId="0" borderId="1" xfId="0" applyNumberFormat="1" applyFont="1" applyBorder="1" applyAlignment="1">
      <alignment horizontal="right" vertical="center" shrinkToFit="1"/>
    </xf>
    <xf numFmtId="178" fontId="19" fillId="0" borderId="1" xfId="3" applyNumberFormat="1" applyFont="1" applyFill="1" applyBorder="1" applyAlignment="1">
      <alignment horizontal="right" vertical="center" shrinkToFit="1"/>
    </xf>
    <xf numFmtId="178" fontId="19" fillId="14" borderId="1" xfId="3" applyNumberFormat="1" applyFont="1" applyFill="1" applyBorder="1" applyAlignment="1">
      <alignment horizontal="right" vertical="center" shrinkToFit="1"/>
    </xf>
    <xf numFmtId="0" fontId="23" fillId="0" borderId="1" xfId="58" applyNumberFormat="1" applyFont="1" applyFill="1" applyBorder="1" applyAlignment="1">
      <alignment vertical="center" shrinkToFit="1"/>
    </xf>
    <xf numFmtId="181" fontId="12" fillId="0" borderId="1" xfId="0" applyNumberFormat="1" applyFont="1" applyBorder="1" applyAlignment="1">
      <alignment vertical="center" shrinkToFit="1"/>
    </xf>
    <xf numFmtId="182" fontId="12" fillId="0" borderId="1" xfId="3" applyNumberFormat="1" applyFont="1" applyBorder="1" applyAlignment="1">
      <alignment vertical="center" shrinkToFit="1"/>
    </xf>
    <xf numFmtId="0" fontId="12" fillId="0" borderId="0" xfId="0" applyFont="1" applyAlignment="1">
      <alignment vertical="center"/>
    </xf>
    <xf numFmtId="177" fontId="24" fillId="0" borderId="1" xfId="0" applyNumberFormat="1" applyFont="1" applyBorder="1" applyAlignment="1">
      <alignment horizontal="right" vertical="center" shrinkToFit="1"/>
    </xf>
    <xf numFmtId="178" fontId="24" fillId="0" borderId="1" xfId="3" applyNumberFormat="1" applyFont="1" applyFill="1" applyBorder="1" applyAlignment="1">
      <alignment horizontal="right" vertical="center" shrinkToFit="1"/>
    </xf>
    <xf numFmtId="178" fontId="24" fillId="14" borderId="1" xfId="3" applyNumberFormat="1" applyFont="1" applyFill="1" applyBorder="1" applyAlignment="1">
      <alignment horizontal="right" vertical="center" shrinkToFit="1"/>
    </xf>
    <xf numFmtId="178" fontId="12" fillId="0" borderId="1" xfId="3" applyNumberFormat="1" applyFont="1" applyBorder="1" applyAlignment="1">
      <alignment vertical="center" shrinkToFit="1"/>
    </xf>
    <xf numFmtId="0" fontId="25" fillId="3" borderId="1" xfId="0" applyFont="1" applyFill="1" applyBorder="1" applyAlignment="1">
      <alignment horizontal="center" vertical="center" shrinkToFit="1"/>
    </xf>
    <xf numFmtId="178" fontId="14" fillId="0" borderId="1" xfId="3" applyNumberFormat="1" applyFont="1" applyBorder="1" applyAlignment="1">
      <alignment vertical="center" shrinkToFit="1"/>
    </xf>
    <xf numFmtId="178" fontId="14" fillId="0" borderId="1" xfId="0" applyNumberFormat="1" applyFont="1" applyBorder="1" applyAlignment="1">
      <alignment vertical="center" shrinkToFit="1"/>
    </xf>
    <xf numFmtId="183" fontId="12" fillId="0" borderId="1" xfId="3" applyNumberFormat="1" applyFont="1" applyBorder="1" applyAlignment="1">
      <alignment vertical="center" shrinkToFit="1"/>
    </xf>
    <xf numFmtId="183" fontId="12" fillId="0" borderId="0" xfId="3" applyNumberFormat="1" applyFont="1" applyAlignment="1">
      <alignment vertical="center" shrinkToFit="1"/>
    </xf>
    <xf numFmtId="0" fontId="16" fillId="15" borderId="1" xfId="0" applyFont="1" applyFill="1" applyBorder="1" applyAlignment="1">
      <alignment horizontal="center" vertical="center" shrinkToFit="1"/>
    </xf>
    <xf numFmtId="0" fontId="16" fillId="15" borderId="1" xfId="0" applyFont="1" applyFill="1" applyBorder="1" applyAlignment="1">
      <alignment horizontal="left" vertical="center" shrinkToFit="1"/>
    </xf>
    <xf numFmtId="177" fontId="14" fillId="3" borderId="1" xfId="0" applyNumberFormat="1" applyFont="1" applyFill="1" applyBorder="1" applyAlignment="1">
      <alignment vertical="center" shrinkToFit="1"/>
    </xf>
    <xf numFmtId="178" fontId="14" fillId="3" borderId="1" xfId="0" applyNumberFormat="1" applyFont="1" applyFill="1" applyBorder="1" applyAlignment="1">
      <alignment vertical="center" shrinkToFit="1"/>
    </xf>
    <xf numFmtId="0" fontId="26" fillId="15" borderId="1" xfId="0" applyFont="1" applyFill="1" applyBorder="1" applyAlignment="1">
      <alignment horizontal="left" vertical="center" shrinkToFit="1"/>
    </xf>
    <xf numFmtId="177" fontId="12" fillId="3" borderId="1" xfId="0" applyNumberFormat="1" applyFont="1" applyFill="1" applyBorder="1" applyAlignment="1">
      <alignment vertical="center" shrinkToFit="1"/>
    </xf>
    <xf numFmtId="178" fontId="12" fillId="3" borderId="1" xfId="0" applyNumberFormat="1" applyFont="1" applyFill="1" applyBorder="1" applyAlignment="1">
      <alignment vertical="center" shrinkToFit="1"/>
    </xf>
    <xf numFmtId="0" fontId="12" fillId="0" borderId="0" xfId="0" applyFont="1" applyAlignment="1">
      <alignment horizontal="right" vertical="center" shrinkToFit="1"/>
    </xf>
    <xf numFmtId="0" fontId="27" fillId="0" borderId="0" xfId="0" applyFont="1" applyAlignment="1">
      <alignment vertical="center" shrinkToFit="1"/>
    </xf>
    <xf numFmtId="0" fontId="28" fillId="7" borderId="1" xfId="0" applyFont="1" applyFill="1" applyBorder="1" applyAlignment="1">
      <alignment horizontal="center" vertical="center" shrinkToFit="1"/>
    </xf>
    <xf numFmtId="0" fontId="28" fillId="7" borderId="0" xfId="0" applyFont="1" applyFill="1" applyAlignment="1">
      <alignment horizontal="center" vertical="center" shrinkToFit="1"/>
    </xf>
    <xf numFmtId="0" fontId="29" fillId="0" borderId="1" xfId="0" applyFont="1" applyBorder="1" applyAlignment="1">
      <alignment horizontal="center" vertical="center" shrinkToFit="1"/>
    </xf>
    <xf numFmtId="0" fontId="30" fillId="0" borderId="1" xfId="0" applyFont="1" applyBorder="1" applyAlignment="1">
      <alignment horizontal="left" vertical="center" shrinkToFit="1"/>
    </xf>
    <xf numFmtId="0" fontId="29" fillId="0" borderId="1" xfId="0" applyFont="1" applyBorder="1" applyAlignment="1">
      <alignment horizontal="left" vertical="center" shrinkToFit="1"/>
    </xf>
    <xf numFmtId="183" fontId="30" fillId="0" borderId="1" xfId="3" applyNumberFormat="1" applyFont="1" applyBorder="1" applyAlignment="1">
      <alignment horizontal="center" vertical="center" shrinkToFit="1"/>
    </xf>
    <xf numFmtId="0" fontId="31" fillId="0" borderId="1" xfId="0" applyFont="1" applyFill="1" applyBorder="1" applyAlignment="1">
      <alignment horizontal="center" vertical="center"/>
    </xf>
    <xf numFmtId="0" fontId="0" fillId="0" borderId="1" xfId="0" applyFont="1" applyFill="1" applyBorder="1" applyAlignment="1">
      <alignment horizontal="center" vertical="center"/>
    </xf>
    <xf numFmtId="0" fontId="0" fillId="0" borderId="1" xfId="0" applyFont="1" applyFill="1" applyBorder="1" applyAlignment="1">
      <alignment vertical="center"/>
    </xf>
    <xf numFmtId="0" fontId="14" fillId="0" borderId="0" xfId="0" applyFont="1" applyAlignment="1">
      <alignment vertical="center" shrinkToFit="1"/>
    </xf>
    <xf numFmtId="0" fontId="32" fillId="2" borderId="1" xfId="0" applyFont="1" applyFill="1" applyBorder="1" applyAlignment="1">
      <alignment horizontal="center" vertical="center" shrinkToFit="1"/>
    </xf>
    <xf numFmtId="0" fontId="13" fillId="4" borderId="5" xfId="58" applyNumberFormat="1" applyFont="1" applyFill="1" applyBorder="1" applyAlignment="1">
      <alignment horizontal="center" vertical="center" shrinkToFit="1"/>
    </xf>
    <xf numFmtId="177" fontId="25" fillId="0" borderId="1" xfId="0" applyNumberFormat="1" applyFont="1" applyFill="1" applyBorder="1" applyAlignment="1">
      <alignment horizontal="center" vertical="center" shrinkToFit="1"/>
    </xf>
    <xf numFmtId="0" fontId="33" fillId="0" borderId="0" xfId="0" applyFont="1" applyAlignment="1">
      <alignment vertical="center" shrinkToFit="1"/>
    </xf>
    <xf numFmtId="0" fontId="34" fillId="2" borderId="1" xfId="0" applyFont="1" applyFill="1" applyBorder="1" applyAlignment="1">
      <alignment horizontal="center" vertical="center" shrinkToFit="1"/>
    </xf>
    <xf numFmtId="0" fontId="34" fillId="4" borderId="1" xfId="0" applyFont="1" applyFill="1" applyBorder="1" applyAlignment="1">
      <alignment horizontal="center" vertical="center" wrapText="1" shrinkToFit="1"/>
    </xf>
    <xf numFmtId="0" fontId="34" fillId="4" borderId="1" xfId="0" applyFont="1" applyFill="1" applyBorder="1" applyAlignment="1">
      <alignment horizontal="left" vertical="center" shrinkToFit="1"/>
    </xf>
    <xf numFmtId="43" fontId="35" fillId="0" borderId="1" xfId="0" applyNumberFormat="1" applyFont="1" applyBorder="1" applyAlignment="1">
      <alignment horizontal="center" vertical="center"/>
    </xf>
    <xf numFmtId="9" fontId="35" fillId="0" borderId="1" xfId="3" applyFont="1" applyBorder="1" applyAlignment="1">
      <alignment horizontal="center" vertical="center"/>
    </xf>
    <xf numFmtId="43" fontId="33" fillId="0" borderId="1" xfId="0" applyNumberFormat="1" applyFont="1" applyBorder="1" applyAlignment="1">
      <alignment horizontal="center" vertical="center"/>
    </xf>
    <xf numFmtId="0" fontId="36" fillId="4" borderId="1" xfId="0" applyFont="1" applyFill="1" applyBorder="1" applyAlignment="1">
      <alignment horizontal="left" vertical="center" shrinkToFit="1"/>
    </xf>
    <xf numFmtId="0" fontId="13" fillId="16" borderId="1" xfId="0" applyFont="1" applyFill="1" applyBorder="1" applyAlignment="1">
      <alignment horizontal="center" vertical="center" shrinkToFit="1"/>
    </xf>
    <xf numFmtId="0" fontId="37" fillId="14" borderId="0" xfId="0" applyFont="1" applyFill="1" applyAlignment="1">
      <alignment vertical="center" shrinkToFit="1"/>
    </xf>
    <xf numFmtId="0" fontId="13" fillId="4" borderId="1" xfId="58" applyNumberFormat="1" applyFont="1" applyFill="1" applyBorder="1" applyAlignment="1">
      <alignment horizontal="center" vertical="center" shrinkToFit="1"/>
    </xf>
    <xf numFmtId="177" fontId="14" fillId="0" borderId="1" xfId="0" applyNumberFormat="1" applyFont="1" applyBorder="1" applyAlignment="1">
      <alignment vertical="center" shrinkToFit="1"/>
    </xf>
    <xf numFmtId="0" fontId="38" fillId="14" borderId="0" xfId="0" applyFont="1" applyFill="1" applyAlignment="1">
      <alignment vertical="center" shrinkToFit="1"/>
    </xf>
    <xf numFmtId="0" fontId="13" fillId="15" borderId="1" xfId="0" applyFont="1" applyFill="1" applyBorder="1" applyAlignment="1">
      <alignment horizontal="center" vertical="center" wrapText="1" shrinkToFit="1"/>
    </xf>
    <xf numFmtId="0" fontId="13" fillId="15" borderId="1" xfId="0" applyFont="1" applyFill="1" applyBorder="1" applyAlignment="1">
      <alignment horizontal="left" vertical="center" shrinkToFit="1"/>
    </xf>
    <xf numFmtId="0" fontId="15" fillId="15" borderId="1" xfId="0" applyFont="1" applyFill="1" applyBorder="1" applyAlignment="1">
      <alignment horizontal="left" vertical="center" shrinkToFit="1"/>
    </xf>
    <xf numFmtId="178" fontId="14" fillId="17" borderId="1" xfId="0" applyNumberFormat="1" applyFont="1" applyFill="1" applyBorder="1" applyAlignment="1">
      <alignment vertical="center" shrinkToFit="1"/>
    </xf>
    <xf numFmtId="177" fontId="14" fillId="17" borderId="1" xfId="0" applyNumberFormat="1" applyFont="1" applyFill="1" applyBorder="1" applyAlignment="1">
      <alignment vertical="center" shrinkToFit="1"/>
    </xf>
    <xf numFmtId="0" fontId="39" fillId="0" borderId="0" xfId="0" applyFont="1" applyAlignment="1">
      <alignment horizontal="center" vertical="center" shrinkToFit="1"/>
    </xf>
    <xf numFmtId="0" fontId="16" fillId="18" borderId="0" xfId="0" applyFont="1" applyFill="1" applyAlignment="1">
      <alignment horizontal="center" vertical="center" shrinkToFit="1"/>
    </xf>
    <xf numFmtId="0" fontId="16" fillId="19" borderId="0" xfId="0" applyFont="1" applyFill="1" applyAlignment="1">
      <alignment horizontal="center" vertical="center" shrinkToFit="1"/>
    </xf>
    <xf numFmtId="0" fontId="16" fillId="0" borderId="0" xfId="0" applyFont="1" applyAlignment="1">
      <alignment horizontal="center" vertical="center" shrinkToFit="1"/>
    </xf>
    <xf numFmtId="0" fontId="12" fillId="0" borderId="0" xfId="0" applyFont="1" applyAlignment="1">
      <alignment horizontal="center" vertical="center" shrinkToFit="1"/>
    </xf>
    <xf numFmtId="0" fontId="16" fillId="20" borderId="0" xfId="0" applyFont="1" applyFill="1" applyAlignment="1">
      <alignment horizontal="center" vertical="center" shrinkToFit="1"/>
    </xf>
    <xf numFmtId="0" fontId="16" fillId="21" borderId="0" xfId="0" applyFont="1" applyFill="1" applyAlignment="1">
      <alignment horizontal="center" vertical="center" shrinkToFit="1"/>
    </xf>
    <xf numFmtId="0" fontId="39" fillId="14" borderId="0" xfId="0" applyFont="1" applyFill="1" applyAlignment="1">
      <alignment horizontal="center" vertical="center" shrinkToFit="1"/>
    </xf>
    <xf numFmtId="0" fontId="40" fillId="12" borderId="0" xfId="0" applyFont="1" applyFill="1" applyAlignment="1">
      <alignment horizontal="center" vertical="center" shrinkToFit="1"/>
    </xf>
    <xf numFmtId="0" fontId="16" fillId="22" borderId="0" xfId="0" applyFont="1" applyFill="1" applyAlignment="1">
      <alignment horizontal="center" vertical="center" shrinkToFit="1"/>
    </xf>
    <xf numFmtId="0" fontId="16" fillId="23" borderId="0" xfId="0" applyFont="1" applyFill="1" applyAlignment="1">
      <alignment horizontal="center" vertical="center" shrinkToFit="1"/>
    </xf>
    <xf numFmtId="0" fontId="16" fillId="24" borderId="0" xfId="0" applyFont="1" applyFill="1" applyAlignment="1">
      <alignment horizontal="center" vertical="center" shrinkToFit="1"/>
    </xf>
    <xf numFmtId="0" fontId="16" fillId="25" borderId="0" xfId="0" applyFont="1" applyFill="1" applyAlignment="1">
      <alignment horizontal="center" vertical="center" shrinkToFit="1"/>
    </xf>
    <xf numFmtId="0" fontId="16" fillId="26" borderId="0" xfId="0" applyFont="1" applyFill="1" applyAlignment="1">
      <alignment horizontal="center" vertical="center" shrinkToFit="1"/>
    </xf>
    <xf numFmtId="0" fontId="16" fillId="27" borderId="0" xfId="0" applyFont="1" applyFill="1" applyAlignment="1">
      <alignment horizontal="center" vertical="center" shrinkToFit="1"/>
    </xf>
    <xf numFmtId="0" fontId="16" fillId="28" borderId="0" xfId="0" applyFont="1" applyFill="1" applyAlignment="1">
      <alignment horizontal="center" vertical="center" shrinkToFit="1"/>
    </xf>
    <xf numFmtId="49" fontId="16" fillId="29" borderId="0" xfId="0" applyNumberFormat="1" applyFont="1" applyFill="1" applyAlignment="1">
      <alignment horizontal="center" vertical="center" shrinkToFit="1"/>
    </xf>
    <xf numFmtId="49" fontId="16" fillId="30" borderId="0" xfId="0" applyNumberFormat="1" applyFont="1" applyFill="1" applyAlignment="1">
      <alignment horizontal="center" vertical="center" shrinkToFit="1"/>
    </xf>
    <xf numFmtId="49" fontId="16" fillId="31" borderId="0" xfId="0" applyNumberFormat="1" applyFont="1" applyFill="1" applyAlignment="1">
      <alignment horizontal="center" vertical="center" shrinkToFit="1"/>
    </xf>
    <xf numFmtId="0" fontId="16" fillId="32" borderId="0" xfId="0" applyFont="1" applyFill="1" applyAlignment="1">
      <alignment horizontal="center" vertical="center" shrinkToFit="1"/>
    </xf>
    <xf numFmtId="0" fontId="16" fillId="33" borderId="0" xfId="0" applyFont="1" applyFill="1" applyAlignment="1">
      <alignment horizontal="center" vertical="center" shrinkToFit="1"/>
    </xf>
    <xf numFmtId="0" fontId="16" fillId="34" borderId="0" xfId="0" applyFont="1" applyFill="1" applyAlignment="1">
      <alignment horizontal="center" vertical="center" shrinkToFit="1"/>
    </xf>
    <xf numFmtId="0" fontId="41" fillId="35" borderId="0" xfId="0" applyFont="1" applyFill="1" applyAlignment="1">
      <alignment horizontal="center" vertical="center" shrinkToFit="1"/>
    </xf>
    <xf numFmtId="49" fontId="16" fillId="36" borderId="0" xfId="0" applyNumberFormat="1" applyFont="1" applyFill="1" applyAlignment="1">
      <alignment horizontal="center" vertical="center" shrinkToFit="1"/>
    </xf>
    <xf numFmtId="0" fontId="26" fillId="32" borderId="0" xfId="0" applyFont="1" applyFill="1" applyAlignment="1">
      <alignment vertical="center" shrinkToFit="1"/>
    </xf>
    <xf numFmtId="0" fontId="26" fillId="33" borderId="0" xfId="0" applyFont="1" applyFill="1" applyAlignment="1">
      <alignment vertical="center" shrinkToFit="1"/>
    </xf>
    <xf numFmtId="0" fontId="26" fillId="34" borderId="0" xfId="0" applyFont="1" applyFill="1" applyAlignment="1">
      <alignment vertical="center" shrinkToFit="1"/>
    </xf>
    <xf numFmtId="0" fontId="42" fillId="35" borderId="0" xfId="0" applyFont="1" applyFill="1" applyAlignment="1">
      <alignment vertical="center" shrinkToFit="1"/>
    </xf>
    <xf numFmtId="49" fontId="16" fillId="0" borderId="0" xfId="0" applyNumberFormat="1" applyFont="1" applyAlignment="1">
      <alignment horizontal="center" vertical="center" shrinkToFit="1"/>
    </xf>
    <xf numFmtId="0" fontId="16" fillId="37" borderId="0" xfId="0" applyFont="1" applyFill="1" applyAlignment="1">
      <alignment horizontal="center" vertical="center" shrinkToFit="1"/>
    </xf>
    <xf numFmtId="0" fontId="16" fillId="38" borderId="0" xfId="0" applyFont="1" applyFill="1" applyAlignment="1">
      <alignment horizontal="center" vertical="center" shrinkToFit="1"/>
    </xf>
    <xf numFmtId="0" fontId="16" fillId="39" borderId="0" xfId="0" applyFont="1" applyFill="1" applyAlignment="1">
      <alignment horizontal="center" vertical="center" shrinkToFit="1"/>
    </xf>
    <xf numFmtId="0" fontId="16" fillId="40" borderId="0" xfId="0" applyFont="1" applyFill="1" applyAlignment="1">
      <alignment horizontal="center" vertical="center" shrinkToFit="1"/>
    </xf>
    <xf numFmtId="0" fontId="16" fillId="41" borderId="0" xfId="0" applyFont="1" applyFill="1" applyAlignment="1">
      <alignment horizontal="center" vertical="center" shrinkToFit="1"/>
    </xf>
    <xf numFmtId="0" fontId="16" fillId="42" borderId="0" xfId="0" applyFont="1" applyFill="1" applyAlignment="1">
      <alignment horizontal="center" vertical="center" shrinkToFit="1"/>
    </xf>
    <xf numFmtId="0" fontId="16" fillId="43" borderId="0" xfId="0" applyFont="1" applyFill="1" applyAlignment="1">
      <alignment horizontal="center" vertical="center" shrinkToFit="1"/>
    </xf>
    <xf numFmtId="0" fontId="16" fillId="44" borderId="0" xfId="0" applyFont="1" applyFill="1" applyAlignment="1">
      <alignment horizontal="center" vertical="center" shrinkToFit="1"/>
    </xf>
    <xf numFmtId="0" fontId="16" fillId="45" borderId="0" xfId="0" applyFont="1" applyFill="1" applyAlignment="1">
      <alignment horizontal="center" vertical="center" shrinkToFit="1"/>
    </xf>
    <xf numFmtId="0" fontId="16" fillId="46" borderId="0" xfId="0" applyFont="1" applyFill="1" applyAlignment="1">
      <alignment horizontal="center" vertical="center" shrinkToFit="1"/>
    </xf>
    <xf numFmtId="0" fontId="16" fillId="47" borderId="0" xfId="0" applyFont="1" applyFill="1" applyAlignment="1">
      <alignment horizontal="center" vertical="center" shrinkToFit="1"/>
    </xf>
    <xf numFmtId="0" fontId="39" fillId="0" borderId="0" xfId="0" applyFont="1" applyAlignment="1">
      <alignment vertical="center" shrinkToFit="1"/>
    </xf>
    <xf numFmtId="0" fontId="12" fillId="2" borderId="0" xfId="0" applyFont="1" applyFill="1" applyAlignment="1">
      <alignment vertical="center" shrinkToFit="1"/>
    </xf>
    <xf numFmtId="0" fontId="12" fillId="48" borderId="0" xfId="0" applyFont="1" applyFill="1" applyAlignment="1">
      <alignment vertical="center" shrinkToFit="1"/>
    </xf>
    <xf numFmtId="0" fontId="12" fillId="49" borderId="0" xfId="0" applyFont="1" applyFill="1" applyAlignment="1">
      <alignment vertical="center" shrinkToFit="1"/>
    </xf>
    <xf numFmtId="0" fontId="12" fillId="50" borderId="0" xfId="0" applyFont="1" applyFill="1" applyAlignment="1">
      <alignment vertical="center" shrinkToFit="1"/>
    </xf>
    <xf numFmtId="0" fontId="12" fillId="51" borderId="0" xfId="0" applyFont="1" applyFill="1" applyAlignment="1">
      <alignment vertical="center" shrinkToFit="1"/>
    </xf>
    <xf numFmtId="0" fontId="12" fillId="52" borderId="0" xfId="0" applyFont="1" applyFill="1" applyAlignment="1">
      <alignment vertical="center" shrinkToFit="1"/>
    </xf>
    <xf numFmtId="0" fontId="12" fillId="53" borderId="0" xfId="0" applyFont="1" applyFill="1" applyAlignment="1">
      <alignment vertical="center" shrinkToFit="1"/>
    </xf>
    <xf numFmtId="0" fontId="12" fillId="54" borderId="0" xfId="0" applyFont="1" applyFill="1" applyAlignment="1">
      <alignment vertical="center" shrinkToFit="1"/>
    </xf>
    <xf numFmtId="0" fontId="12" fillId="55" borderId="0" xfId="0" applyFont="1" applyFill="1" applyAlignment="1">
      <alignment vertical="center" shrinkToFit="1"/>
    </xf>
    <xf numFmtId="0" fontId="12" fillId="56" borderId="0" xfId="0" applyFont="1" applyFill="1" applyAlignment="1">
      <alignment vertical="center" shrinkToFit="1"/>
    </xf>
    <xf numFmtId="0" fontId="12" fillId="57" borderId="0" xfId="0" applyFont="1" applyFill="1" applyAlignment="1">
      <alignment vertical="center" shrinkToFit="1"/>
    </xf>
    <xf numFmtId="0" fontId="12" fillId="0" borderId="6" xfId="0" applyFont="1" applyBorder="1" applyAlignment="1">
      <alignment vertical="center" shrinkToFit="1"/>
    </xf>
    <xf numFmtId="0" fontId="12" fillId="6" borderId="7" xfId="0" applyFont="1" applyFill="1" applyBorder="1" applyAlignment="1">
      <alignment vertical="center" shrinkToFit="1"/>
    </xf>
    <xf numFmtId="0" fontId="12" fillId="6" borderId="6" xfId="0" applyFont="1" applyFill="1" applyBorder="1" applyAlignment="1">
      <alignment vertical="center" shrinkToFit="1"/>
    </xf>
    <xf numFmtId="0" fontId="12" fillId="0" borderId="6" xfId="0" applyFont="1" applyBorder="1" applyAlignment="1">
      <alignment horizontal="left" vertical="center" shrinkToFit="1"/>
    </xf>
    <xf numFmtId="0" fontId="12" fillId="0" borderId="8" xfId="0" applyFont="1" applyBorder="1" applyAlignment="1">
      <alignment vertical="center" shrinkToFit="1"/>
    </xf>
    <xf numFmtId="0" fontId="43" fillId="0" borderId="0" xfId="0" applyFont="1" applyAlignment="1">
      <alignment horizontal="center" vertical="center"/>
    </xf>
    <xf numFmtId="0" fontId="44" fillId="18" borderId="0" xfId="0" applyFont="1" applyFill="1" applyAlignment="1">
      <alignment horizontal="center" vertical="center"/>
    </xf>
    <xf numFmtId="0" fontId="44" fillId="19" borderId="0" xfId="0" applyFont="1" applyFill="1" applyAlignment="1">
      <alignment horizontal="center" vertical="center"/>
    </xf>
    <xf numFmtId="0" fontId="44" fillId="0" borderId="0" xfId="0" applyFont="1" applyAlignment="1">
      <alignment horizontal="center" vertical="center"/>
    </xf>
    <xf numFmtId="0" fontId="27" fillId="0" borderId="0" xfId="0" applyFont="1">
      <alignment vertical="center"/>
    </xf>
    <xf numFmtId="0" fontId="45" fillId="0" borderId="0" xfId="0" applyFont="1" applyAlignment="1">
      <alignment horizontal="center" vertical="center"/>
    </xf>
    <xf numFmtId="0" fontId="44" fillId="20" borderId="0" xfId="0" applyFont="1" applyFill="1" applyAlignment="1">
      <alignment horizontal="center" vertical="center"/>
    </xf>
    <xf numFmtId="0" fontId="44" fillId="21" borderId="0" xfId="0" applyFont="1" applyFill="1" applyAlignment="1">
      <alignment horizontal="center" vertical="center"/>
    </xf>
    <xf numFmtId="0" fontId="43" fillId="14" borderId="0" xfId="0" applyFont="1" applyFill="1" applyAlignment="1">
      <alignment horizontal="center" vertical="center"/>
    </xf>
    <xf numFmtId="0" fontId="46" fillId="12" borderId="0" xfId="0" applyFont="1" applyFill="1" applyAlignment="1">
      <alignment horizontal="center" vertical="center"/>
    </xf>
    <xf numFmtId="0" fontId="44" fillId="22" borderId="0" xfId="0" applyFont="1" applyFill="1" applyAlignment="1">
      <alignment horizontal="center" vertical="center"/>
    </xf>
    <xf numFmtId="0" fontId="44" fillId="23" borderId="0" xfId="0" applyFont="1" applyFill="1" applyAlignment="1">
      <alignment horizontal="center" vertical="center"/>
    </xf>
    <xf numFmtId="0" fontId="44" fillId="25" borderId="0" xfId="0" applyFont="1" applyFill="1" applyAlignment="1">
      <alignment horizontal="center" vertical="center"/>
    </xf>
    <xf numFmtId="0" fontId="44" fillId="26" borderId="0" xfId="0" applyFont="1" applyFill="1" applyAlignment="1">
      <alignment horizontal="center" vertical="center"/>
    </xf>
    <xf numFmtId="0" fontId="44" fillId="27" borderId="0" xfId="0" applyFont="1" applyFill="1" applyAlignment="1">
      <alignment horizontal="center" vertical="center"/>
    </xf>
    <xf numFmtId="49" fontId="44" fillId="29" borderId="0" xfId="0" applyNumberFormat="1" applyFont="1" applyFill="1" applyAlignment="1">
      <alignment horizontal="center" vertical="center"/>
    </xf>
    <xf numFmtId="49" fontId="44" fillId="30" borderId="0" xfId="0" applyNumberFormat="1" applyFont="1" applyFill="1" applyAlignment="1">
      <alignment horizontal="center" vertical="center"/>
    </xf>
    <xf numFmtId="49" fontId="44" fillId="31" borderId="0" xfId="0" applyNumberFormat="1" applyFont="1" applyFill="1" applyAlignment="1">
      <alignment horizontal="center" vertical="center"/>
    </xf>
    <xf numFmtId="49" fontId="44" fillId="36" borderId="0" xfId="0" applyNumberFormat="1" applyFont="1" applyFill="1" applyAlignment="1">
      <alignment horizontal="center" vertical="center"/>
    </xf>
    <xf numFmtId="0" fontId="44" fillId="32" borderId="0" xfId="0" applyFont="1" applyFill="1" applyAlignment="1">
      <alignment horizontal="center" vertical="center"/>
    </xf>
    <xf numFmtId="0" fontId="44" fillId="33" borderId="0" xfId="0" applyFont="1" applyFill="1" applyAlignment="1">
      <alignment horizontal="center" vertical="center"/>
    </xf>
    <xf numFmtId="0" fontId="44" fillId="34" borderId="0" xfId="0" applyFont="1" applyFill="1" applyAlignment="1">
      <alignment horizontal="center" vertical="center"/>
    </xf>
    <xf numFmtId="0" fontId="47" fillId="35" borderId="0" xfId="0" applyFont="1" applyFill="1" applyAlignment="1">
      <alignment horizontal="center" vertical="center"/>
    </xf>
    <xf numFmtId="0" fontId="48" fillId="32" borderId="0" xfId="0" applyFont="1" applyFill="1">
      <alignment vertical="center"/>
    </xf>
    <xf numFmtId="0" fontId="48" fillId="33" borderId="0" xfId="0" applyFont="1" applyFill="1">
      <alignment vertical="center"/>
    </xf>
    <xf numFmtId="0" fontId="48" fillId="34" borderId="0" xfId="0" applyFont="1" applyFill="1">
      <alignment vertical="center"/>
    </xf>
    <xf numFmtId="0" fontId="49" fillId="35" borderId="0" xfId="0" applyFont="1" applyFill="1">
      <alignment vertical="center"/>
    </xf>
    <xf numFmtId="49" fontId="44" fillId="0" borderId="0" xfId="0" applyNumberFormat="1" applyFont="1" applyAlignment="1">
      <alignment horizontal="center" vertical="center"/>
    </xf>
    <xf numFmtId="0" fontId="44" fillId="37" borderId="0" xfId="0" applyFont="1" applyFill="1" applyAlignment="1">
      <alignment horizontal="center" vertical="center"/>
    </xf>
    <xf numFmtId="0" fontId="44" fillId="38" borderId="0" xfId="0" applyFont="1" applyFill="1" applyAlignment="1">
      <alignment horizontal="center" vertical="center"/>
    </xf>
    <xf numFmtId="0" fontId="44" fillId="39" borderId="0" xfId="0" applyFont="1" applyFill="1" applyAlignment="1">
      <alignment horizontal="center" vertical="center"/>
    </xf>
    <xf numFmtId="0" fontId="44" fillId="40" borderId="0" xfId="0" applyFont="1" applyFill="1" applyAlignment="1">
      <alignment horizontal="center" vertical="center"/>
    </xf>
    <xf numFmtId="0" fontId="44" fillId="41" borderId="0" xfId="0" applyFont="1" applyFill="1" applyAlignment="1">
      <alignment horizontal="center" vertical="center"/>
    </xf>
    <xf numFmtId="0" fontId="44" fillId="42" borderId="0" xfId="0" applyFont="1" applyFill="1" applyAlignment="1">
      <alignment horizontal="center" vertical="center"/>
    </xf>
    <xf numFmtId="0" fontId="44" fillId="43" borderId="0" xfId="0" applyFont="1" applyFill="1" applyAlignment="1">
      <alignment horizontal="center" vertical="center"/>
    </xf>
    <xf numFmtId="0" fontId="44" fillId="44" borderId="0" xfId="0" applyFont="1" applyFill="1" applyAlignment="1">
      <alignment horizontal="center" vertical="center"/>
    </xf>
    <xf numFmtId="0" fontId="44" fillId="45" borderId="0" xfId="0" applyFont="1" applyFill="1" applyAlignment="1">
      <alignment horizontal="center" vertical="center"/>
    </xf>
    <xf numFmtId="0" fontId="44" fillId="46" borderId="0" xfId="0" applyFont="1" applyFill="1" applyAlignment="1">
      <alignment horizontal="center" vertical="center"/>
    </xf>
    <xf numFmtId="0" fontId="44" fillId="47" borderId="0" xfId="0" applyFont="1" applyFill="1" applyAlignment="1">
      <alignment horizontal="center" vertical="center"/>
    </xf>
    <xf numFmtId="0" fontId="0" fillId="2" borderId="0" xfId="0" applyFill="1">
      <alignment vertical="center"/>
    </xf>
    <xf numFmtId="0" fontId="0" fillId="48" borderId="0" xfId="0" applyFill="1">
      <alignment vertical="center"/>
    </xf>
    <xf numFmtId="0" fontId="0" fillId="49" borderId="0" xfId="0" applyFill="1">
      <alignment vertical="center"/>
    </xf>
    <xf numFmtId="0" fontId="0" fillId="50" borderId="0" xfId="0" applyFill="1">
      <alignment vertical="center"/>
    </xf>
    <xf numFmtId="0" fontId="0" fillId="51" borderId="0" xfId="0" applyFill="1">
      <alignment vertical="center"/>
    </xf>
    <xf numFmtId="0" fontId="0" fillId="52" borderId="0" xfId="0" applyFill="1">
      <alignment vertical="center"/>
    </xf>
    <xf numFmtId="0" fontId="0" fillId="53" borderId="0" xfId="0" applyFill="1">
      <alignment vertical="center"/>
    </xf>
    <xf numFmtId="0" fontId="0" fillId="54" borderId="0" xfId="0" applyFill="1">
      <alignment vertical="center"/>
    </xf>
    <xf numFmtId="0" fontId="0" fillId="55" borderId="0" xfId="0" applyFill="1">
      <alignment vertical="center"/>
    </xf>
    <xf numFmtId="0" fontId="0" fillId="56" borderId="0" xfId="0" applyFill="1">
      <alignment vertical="center"/>
    </xf>
    <xf numFmtId="0" fontId="0" fillId="57" borderId="0" xfId="0" applyFill="1">
      <alignment vertical="center"/>
    </xf>
    <xf numFmtId="0" fontId="50" fillId="0" borderId="0" xfId="0" applyFont="1">
      <alignment vertical="center"/>
    </xf>
  </cellXfs>
  <cellStyles count="6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  <cellStyle name="Normal 2" xfId="50"/>
    <cellStyle name="Normal 2 2" xfId="51"/>
    <cellStyle name="Normal 3" xfId="52"/>
    <cellStyle name="百分比 2" xfId="53"/>
    <cellStyle name="常规 2" xfId="54"/>
    <cellStyle name="常规 3" xfId="55"/>
    <cellStyle name="常规 3 2" xfId="56"/>
    <cellStyle name="常规 4" xfId="57"/>
    <cellStyle name="千位分隔 17" xfId="58"/>
    <cellStyle name="千位分隔 17 2" xfId="59"/>
  </cellStyles>
  <dxfs count="21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ont>
        <b val="1"/>
        <color theme="0"/>
      </font>
      <fill>
        <patternFill patternType="solid">
          <bgColor rgb="FFC00000"/>
        </patternFill>
      </fill>
    </dxf>
    <dxf>
      <font>
        <b val="1"/>
        <color theme="9" tint="-0.499984740745262"/>
      </font>
      <fill>
        <patternFill patternType="solid">
          <bgColor rgb="FFC00000"/>
        </patternFill>
      </fill>
      <border>
        <left style="thin">
          <color theme="9"/>
        </left>
        <right style="thin">
          <color theme="9"/>
        </right>
        <top style="medium">
          <color theme="9"/>
        </top>
        <bottom style="thin">
          <color theme="9"/>
        </bottom>
        <vertical style="thin">
          <color theme="9" tint="0.799493392742698"/>
        </vertical>
        <horizontal/>
      </border>
    </dxf>
    <dxf>
      <font>
        <b val="1"/>
        <color theme="0"/>
      </font>
      <fill>
        <patternFill patternType="solid">
          <bgColor rgb="FFC00000"/>
        </patternFill>
      </fill>
      <border>
        <left style="medium">
          <color theme="9"/>
        </left>
        <right style="medium">
          <color theme="9"/>
        </right>
        <top style="medium">
          <color theme="9"/>
        </top>
        <bottom style="thin">
          <color theme="0"/>
        </bottom>
        <vertical style="thin">
          <color theme="0"/>
        </vertical>
        <horizontal/>
      </border>
    </dxf>
    <dxf>
      <font>
        <color theme="1"/>
      </font>
      <border>
        <left style="medium">
          <color theme="0"/>
        </left>
        <right style="medium">
          <color theme="0"/>
        </right>
        <top style="medium">
          <color theme="0"/>
        </top>
        <bottom style="medium">
          <color theme="0"/>
        </bottom>
        <vertical style="medium">
          <color theme="0"/>
        </vertical>
        <horizontal style="medium">
          <color theme="0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4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Invisible" pivot="0" table="0" count="0" xr9:uid="{FF9239AB-9B90-4794-833E-175A86E52BFE}"/>
    <tableStyle name="TableStylePreset11_Accent6 2" pivot="0" count="4" xr9:uid="{BCFE3CC4-4FA1-4332-A99B-92DC1696EC64}">
      <tableStyleElement type="wholeTable" dxfId="10"/>
      <tableStyleElement type="headerRow" dxfId="9"/>
      <tableStyleElement type="totalRow" dxfId="8"/>
      <tableStyleElement type="firstColumn" dxfId="7"/>
    </tableStyle>
    <tableStyle name="PivotStylePreset2_Accent1" table="0" count="10" xr9:uid="{267968C8-6FFD-4C36-ACC1-9EA1FD1885CA}">
      <tableStyleElement type="headerRow" dxfId="20"/>
      <tableStyleElement type="totalRow" dxfId="19"/>
      <tableStyleElement type="firstRowStripe" dxfId="18"/>
      <tableStyleElement type="firstColumnStripe" dxfId="17"/>
      <tableStyleElement type="firstSubtotalRow" dxfId="16"/>
      <tableStyleElement type="secondSubtotalRow" dxfId="15"/>
      <tableStyleElement type="firstRowSubheading" dxfId="14"/>
      <tableStyleElement type="secondRowSubheading" dxfId="13"/>
      <tableStyleElement type="pageFieldLabels" dxfId="12"/>
      <tableStyleElement type="pageFieldValues" dxfId="11"/>
    </tableStyle>
  </tableStyles>
  <colors>
    <mruColors>
      <color rgb="00C2ADC8"/>
      <color rgb="00F0ECE8"/>
      <color rgb="00FACBCC"/>
      <color rgb="00000000"/>
      <color rgb="00F8EDE2"/>
      <color rgb="00C00000"/>
      <color rgb="007A7A7A"/>
      <color rgb="00333333"/>
      <color rgb="00FDFAF7"/>
      <color rgb="003E3E3E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1" Type="http://schemas.openxmlformats.org/officeDocument/2006/relationships/styles" Target="styles.xml"/><Relationship Id="rId30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9" Type="http://schemas.openxmlformats.org/officeDocument/2006/relationships/theme" Target="theme/theme1.xml"/><Relationship Id="rId28" Type="http://schemas.openxmlformats.org/officeDocument/2006/relationships/customXml" Target="../customXml/item3.xml"/><Relationship Id="rId27" Type="http://schemas.openxmlformats.org/officeDocument/2006/relationships/customXml" Target="../customXml/item2.xml"/><Relationship Id="rId26" Type="http://schemas.openxmlformats.org/officeDocument/2006/relationships/customXml" Target="../customXml/item1.xml"/><Relationship Id="rId25" Type="http://schemas.openxmlformats.org/officeDocument/2006/relationships/worksheet" Target="worksheets/sheet25.xml"/><Relationship Id="rId24" Type="http://schemas.openxmlformats.org/officeDocument/2006/relationships/worksheet" Target="worksheets/sheet24.xml"/><Relationship Id="rId23" Type="http://schemas.openxmlformats.org/officeDocument/2006/relationships/worksheet" Target="worksheets/sheet23.xml"/><Relationship Id="rId22" Type="http://schemas.openxmlformats.org/officeDocument/2006/relationships/worksheet" Target="worksheets/sheet22.xml"/><Relationship Id="rId21" Type="http://schemas.openxmlformats.org/officeDocument/2006/relationships/worksheet" Target="worksheets/sheet21.xml"/><Relationship Id="rId20" Type="http://schemas.openxmlformats.org/officeDocument/2006/relationships/worksheet" Target="worksheets/sheet20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charts/_rels/chart9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_rels/chart10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2.xml"/></Relationships>
</file>

<file path=xl/charts/_rels/chart1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3.xml"/></Relationships>
</file>

<file path=xl/charts/_rels/chart53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4.xml"/></Relationships>
</file>

<file path=xl/charts/_rels/chart54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0620147874306839"/>
          <c:y val="0.118238021638331"/>
          <c:w val="0.878627541589649"/>
          <c:h val="0.794487377640391"/>
        </c:manualLayout>
      </c:layout>
      <c:lineChart>
        <c:grouping val="standard"/>
        <c:varyColors val="0"/>
        <c:ser>
          <c:idx val="0"/>
          <c:order val="0"/>
          <c:tx>
            <c:strRef>
              <c:f>整体!$C$2</c:f>
              <c:strCache>
                <c:ptCount val="1"/>
                <c:pt idx="0">
                  <c:v>营业收入</c:v>
                </c:pt>
              </c:strCache>
            </c:strRef>
          </c:tx>
          <c:spPr>
            <a:ln w="28575" cap="rnd" cmpd="sng" algn="ctr">
              <a:solidFill>
                <a:schemeClr val="accent1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 cap="flat" cmpd="sng" algn="ctr">
                <a:solidFill>
                  <a:schemeClr val="accent1"/>
                </a:solidFill>
                <a:prstDash val="solid"/>
                <a:round/>
              </a:ln>
              <a:effectLst/>
            </c:spPr>
          </c:marker>
          <c:dLbls>
            <c:numFmt formatCode="#,##0_);[Red]\(#,##0\)" sourceLinked="0"/>
            <c:spPr>
              <a:solidFill>
                <a:schemeClr val="accent1"/>
              </a:solidFill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800" b="0" i="0" u="none" strike="noStrike" kern="1200" baseline="0">
                    <a:solidFill>
                      <a:schemeClr val="bg1"/>
                    </a:solidFill>
                    <a:latin typeface="+mn-ea"/>
                    <a:ea typeface="+mn-ea"/>
                    <a:cs typeface="+mn-ea"/>
                    <a:sym typeface="+mn-ea"/>
                  </a:defRPr>
                </a:pPr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cat>
            <c:strRef>
              <c:f>整体!$G$1:$I$1</c:f>
              <c:strCache>
                <c:ptCount val="3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</c:strCache>
            </c:strRef>
          </c:cat>
          <c:val>
            <c:numRef>
              <c:f>整体!$G$2:$I$2</c:f>
              <c:numCache>
                <c:formatCode>_ * #,##0.00_ ;[Red]_ * \-#,##0.00_ ;_ * "-"??_ ;_ @_ </c:formatCode>
                <c:ptCount val="3"/>
                <c:pt idx="0">
                  <c:v>2008.217692</c:v>
                </c:pt>
                <c:pt idx="1">
                  <c:v>1773.748913</c:v>
                </c:pt>
                <c:pt idx="2">
                  <c:v>2511.58364</c:v>
                </c:pt>
              </c:numCache>
            </c:numRef>
          </c:val>
          <c:smooth val="1"/>
        </c:ser>
        <c:ser>
          <c:idx val="2"/>
          <c:order val="2"/>
          <c:tx>
            <c:strRef>
              <c:f>整体!$C$4</c:f>
              <c:strCache>
                <c:ptCount val="1"/>
                <c:pt idx="0">
                  <c:v>经营活动净现金流</c:v>
                </c:pt>
              </c:strCache>
            </c:strRef>
          </c:tx>
          <c:spPr>
            <a:ln w="28575" cap="rnd" cmpd="sng" algn="ctr">
              <a:solidFill>
                <a:schemeClr val="accent3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 cap="flat" cmpd="sng" algn="ctr">
                <a:solidFill>
                  <a:schemeClr val="accent3"/>
                </a:solidFill>
                <a:prstDash val="solid"/>
                <a:round/>
              </a:ln>
              <a:effectLst/>
            </c:spPr>
          </c:marker>
          <c:dLbls>
            <c:numFmt formatCode="#,##0_);[Red]\(#,##0\)" sourceLinked="0"/>
            <c:spPr>
              <a:solidFill>
                <a:schemeClr val="accent3"/>
              </a:solidFill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800" b="0" i="0" u="none" strike="noStrike" kern="1200" baseline="0">
                    <a:solidFill>
                      <a:schemeClr val="tx2"/>
                    </a:solidFill>
                    <a:latin typeface="+mn-ea"/>
                    <a:ea typeface="+mn-ea"/>
                    <a:cs typeface="+mn-ea"/>
                    <a:sym typeface="+mn-ea"/>
                  </a:defRPr>
                </a:pPr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cat>
            <c:strRef>
              <c:f>整体!$G$1:$I$1</c:f>
              <c:strCache>
                <c:ptCount val="3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</c:strCache>
            </c:strRef>
          </c:cat>
          <c:val>
            <c:numRef>
              <c:f>整体!$G$4:$I$4</c:f>
              <c:numCache>
                <c:formatCode>_ * #,##0.00_ ;[Red]_ * \-#,##0.00_ ;_ * "-"??_ ;_ @_ </c:formatCode>
                <c:ptCount val="3"/>
                <c:pt idx="0">
                  <c:v>661.080849</c:v>
                </c:pt>
                <c:pt idx="1">
                  <c:v>1290.535612</c:v>
                </c:pt>
                <c:pt idx="2">
                  <c:v>613.717708</c:v>
                </c:pt>
              </c:numCache>
            </c:numRef>
          </c: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1"/>
        <c:axId val="948333142"/>
        <c:axId val="722018007"/>
      </c:lineChart>
      <c:lineChart>
        <c:grouping val="standard"/>
        <c:varyColors val="0"/>
        <c:ser>
          <c:idx val="1"/>
          <c:order val="1"/>
          <c:tx>
            <c:strRef>
              <c:f>整体!$C$3</c:f>
              <c:strCache>
                <c:ptCount val="1"/>
                <c:pt idx="0">
                  <c:v>EBITDA/GOP/扣非利润</c:v>
                </c:pt>
              </c:strCache>
            </c:strRef>
          </c:tx>
          <c:spPr>
            <a:ln w="28575" cap="rnd" cmpd="sng" algn="ctr">
              <a:solidFill>
                <a:schemeClr val="accent2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 cap="flat" cmpd="sng" algn="ctr">
                <a:solidFill>
                  <a:schemeClr val="accent2"/>
                </a:solidFill>
                <a:prstDash val="solid"/>
                <a:round/>
              </a:ln>
              <a:effectLst/>
            </c:spPr>
          </c:marker>
          <c:dLbls>
            <c:numFmt formatCode="#,##0_);[Red]\(#,##0\)" sourceLinked="0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800" b="0" i="0" u="none" strike="noStrike" kern="1200" baseline="0">
                    <a:solidFill>
                      <a:schemeClr val="tx1"/>
                    </a:solidFill>
                    <a:latin typeface="+mn-ea"/>
                    <a:ea typeface="+mn-ea"/>
                    <a:cs typeface="+mn-ea"/>
                    <a:sym typeface="+mn-ea"/>
                  </a:defRPr>
                </a:pPr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cat>
            <c:strRef>
              <c:f>整体!$G$1:$I$1</c:f>
              <c:strCache>
                <c:ptCount val="3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</c:strCache>
            </c:strRef>
          </c:cat>
          <c:val>
            <c:numRef>
              <c:f>整体!$G$3:$I$3</c:f>
              <c:numCache>
                <c:formatCode>_ * #,##0.00_ ;[Red]_ * \-#,##0.00_ ;_ * "-"??_ ;_ @_ </c:formatCode>
                <c:ptCount val="3"/>
                <c:pt idx="0">
                  <c:v>957.606565</c:v>
                </c:pt>
                <c:pt idx="1">
                  <c:v>796.556658</c:v>
                </c:pt>
                <c:pt idx="2">
                  <c:v>1549.878889</c:v>
                </c:pt>
              </c:numCache>
            </c:numRef>
          </c:val>
          <c:smooth val="1"/>
        </c:ser>
        <c:ser>
          <c:idx val="3"/>
          <c:order val="3"/>
          <c:tx>
            <c:strRef>
              <c:f>整体!$C$5</c:f>
              <c:strCache>
                <c:ptCount val="1"/>
                <c:pt idx="0">
                  <c:v>经营支出小计</c:v>
                </c:pt>
              </c:strCache>
            </c:strRef>
          </c:tx>
          <c:spPr>
            <a:ln w="28575" cap="rnd" cmpd="sng" algn="ctr">
              <a:solidFill>
                <a:schemeClr val="accent4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 cap="flat" cmpd="sng" algn="ctr">
                <a:solidFill>
                  <a:schemeClr val="accent4"/>
                </a:solidFill>
                <a:prstDash val="solid"/>
                <a:round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800" b="0" i="0" u="none" strike="noStrike" kern="1200" baseline="0">
                    <a:solidFill>
                      <a:schemeClr val="tx2"/>
                    </a:solidFill>
                    <a:latin typeface="+mn-ea"/>
                    <a:ea typeface="+mn-ea"/>
                    <a:cs typeface="+mn-ea"/>
                    <a:sym typeface="+mn-ea"/>
                  </a:defRPr>
                </a:pPr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cat>
            <c:strRef>
              <c:f>整体!$G$1:$I$1</c:f>
              <c:strCache>
                <c:ptCount val="3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</c:strCache>
            </c:strRef>
          </c:cat>
          <c:val>
            <c:numRef>
              <c:f>整体!$G$5:$I$5</c:f>
              <c:numCache>
                <c:formatCode>_ * #,##0.00_ ;[Red]_ * \-#,##0.00_ ;_ * "-"??_ ;_ @_ </c:formatCode>
                <c:ptCount val="3"/>
                <c:pt idx="0">
                  <c:v>693.537941</c:v>
                </c:pt>
                <c:pt idx="1">
                  <c:v>618.834128</c:v>
                </c:pt>
                <c:pt idx="2">
                  <c:v>643.946023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1"/>
        <c:axId val="434132925"/>
        <c:axId val="267078019"/>
      </c:lineChart>
      <c:catAx>
        <c:axId val="948333142"/>
        <c:scaling>
          <c:orientation val="minMax"/>
        </c:scaling>
        <c:delete val="0"/>
        <c:axPos val="b"/>
        <c:numFmt formatCode="@" sourceLinked="0"/>
        <c:majorTickMark val="none"/>
        <c:minorTickMark val="none"/>
        <c:tickLblPos val="low"/>
        <c:spPr>
          <a:noFill/>
          <a:ln w="9525" cap="flat" cmpd="sng" algn="ctr">
            <a:solidFill>
              <a:schemeClr val="accent2"/>
            </a:solidFill>
            <a:prstDash val="solid"/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800" b="0" i="0" u="none" strike="noStrike" kern="1200" baseline="0">
                <a:solidFill>
                  <a:schemeClr val="tx2"/>
                </a:solidFill>
                <a:latin typeface="+mn-ea"/>
                <a:ea typeface="+mn-ea"/>
                <a:cs typeface="+mn-ea"/>
                <a:sym typeface="+mn-ea"/>
              </a:defRPr>
            </a:pPr>
          </a:p>
        </c:txPr>
        <c:crossAx val="722018007"/>
        <c:crosses val="autoZero"/>
        <c:auto val="1"/>
        <c:lblAlgn val="ctr"/>
        <c:lblOffset val="100"/>
        <c:noMultiLvlLbl val="0"/>
      </c:catAx>
      <c:valAx>
        <c:axId val="7220180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prstDash val="solid"/>
              <a:round/>
            </a:ln>
            <a:effectLst/>
          </c:spPr>
        </c:majorGridlines>
        <c:numFmt formatCode="#,##0_);[Red]\(#,##0\)" sourceLinked="0"/>
        <c:majorTickMark val="none"/>
        <c:minorTickMark val="none"/>
        <c:tickLblPos val="nextTo"/>
        <c:spPr>
          <a:noFill/>
          <a:ln w="12700" cap="flat" cmpd="sng" algn="ctr">
            <a:noFill/>
            <a:prstDash val="solid"/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800" b="0" i="0" u="none" strike="noStrike" kern="1200" baseline="0">
                <a:solidFill>
                  <a:schemeClr val="tx2"/>
                </a:solidFill>
                <a:latin typeface="+mn-ea"/>
                <a:ea typeface="+mn-ea"/>
                <a:cs typeface="+mn-ea"/>
                <a:sym typeface="+mn-ea"/>
              </a:defRPr>
            </a:pPr>
          </a:p>
        </c:txPr>
        <c:crossAx val="948333142"/>
        <c:crossesAt val="1"/>
        <c:crossBetween val="between"/>
      </c:valAx>
      <c:catAx>
        <c:axId val="434132925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800" b="0" i="0" u="none" strike="noStrike" kern="1200" baseline="0">
                <a:solidFill>
                  <a:schemeClr val="tx2"/>
                </a:solidFill>
                <a:latin typeface="+mn-ea"/>
                <a:ea typeface="+mn-ea"/>
                <a:cs typeface="+mn-ea"/>
                <a:sym typeface="+mn-ea"/>
              </a:defRPr>
            </a:pPr>
          </a:p>
        </c:txPr>
        <c:crossAx val="267078019"/>
        <c:crosses val="autoZero"/>
        <c:auto val="1"/>
        <c:lblAlgn val="ctr"/>
        <c:lblOffset val="100"/>
        <c:noMultiLvlLbl val="0"/>
      </c:catAx>
      <c:valAx>
        <c:axId val="267078019"/>
        <c:scaling>
          <c:orientation val="minMax"/>
        </c:scaling>
        <c:delete val="0"/>
        <c:axPos val="r"/>
        <c:numFmt formatCode="#,##0_);[Red]\(#,##0\)" sourceLinked="0"/>
        <c:majorTickMark val="none"/>
        <c:minorTickMark val="none"/>
        <c:tickLblPos val="nextTo"/>
        <c:spPr>
          <a:noFill/>
          <a:ln w="12700" cap="flat" cmpd="sng" algn="ctr">
            <a:noFill/>
            <a:prstDash val="solid"/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800" b="0" i="0" u="none" strike="noStrike" kern="1200" baseline="0">
                <a:solidFill>
                  <a:schemeClr val="tx2"/>
                </a:solidFill>
                <a:latin typeface="+mn-ea"/>
                <a:ea typeface="+mn-ea"/>
                <a:cs typeface="+mn-ea"/>
                <a:sym typeface="+mn-ea"/>
              </a:defRPr>
            </a:pPr>
          </a:p>
        </c:txPr>
        <c:crossAx val="434132925"/>
        <c:crosses val="max"/>
        <c:crossBetween val="between"/>
      </c:valAx>
      <c:spPr>
        <a:noFill/>
        <a:ln>
          <a:noFill/>
        </a:ln>
        <a:effectLst/>
      </c:spPr>
    </c:plotArea>
    <c:legend>
      <c:legendPos val="r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zh-CN" sz="800" b="0" i="0" u="none" strike="noStrike" kern="1200" baseline="0">
                <a:solidFill>
                  <a:schemeClr val="tx2"/>
                </a:solidFill>
                <a:latin typeface="+mn-ea"/>
                <a:ea typeface="+mn-ea"/>
                <a:cs typeface="+mn-ea"/>
                <a:sym typeface="+mn-ea"/>
              </a:defRPr>
            </a:pPr>
          </a:p>
        </c:txPr>
      </c:legendEntry>
      <c:legendEntry>
        <c:idx val="1"/>
        <c:txPr>
          <a:bodyPr rot="0" spcFirstLastPara="0" vertOverflow="ellipsis" vert="horz" wrap="square" anchor="ctr" anchorCtr="1"/>
          <a:lstStyle/>
          <a:p>
            <a:pPr>
              <a:defRPr lang="zh-CN" sz="800" b="0" i="0" u="none" strike="noStrike" kern="1200" baseline="0">
                <a:solidFill>
                  <a:schemeClr val="tx2"/>
                </a:solidFill>
                <a:latin typeface="+mn-ea"/>
                <a:ea typeface="+mn-ea"/>
                <a:cs typeface="+mn-ea"/>
                <a:sym typeface="+mn-ea"/>
              </a:defRPr>
            </a:pPr>
          </a:p>
        </c:txPr>
      </c:legendEntry>
      <c:legendEntry>
        <c:idx val="2"/>
        <c:txPr>
          <a:bodyPr rot="0" spcFirstLastPara="0" vertOverflow="ellipsis" vert="horz" wrap="square" anchor="ctr" anchorCtr="1"/>
          <a:lstStyle/>
          <a:p>
            <a:pPr>
              <a:defRPr lang="zh-CN" sz="800" b="0" i="0" u="none" strike="noStrike" kern="1200" baseline="0">
                <a:solidFill>
                  <a:schemeClr val="tx2"/>
                </a:solidFill>
                <a:latin typeface="+mn-ea"/>
                <a:ea typeface="+mn-ea"/>
                <a:cs typeface="+mn-ea"/>
                <a:sym typeface="+mn-ea"/>
              </a:defRPr>
            </a:pPr>
          </a:p>
        </c:txPr>
      </c:legendEntry>
      <c:legendEntry>
        <c:idx val="3"/>
        <c:txPr>
          <a:bodyPr rot="0" spcFirstLastPara="0" vertOverflow="ellipsis" vert="horz" wrap="square" anchor="ctr" anchorCtr="1"/>
          <a:lstStyle/>
          <a:p>
            <a:pPr>
              <a:defRPr lang="zh-CN" sz="800" b="0" i="0" u="none" strike="noStrike" kern="1200" baseline="0">
                <a:solidFill>
                  <a:schemeClr val="tx2"/>
                </a:solidFill>
                <a:latin typeface="+mn-ea"/>
                <a:ea typeface="+mn-ea"/>
                <a:cs typeface="+mn-ea"/>
                <a:sym typeface="+mn-ea"/>
              </a:defRPr>
            </a:pPr>
          </a:p>
        </c:txPr>
      </c:legendEntry>
      <c:layout>
        <c:manualLayout>
          <c:xMode val="edge"/>
          <c:yMode val="edge"/>
          <c:x val="0.00325"/>
          <c:y val="0.00525"/>
          <c:w val="0.9885"/>
          <c:h val="0.0645"/>
        </c:manualLayout>
      </c:layout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800" b="0" i="0" u="none" strike="noStrike" kern="1200" baseline="0">
              <a:solidFill>
                <a:schemeClr val="tx2"/>
              </a:solidFill>
              <a:latin typeface="+mn-ea"/>
              <a:ea typeface="+mn-ea"/>
              <a:cs typeface="+mn-ea"/>
              <a:sym typeface="+mn-ea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481b7dfa-e6ad-47ff-9951-c034602f09e4}"/>
      </c:ext>
    </c:extLst>
  </c:chart>
  <c:spPr>
    <a:solidFill>
      <a:sysClr val="window" lastClr="FFFFFF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  <a:effectLst>
      <a:outerShdw blurRad="50800" dist="38100" dir="13500000" algn="br" rotWithShape="0">
        <a:prstClr val="black">
          <a:alpha val="40000"/>
        </a:prstClr>
      </a:outerShdw>
    </a:effectLst>
  </c:spPr>
  <c:txPr>
    <a:bodyPr wrap="square"/>
    <a:lstStyle/>
    <a:p>
      <a:pPr>
        <a:defRPr lang="zh-CN" sz="800" b="0">
          <a:solidFill>
            <a:schemeClr val="tx2"/>
          </a:solidFill>
          <a:latin typeface="+mn-ea"/>
          <a:ea typeface="+mn-ea"/>
          <a:cs typeface="+mn-ea"/>
          <a:sym typeface="+mn-ea"/>
        </a:defRPr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0770241195787567"/>
          <c:y val="0.108592112783387"/>
          <c:w val="0.858860831162949"/>
          <c:h val="0.75381977519527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整体!$D$1</c:f>
              <c:strCache>
                <c:ptCount val="1"/>
                <c:pt idx="0">
                  <c:v>年度目标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整体!$C$2:$C$5</c:f>
              <c:strCache>
                <c:ptCount val="4"/>
                <c:pt idx="0">
                  <c:v>营业收入</c:v>
                </c:pt>
                <c:pt idx="1">
                  <c:v>EBITDA/GOP/扣非利润</c:v>
                </c:pt>
                <c:pt idx="2">
                  <c:v>经营活动净现金流</c:v>
                </c:pt>
                <c:pt idx="3">
                  <c:v>经营支出小计</c:v>
                </c:pt>
              </c:strCache>
            </c:strRef>
          </c:cat>
          <c:val>
            <c:numRef>
              <c:f>整体!$D$2:$D$5</c:f>
              <c:numCache>
                <c:formatCode>_ * #,##0.00_ ;[Red]_ * \-#,##0.00_ ;_ * "-"??_ ;_ @_ </c:formatCode>
                <c:ptCount val="4"/>
                <c:pt idx="0">
                  <c:v>27810.97822036</c:v>
                </c:pt>
                <c:pt idx="1">
                  <c:v>12461.6738492242</c:v>
                </c:pt>
                <c:pt idx="2">
                  <c:v>7797.32818277049</c:v>
                </c:pt>
                <c:pt idx="3">
                  <c:v>11893.2522838012</c:v>
                </c:pt>
              </c:numCache>
            </c:numRef>
          </c:val>
        </c:ser>
        <c:ser>
          <c:idx val="1"/>
          <c:order val="1"/>
          <c:tx>
            <c:strRef>
              <c:f>整体!$E$1</c:f>
              <c:strCache>
                <c:ptCount val="1"/>
                <c:pt idx="0">
                  <c:v>实际达成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整体!$C$2:$C$5</c:f>
              <c:strCache>
                <c:ptCount val="4"/>
                <c:pt idx="0">
                  <c:v>营业收入</c:v>
                </c:pt>
                <c:pt idx="1">
                  <c:v>EBITDA/GOP/扣非利润</c:v>
                </c:pt>
                <c:pt idx="2">
                  <c:v>经营活动净现金流</c:v>
                </c:pt>
                <c:pt idx="3">
                  <c:v>经营支出小计</c:v>
                </c:pt>
              </c:strCache>
            </c:strRef>
          </c:cat>
          <c:val>
            <c:numRef>
              <c:f>整体!$E$2:$E$5</c:f>
              <c:numCache>
                <c:formatCode>_ * #,##0.00_ ;[Red]_ * \-#,##0.00_ ;_ * "-"??_ ;_ @_ </c:formatCode>
                <c:ptCount val="4"/>
                <c:pt idx="0">
                  <c:v>6293.550245</c:v>
                </c:pt>
                <c:pt idx="1">
                  <c:v>3304.042112</c:v>
                </c:pt>
                <c:pt idx="2">
                  <c:v>2565.334169</c:v>
                </c:pt>
                <c:pt idx="3">
                  <c:v>1956.318092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15973541"/>
        <c:axId val="980501339"/>
      </c:barChart>
      <c:lineChart>
        <c:grouping val="standard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615973541"/>
        <c:axId val="980501339"/>
      </c:lineChart>
      <c:lineChart>
        <c:grouping val="standard"/>
        <c:varyColors val="0"/>
        <c:ser>
          <c:idx val="2"/>
          <c:order val="2"/>
          <c:tx>
            <c:strRef>
              <c:f>整体!$F$1</c:f>
              <c:strCache>
                <c:ptCount val="1"/>
                <c:pt idx="0">
                  <c:v>达成率</c:v>
                </c:pt>
              </c:strCache>
            </c:strRef>
          </c:tx>
          <c:spPr>
            <a:ln w="28575" cap="rnd" cmpd="sng" algn="ctr">
              <a:solidFill>
                <a:schemeClr val="accent3"/>
              </a:solidFill>
              <a:prstDash val="solid"/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lt"/>
                    <a:cs typeface="+mn-lt"/>
                    <a:sym typeface="+mn-lt"/>
                  </a:defRPr>
                </a:pPr>
              </a:p>
            </c:txPr>
            <c:dLblPos val="l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cat>
            <c:strRef>
              <c:f>整体!$C$2:$C$5</c:f>
              <c:strCache>
                <c:ptCount val="4"/>
                <c:pt idx="0">
                  <c:v>营业收入</c:v>
                </c:pt>
                <c:pt idx="1">
                  <c:v>EBITDA/GOP/扣非利润</c:v>
                </c:pt>
                <c:pt idx="2">
                  <c:v>经营活动净现金流</c:v>
                </c:pt>
                <c:pt idx="3">
                  <c:v>经营支出小计</c:v>
                </c:pt>
              </c:strCache>
            </c:strRef>
          </c:cat>
          <c:val>
            <c:numRef>
              <c:f>整体!$F$2:$F$5</c:f>
              <c:numCache>
                <c:formatCode>_ * #,##0.00%_ ;[Red]_ * \-#,##0.00%_ ;_ * "-"??_ ;_ @_ </c:formatCode>
                <c:ptCount val="4"/>
                <c:pt idx="0">
                  <c:v>0.226297334640052</c:v>
                </c:pt>
                <c:pt idx="1">
                  <c:v>0.265136301268685</c:v>
                </c:pt>
                <c:pt idx="2">
                  <c:v>0.329001692485964</c:v>
                </c:pt>
                <c:pt idx="3">
                  <c:v>0.16448974976042</c:v>
                </c:pt>
              </c:numCache>
            </c:numRef>
          </c:val>
          <c:smooth val="0"/>
        </c:ser>
        <c:ser>
          <c:idx val="15"/>
          <c:order val="3"/>
          <c:tx>
            <c:strRef>
              <c:f>整体!$S$1</c:f>
              <c:strCache>
                <c:ptCount val="1"/>
                <c:pt idx="0">
                  <c:v>同比变化</c:v>
                </c:pt>
              </c:strCache>
            </c:strRef>
          </c:tx>
          <c:spPr>
            <a:ln w="28575" cap="rnd" cmpd="sng" algn="ctr">
              <a:solidFill>
                <a:schemeClr val="accent4">
                  <a:lumMod val="80000"/>
                  <a:lumOff val="20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lt"/>
                    <a:cs typeface="+mn-lt"/>
                    <a:sym typeface="+mn-lt"/>
                  </a:defRPr>
                </a:pPr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cat>
            <c:strRef>
              <c:f>整体!$C$2:$C$5</c:f>
              <c:strCache>
                <c:ptCount val="4"/>
                <c:pt idx="0">
                  <c:v>营业收入</c:v>
                </c:pt>
                <c:pt idx="1">
                  <c:v>EBITDA/GOP/扣非利润</c:v>
                </c:pt>
                <c:pt idx="2">
                  <c:v>经营活动净现金流</c:v>
                </c:pt>
                <c:pt idx="3">
                  <c:v>经营支出小计</c:v>
                </c:pt>
              </c:strCache>
            </c:strRef>
          </c:cat>
          <c:val>
            <c:numRef>
              <c:f>整体!$S$2:$S$5</c:f>
              <c:numCache>
                <c:formatCode>_ * #,##0.00%_ ;[Red]_ * \-#,##0.00%_ ;_ * "-"??_ ;_ @_ </c:formatCode>
                <c:ptCount val="4"/>
                <c:pt idx="0">
                  <c:v>-0.315780219154341</c:v>
                </c:pt>
                <c:pt idx="1">
                  <c:v>-0.284877036245075</c:v>
                </c:pt>
                <c:pt idx="2">
                  <c:v>-0.197655559754792</c:v>
                </c:pt>
                <c:pt idx="3">
                  <c:v>-0.34566813101382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564155254"/>
        <c:axId val="541324489"/>
      </c:lineChart>
      <c:catAx>
        <c:axId val="615973541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  <a:effectLst/>
        </c:spPr>
        <c:txPr>
          <a:bodyPr rot="66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2"/>
                </a:solidFill>
                <a:latin typeface="+mn-lt"/>
                <a:ea typeface="+mn-lt"/>
                <a:cs typeface="+mn-lt"/>
                <a:sym typeface="+mn-lt"/>
              </a:defRPr>
            </a:pPr>
          </a:p>
        </c:txPr>
        <c:crossAx val="980501339"/>
        <c:crosses val="autoZero"/>
        <c:auto val="1"/>
        <c:lblAlgn val="ctr"/>
        <c:lblOffset val="100"/>
        <c:noMultiLvlLbl val="0"/>
      </c:catAx>
      <c:valAx>
        <c:axId val="9805013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prstDash val="solid"/>
              <a:round/>
            </a:ln>
            <a:effectLst/>
          </c:spPr>
        </c:majorGridlines>
        <c:numFmt formatCode="#,##0_);[Red]\(#,##0\)" sourceLinked="0"/>
        <c:majorTickMark val="none"/>
        <c:minorTickMark val="none"/>
        <c:tickLblPos val="nextTo"/>
        <c:spPr>
          <a:noFill/>
          <a:ln w="12700" cap="flat" cmpd="sng" algn="ctr">
            <a:noFill/>
            <a:prstDash val="solid"/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2"/>
                </a:solidFill>
                <a:latin typeface="+mn-lt"/>
                <a:ea typeface="+mn-lt"/>
                <a:cs typeface="+mn-lt"/>
                <a:sym typeface="+mn-lt"/>
              </a:defRPr>
            </a:pPr>
          </a:p>
        </c:txPr>
        <c:crossAx val="615973541"/>
        <c:crosses val="autoZero"/>
        <c:crossBetween val="between"/>
      </c:valAx>
      <c:catAx>
        <c:axId val="564155254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2"/>
                </a:solidFill>
                <a:latin typeface="+mn-lt"/>
                <a:ea typeface="+mn-lt"/>
                <a:cs typeface="+mn-lt"/>
                <a:sym typeface="+mn-lt"/>
              </a:defRPr>
            </a:pPr>
          </a:p>
        </c:txPr>
        <c:crossAx val="541324489"/>
        <c:crosses val="autoZero"/>
        <c:auto val="1"/>
        <c:lblAlgn val="ctr"/>
        <c:lblOffset val="100"/>
        <c:noMultiLvlLbl val="0"/>
      </c:catAx>
      <c:valAx>
        <c:axId val="541324489"/>
        <c:scaling>
          <c:orientation val="minMax"/>
        </c:scaling>
        <c:delete val="0"/>
        <c:axPos val="r"/>
        <c:numFmt formatCode="_ * #,##0%_ ;[Red]_ * \-#,##0%_ ;_ * &quot;-&quot;??_ ;_ @_ " sourceLinked="0"/>
        <c:majorTickMark val="none"/>
        <c:minorTickMark val="none"/>
        <c:tickLblPos val="nextTo"/>
        <c:spPr>
          <a:noFill/>
          <a:ln w="12700" cap="flat" cmpd="sng" algn="ctr">
            <a:noFill/>
            <a:prstDash val="solid"/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2"/>
                </a:solidFill>
                <a:latin typeface="+mn-lt"/>
                <a:ea typeface="+mn-lt"/>
                <a:cs typeface="+mn-lt"/>
                <a:sym typeface="+mn-lt"/>
              </a:defRPr>
            </a:pPr>
          </a:p>
        </c:txPr>
        <c:crossAx val="564155254"/>
        <c:crosses val="max"/>
        <c:crossBetween val="between"/>
      </c:valAx>
      <c:spPr>
        <a:noFill/>
        <a:ln>
          <a:noFill/>
        </a:ln>
        <a:effectLst/>
      </c:spPr>
    </c:plotArea>
    <c:legend>
      <c:legendPos val="r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zh-CN" sz="800" b="0" i="0" u="none" strike="noStrike" kern="1200" baseline="0">
                <a:solidFill>
                  <a:schemeClr val="tx2"/>
                </a:solidFill>
                <a:latin typeface="+mn-lt"/>
                <a:ea typeface="+mn-lt"/>
                <a:cs typeface="+mn-lt"/>
                <a:sym typeface="+mn-lt"/>
              </a:defRPr>
            </a:pPr>
          </a:p>
        </c:txPr>
      </c:legendEntry>
      <c:legendEntry>
        <c:idx val="1"/>
        <c:txPr>
          <a:bodyPr rot="0" spcFirstLastPara="0" vertOverflow="ellipsis" vert="horz" wrap="square" anchor="ctr" anchorCtr="1"/>
          <a:lstStyle/>
          <a:p>
            <a:pPr>
              <a:defRPr lang="zh-CN" sz="800" b="0" i="0" u="none" strike="noStrike" kern="1200" baseline="0">
                <a:solidFill>
                  <a:schemeClr val="tx2"/>
                </a:solidFill>
                <a:latin typeface="+mn-lt"/>
                <a:ea typeface="+mn-lt"/>
                <a:cs typeface="+mn-lt"/>
                <a:sym typeface="+mn-lt"/>
              </a:defRPr>
            </a:pPr>
          </a:p>
        </c:txPr>
      </c:legendEntry>
      <c:legendEntry>
        <c:idx val="2"/>
        <c:txPr>
          <a:bodyPr rot="0" spcFirstLastPara="0" vertOverflow="ellipsis" vert="horz" wrap="square" anchor="ctr" anchorCtr="1"/>
          <a:lstStyle/>
          <a:p>
            <a:pPr>
              <a:defRPr lang="zh-CN" sz="800" b="0" i="0" u="none" strike="noStrike" kern="1200" baseline="0">
                <a:solidFill>
                  <a:schemeClr val="tx2"/>
                </a:solidFill>
                <a:latin typeface="+mn-lt"/>
                <a:ea typeface="+mn-lt"/>
                <a:cs typeface="+mn-lt"/>
                <a:sym typeface="+mn-lt"/>
              </a:defRPr>
            </a:pPr>
          </a:p>
        </c:txPr>
      </c:legendEntry>
      <c:legendEntry>
        <c:idx val="3"/>
        <c:txPr>
          <a:bodyPr rot="0" spcFirstLastPara="0" vertOverflow="ellipsis" vert="horz" wrap="square" anchor="ctr" anchorCtr="1"/>
          <a:lstStyle/>
          <a:p>
            <a:pPr>
              <a:defRPr lang="zh-CN" sz="800" b="0" i="0" u="none" strike="noStrike" kern="1200" baseline="0">
                <a:solidFill>
                  <a:schemeClr val="tx2"/>
                </a:solidFill>
                <a:latin typeface="+mn-lt"/>
                <a:ea typeface="+mn-lt"/>
                <a:cs typeface="+mn-lt"/>
                <a:sym typeface="+mn-lt"/>
              </a:defRPr>
            </a:pPr>
          </a:p>
        </c:txPr>
      </c:legendEntry>
      <c:layout>
        <c:manualLayout>
          <c:xMode val="edge"/>
          <c:yMode val="edge"/>
          <c:x val="0.20125"/>
          <c:y val="0.0055"/>
          <c:w val="0.69975"/>
          <c:h val="0.0685"/>
        </c:manualLayout>
      </c:layout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800" b="0" i="0" u="none" strike="noStrike" kern="1200" baseline="0">
              <a:solidFill>
                <a:schemeClr val="tx2"/>
              </a:solidFill>
              <a:latin typeface="+mn-lt"/>
              <a:ea typeface="+mn-lt"/>
              <a:cs typeface="+mn-lt"/>
              <a:sym typeface="+mn-lt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c4143df8-311d-4ae9-a454-70a4e89654ab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  <a:effectLst>
      <a:outerShdw blurRad="50800" dist="38100" dir="13500000" algn="br" rotWithShape="0">
        <a:prstClr val="black">
          <a:alpha val="40000"/>
        </a:prstClr>
      </a:outerShdw>
    </a:effectLst>
  </c:spPr>
  <c:txPr>
    <a:bodyPr wrap="square"/>
    <a:lstStyle/>
    <a:p>
      <a:pPr>
        <a:defRPr lang="zh-CN" sz="900">
          <a:solidFill>
            <a:schemeClr val="tx2"/>
          </a:solidFill>
          <a:latin typeface="+mn-lt"/>
          <a:ea typeface="+mn-lt"/>
          <a:cs typeface="+mn-lt"/>
          <a:sym typeface="+mn-lt"/>
        </a:defRPr>
      </a:pPr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0637661683184949"/>
          <c:y val="0.0669014084507042"/>
          <c:w val="0.894557366033932"/>
          <c:h val="0.74034205231388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营收!$C$55</c:f>
              <c:strCache>
                <c:ptCount val="1"/>
                <c:pt idx="0">
                  <c:v>年度计划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营收!$B$56:$B$64</c:f>
              <c:strCache>
                <c:ptCount val="9"/>
                <c:pt idx="0">
                  <c:v>北京中言</c:v>
                </c:pt>
                <c:pt idx="1">
                  <c:v>大连凯丹</c:v>
                </c:pt>
                <c:pt idx="2">
                  <c:v>福建钱隆</c:v>
                </c:pt>
                <c:pt idx="3">
                  <c:v>春夏秋冬</c:v>
                </c:pt>
                <c:pt idx="4">
                  <c:v>重庆宜新</c:v>
                </c:pt>
                <c:pt idx="5">
                  <c:v>伯豪瑞廷</c:v>
                </c:pt>
                <c:pt idx="6">
                  <c:v>重庆瑞尔</c:v>
                </c:pt>
                <c:pt idx="7">
                  <c:v>盛唐融信</c:v>
                </c:pt>
                <c:pt idx="8">
                  <c:v>君康经纪</c:v>
                </c:pt>
              </c:strCache>
            </c:strRef>
          </c:cat>
          <c:val>
            <c:numRef>
              <c:f>营收!$C$56:$C$64</c:f>
              <c:numCache>
                <c:formatCode>_ * #,##0.00_ ;[Red]_ * \-#,##0.00_ ;_ * "-"??_ ;_ @_ </c:formatCode>
                <c:ptCount val="9"/>
                <c:pt idx="0">
                  <c:v>8093.17311009175</c:v>
                </c:pt>
                <c:pt idx="1">
                  <c:v>620.831629715222</c:v>
                </c:pt>
                <c:pt idx="2">
                  <c:v>6392.8</c:v>
                </c:pt>
                <c:pt idx="3">
                  <c:v>1494.87619047619</c:v>
                </c:pt>
                <c:pt idx="4">
                  <c:v>709.51635684571</c:v>
                </c:pt>
                <c:pt idx="5">
                  <c:v>7640.86</c:v>
                </c:pt>
                <c:pt idx="6">
                  <c:v>1454.99726287184</c:v>
                </c:pt>
                <c:pt idx="7">
                  <c:v>755.361936223396</c:v>
                </c:pt>
                <c:pt idx="8">
                  <c:v>648.561734135849</c:v>
                </c:pt>
              </c:numCache>
            </c:numRef>
          </c:val>
        </c:ser>
        <c:ser>
          <c:idx val="1"/>
          <c:order val="1"/>
          <c:tx>
            <c:strRef>
              <c:f>营收!$D$55</c:f>
              <c:strCache>
                <c:ptCount val="1"/>
                <c:pt idx="0">
                  <c:v>年度达成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营收!$B$56:$B$64</c:f>
              <c:strCache>
                <c:ptCount val="9"/>
                <c:pt idx="0">
                  <c:v>北京中言</c:v>
                </c:pt>
                <c:pt idx="1">
                  <c:v>大连凯丹</c:v>
                </c:pt>
                <c:pt idx="2">
                  <c:v>福建钱隆</c:v>
                </c:pt>
                <c:pt idx="3">
                  <c:v>春夏秋冬</c:v>
                </c:pt>
                <c:pt idx="4">
                  <c:v>重庆宜新</c:v>
                </c:pt>
                <c:pt idx="5">
                  <c:v>伯豪瑞廷</c:v>
                </c:pt>
                <c:pt idx="6">
                  <c:v>重庆瑞尔</c:v>
                </c:pt>
                <c:pt idx="7">
                  <c:v>盛唐融信</c:v>
                </c:pt>
                <c:pt idx="8">
                  <c:v>君康经纪</c:v>
                </c:pt>
              </c:strCache>
            </c:strRef>
          </c:cat>
          <c:val>
            <c:numRef>
              <c:f>营收!$D$56:$D$64</c:f>
              <c:numCache>
                <c:formatCode>_ * #,##0.00_ ;[Red]_ * \-#,##0.00_ ;_ * "-"??_ ;_ @_ </c:formatCode>
                <c:ptCount val="9"/>
                <c:pt idx="0">
                  <c:v>2295.837013</c:v>
                </c:pt>
                <c:pt idx="1">
                  <c:v>157.69</c:v>
                </c:pt>
                <c:pt idx="2">
                  <c:v>1569.409395</c:v>
                </c:pt>
                <c:pt idx="3">
                  <c:v>310.7</c:v>
                </c:pt>
                <c:pt idx="4">
                  <c:v>130.577645</c:v>
                </c:pt>
                <c:pt idx="5">
                  <c:v>1487.36</c:v>
                </c:pt>
                <c:pt idx="6">
                  <c:v>223.360914</c:v>
                </c:pt>
                <c:pt idx="7">
                  <c:v>83.977952</c:v>
                </c:pt>
                <c:pt idx="8">
                  <c:v>34.637326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92826647"/>
        <c:axId val="376896413"/>
      </c:barChart>
      <c:scatterChart>
        <c:scatterStyle val="marker"/>
        <c:varyColors val="0"/>
        <c:ser>
          <c:idx val="2"/>
          <c:order val="2"/>
          <c:tx>
            <c:strRef>
              <c:f>营收!$E$55</c:f>
              <c:strCache>
                <c:ptCount val="1"/>
                <c:pt idx="0">
                  <c:v>年度达成率</c:v>
                </c:pt>
              </c:strCache>
            </c:strRef>
          </c:tx>
          <c:spPr>
            <a:ln w="19050" cap="rnd" cmpd="sng" algn="ctr">
              <a:noFill/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75000"/>
                </a:schemeClr>
              </a:solidFill>
              <a:ln w="9525" cap="flat" cmpd="sng" algn="ctr">
                <a:noFill/>
                <a:prstDash val="solid"/>
                <a:round/>
              </a:ln>
              <a:effectLst/>
            </c:spPr>
          </c:marker>
          <c:dLbls>
            <c:dLbl>
              <c:idx val="0"/>
              <c:layout>
                <c:manualLayout>
                  <c:x val="0.024927160893493"/>
                  <c:y val="-0.0673417721518987"/>
                </c:manualLayout>
              </c:layout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3"/>
              <c:layout>
                <c:manualLayout>
                  <c:x val="0"/>
                  <c:y val="-0.0647041678810842"/>
                </c:manualLayout>
              </c:layout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800" b="1" i="0" u="none" strike="noStrike" kern="1200" baseline="0">
                    <a:solidFill>
                      <a:schemeClr val="tx2"/>
                    </a:solidFill>
                    <a:latin typeface="+mn-lt"/>
                    <a:ea typeface="+mn-lt"/>
                    <a:cs typeface="+mn-lt"/>
                    <a:sym typeface="+mn-lt"/>
                  </a:defRPr>
                </a:pPr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xVal>
            <c:strRef>
              <c:f>营收!$B$56:$B$64</c:f>
              <c:strCache>
                <c:ptCount val="9"/>
                <c:pt idx="0">
                  <c:v>北京中言</c:v>
                </c:pt>
                <c:pt idx="1">
                  <c:v>大连凯丹</c:v>
                </c:pt>
                <c:pt idx="2">
                  <c:v>福建钱隆</c:v>
                </c:pt>
                <c:pt idx="3">
                  <c:v>春夏秋冬</c:v>
                </c:pt>
                <c:pt idx="4">
                  <c:v>重庆宜新</c:v>
                </c:pt>
                <c:pt idx="5">
                  <c:v>伯豪瑞廷</c:v>
                </c:pt>
                <c:pt idx="6">
                  <c:v>重庆瑞尔</c:v>
                </c:pt>
                <c:pt idx="7">
                  <c:v>盛唐融信</c:v>
                </c:pt>
                <c:pt idx="8">
                  <c:v>君康经纪</c:v>
                </c:pt>
              </c:strCache>
            </c:strRef>
          </c:xVal>
          <c:yVal>
            <c:numRef>
              <c:f>营收!$E$56:$E$64</c:f>
              <c:numCache>
                <c:formatCode>_ * #,##0.00%_ ;[Red]_ * \-#,##0.00%_ ;_ * "-"??_ ;_ @_ </c:formatCode>
                <c:ptCount val="9"/>
                <c:pt idx="0">
                  <c:v>0.283675757551413</c:v>
                </c:pt>
                <c:pt idx="1">
                  <c:v>0.253998012427835</c:v>
                </c:pt>
                <c:pt idx="2">
                  <c:v>0.245496401420348</c:v>
                </c:pt>
                <c:pt idx="3">
                  <c:v>0.207843299652145</c:v>
                </c:pt>
                <c:pt idx="4">
                  <c:v>0.184037540135801</c:v>
                </c:pt>
                <c:pt idx="5">
                  <c:v>0.194658716427208</c:v>
                </c:pt>
                <c:pt idx="6">
                  <c:v>0.153512944456772</c:v>
                </c:pt>
                <c:pt idx="7">
                  <c:v>0.111175779414921</c:v>
                </c:pt>
                <c:pt idx="8">
                  <c:v>0.0534063670070686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7818219"/>
        <c:axId val="186960905"/>
      </c:scatterChart>
      <c:catAx>
        <c:axId val="392826647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800" b="0" i="0" u="none" strike="noStrike" kern="1200" baseline="0">
                <a:solidFill>
                  <a:schemeClr val="tx2"/>
                </a:solidFill>
                <a:latin typeface="+mn-lt"/>
                <a:ea typeface="+mn-lt"/>
                <a:cs typeface="+mn-lt"/>
                <a:sym typeface="+mn-lt"/>
              </a:defRPr>
            </a:pPr>
          </a:p>
        </c:txPr>
        <c:crossAx val="376896413"/>
        <c:crosses val="autoZero"/>
        <c:auto val="1"/>
        <c:lblAlgn val="ctr"/>
        <c:lblOffset val="100"/>
        <c:noMultiLvlLbl val="0"/>
      </c:catAx>
      <c:valAx>
        <c:axId val="37689641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prstDash val="solid"/>
              <a:round/>
            </a:ln>
            <a:effectLst/>
          </c:spPr>
        </c:majorGridlines>
        <c:numFmt formatCode="_(* #,##0_);_(* \(#,##0\);_(* &quot;-&quot;_);_(@_)" sourceLinked="0"/>
        <c:majorTickMark val="none"/>
        <c:minorTickMark val="none"/>
        <c:tickLblPos val="nextTo"/>
        <c:spPr>
          <a:noFill/>
          <a:ln w="12700" cap="flat" cmpd="sng" algn="ctr">
            <a:noFill/>
            <a:prstDash val="solid"/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800" b="0" i="0" u="none" strike="noStrike" kern="1200" baseline="0">
                <a:solidFill>
                  <a:schemeClr val="tx2"/>
                </a:solidFill>
                <a:latin typeface="+mn-lt"/>
                <a:ea typeface="+mn-lt"/>
                <a:cs typeface="+mn-lt"/>
                <a:sym typeface="+mn-lt"/>
              </a:defRPr>
            </a:pPr>
          </a:p>
        </c:txPr>
        <c:crossAx val="392826647"/>
        <c:crosses val="autoZero"/>
        <c:crossBetween val="between"/>
      </c:valAx>
      <c:valAx>
        <c:axId val="127818219"/>
        <c:scaling>
          <c:orientation val="minMax"/>
        </c:scaling>
        <c:delete val="1"/>
        <c:axPos val="b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800" b="0" i="0" u="none" strike="noStrike" kern="1200" baseline="0">
                <a:solidFill>
                  <a:schemeClr val="tx2"/>
                </a:solidFill>
                <a:latin typeface="+mn-lt"/>
                <a:ea typeface="+mn-lt"/>
                <a:cs typeface="+mn-lt"/>
                <a:sym typeface="+mn-lt"/>
              </a:defRPr>
            </a:pPr>
          </a:p>
        </c:txPr>
        <c:crossAx val="186960905"/>
        <c:crosses val="autoZero"/>
        <c:crossBetween val="midCat"/>
      </c:valAx>
      <c:valAx>
        <c:axId val="186960905"/>
        <c:scaling>
          <c:orientation val="minMax"/>
        </c:scaling>
        <c:delete val="0"/>
        <c:axPos val="r"/>
        <c:numFmt formatCode="0%" sourceLinked="0"/>
        <c:majorTickMark val="out"/>
        <c:minorTickMark val="none"/>
        <c:tickLblPos val="nextTo"/>
        <c:spPr>
          <a:noFill/>
          <a:ln w="12700" cap="flat" cmpd="sng" algn="ctr">
            <a:noFill/>
            <a:prstDash val="solid"/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800" b="0" i="0" u="none" strike="noStrike" kern="1200" baseline="0">
                <a:solidFill>
                  <a:schemeClr val="tx2"/>
                </a:solidFill>
                <a:latin typeface="+mn-lt"/>
                <a:ea typeface="+mn-lt"/>
                <a:cs typeface="+mn-lt"/>
                <a:sym typeface="+mn-lt"/>
              </a:defRPr>
            </a:pPr>
          </a:p>
        </c:txPr>
        <c:crossAx val="127818219"/>
        <c:crosses val="max"/>
        <c:crossBetween val="midCat"/>
      </c:valAx>
      <c:spPr>
        <a:noFill/>
        <a:ln>
          <a:noFill/>
        </a:ln>
        <a:effectLst/>
      </c:spPr>
    </c:plotArea>
    <c:legend>
      <c:legendPos val="r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zh-CN" sz="800" b="0" i="0" u="none" strike="noStrike" kern="1200" baseline="0">
                <a:solidFill>
                  <a:schemeClr val="tx2"/>
                </a:solidFill>
                <a:latin typeface="+mn-lt"/>
                <a:ea typeface="+mn-lt"/>
                <a:cs typeface="+mn-lt"/>
                <a:sym typeface="+mn-lt"/>
              </a:defRPr>
            </a:pPr>
          </a:p>
        </c:txPr>
      </c:legendEntry>
      <c:legendEntry>
        <c:idx val="1"/>
        <c:txPr>
          <a:bodyPr rot="0" spcFirstLastPara="0" vertOverflow="ellipsis" vert="horz" wrap="square" anchor="ctr" anchorCtr="1"/>
          <a:lstStyle/>
          <a:p>
            <a:pPr>
              <a:defRPr lang="zh-CN" sz="800" b="0" i="0" u="none" strike="noStrike" kern="1200" baseline="0">
                <a:solidFill>
                  <a:schemeClr val="tx2"/>
                </a:solidFill>
                <a:latin typeface="+mn-lt"/>
                <a:ea typeface="+mn-lt"/>
                <a:cs typeface="+mn-lt"/>
                <a:sym typeface="+mn-lt"/>
              </a:defRPr>
            </a:pPr>
          </a:p>
        </c:txPr>
      </c:legendEntry>
      <c:legendEntry>
        <c:idx val="2"/>
        <c:txPr>
          <a:bodyPr rot="0" spcFirstLastPara="0" vertOverflow="ellipsis" vert="horz" wrap="square" anchor="ctr" anchorCtr="1"/>
          <a:lstStyle/>
          <a:p>
            <a:pPr>
              <a:defRPr lang="zh-CN" sz="800" b="0" i="0" u="none" strike="noStrike" kern="1200" baseline="0">
                <a:solidFill>
                  <a:schemeClr val="tx2"/>
                </a:solidFill>
                <a:latin typeface="+mn-lt"/>
                <a:ea typeface="+mn-lt"/>
                <a:cs typeface="+mn-lt"/>
                <a:sym typeface="+mn-lt"/>
              </a:defRPr>
            </a:pPr>
          </a:p>
        </c:txPr>
      </c:legendEntry>
      <c:layout>
        <c:manualLayout>
          <c:xMode val="edge"/>
          <c:yMode val="edge"/>
          <c:x val="0.679"/>
          <c:y val="0.0125"/>
          <c:w val="0.2455"/>
          <c:h val="0.149"/>
        </c:manualLayout>
      </c:layout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800" b="0" i="0" u="none" strike="noStrike" kern="1200" baseline="0">
              <a:solidFill>
                <a:schemeClr val="tx2"/>
              </a:solidFill>
              <a:latin typeface="+mn-lt"/>
              <a:ea typeface="+mn-lt"/>
              <a:cs typeface="+mn-lt"/>
              <a:sym typeface="+mn-lt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90bcba51-3ec9-4f3d-be51-269d5eb2f761}"/>
      </c:ext>
    </c:extLst>
  </c:chart>
  <c:spPr>
    <a:solidFill>
      <a:sysClr val="window" lastClr="FFFFFF"/>
    </a:solidFill>
    <a:ln w="9525" cap="flat" cmpd="sng" algn="ctr">
      <a:solidFill>
        <a:schemeClr val="bg2"/>
      </a:solidFill>
      <a:prstDash val="solid"/>
      <a:round/>
    </a:ln>
    <a:effectLst>
      <a:outerShdw blurRad="50800" dist="38100" dir="13500000" algn="br" rotWithShape="0">
        <a:prstClr val="black">
          <a:alpha val="40000"/>
        </a:prstClr>
      </a:outerShdw>
    </a:effectLst>
  </c:spPr>
  <c:txPr>
    <a:bodyPr wrap="square"/>
    <a:lstStyle/>
    <a:p>
      <a:pPr>
        <a:defRPr lang="zh-CN" sz="800">
          <a:solidFill>
            <a:schemeClr val="tx2"/>
          </a:solidFill>
          <a:latin typeface="+mn-lt"/>
          <a:ea typeface="+mn-lt"/>
          <a:cs typeface="+mn-lt"/>
          <a:sym typeface="+mn-lt"/>
        </a:defRPr>
      </a:pPr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0353011807084251"/>
          <c:y val="0.0389458272327965"/>
          <c:w val="0.919925288506437"/>
          <c:h val="0.84884333821376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营收!$C$29</c:f>
              <c:strCache>
                <c:ptCount val="1"/>
                <c:pt idx="0">
                  <c:v>当月计划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营收!$B$30:$B$38</c:f>
              <c:strCache>
                <c:ptCount val="9"/>
                <c:pt idx="0">
                  <c:v>北京中言</c:v>
                </c:pt>
                <c:pt idx="1">
                  <c:v>大连凯丹</c:v>
                </c:pt>
                <c:pt idx="2">
                  <c:v>福建钱隆</c:v>
                </c:pt>
                <c:pt idx="3">
                  <c:v>春夏秋冬</c:v>
                </c:pt>
                <c:pt idx="4">
                  <c:v>重庆宜新</c:v>
                </c:pt>
                <c:pt idx="5">
                  <c:v>伯豪瑞廷</c:v>
                </c:pt>
                <c:pt idx="6">
                  <c:v>重庆瑞尔</c:v>
                </c:pt>
                <c:pt idx="7">
                  <c:v>盛唐融信</c:v>
                </c:pt>
                <c:pt idx="8">
                  <c:v>君康经纪</c:v>
                </c:pt>
              </c:strCache>
            </c:strRef>
          </c:cat>
          <c:val>
            <c:numRef>
              <c:f>营收!$C$30:$C$38</c:f>
              <c:numCache>
                <c:formatCode>_ * #,##0.00_ ;[Red]_ * \-#,##0.00_ ;_ * "-"??_ ;_ @_ </c:formatCode>
                <c:ptCount val="9"/>
                <c:pt idx="0">
                  <c:v>674.14</c:v>
                </c:pt>
                <c:pt idx="1">
                  <c:v>53.0666378095238</c:v>
                </c:pt>
                <c:pt idx="2">
                  <c:v>522.17</c:v>
                </c:pt>
                <c:pt idx="3">
                  <c:v>121.311428571429</c:v>
                </c:pt>
                <c:pt idx="4">
                  <c:v>47.0911205218642</c:v>
                </c:pt>
                <c:pt idx="5">
                  <c:v>621.71</c:v>
                </c:pt>
                <c:pt idx="6">
                  <c:v>112.080820495067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</c:ser>
        <c:ser>
          <c:idx val="1"/>
          <c:order val="1"/>
          <c:tx>
            <c:strRef>
              <c:f>营收!$D$29</c:f>
              <c:strCache>
                <c:ptCount val="1"/>
                <c:pt idx="0">
                  <c:v>当月达成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>
              <a:outerShdw blurRad="50800" dist="38100" dir="13500000" algn="br" rotWithShape="0">
                <a:prstClr val="black">
                  <a:alpha val="40000"/>
                </a:prstClr>
              </a:outerShdw>
            </a:effectLst>
          </c:spPr>
          <c:invertIfNegative val="0"/>
          <c:dLbls>
            <c:delete val="1"/>
          </c:dLbls>
          <c:cat>
            <c:strRef>
              <c:f>营收!$B$30:$B$38</c:f>
              <c:strCache>
                <c:ptCount val="9"/>
                <c:pt idx="0">
                  <c:v>北京中言</c:v>
                </c:pt>
                <c:pt idx="1">
                  <c:v>大连凯丹</c:v>
                </c:pt>
                <c:pt idx="2">
                  <c:v>福建钱隆</c:v>
                </c:pt>
                <c:pt idx="3">
                  <c:v>春夏秋冬</c:v>
                </c:pt>
                <c:pt idx="4">
                  <c:v>重庆宜新</c:v>
                </c:pt>
                <c:pt idx="5">
                  <c:v>伯豪瑞廷</c:v>
                </c:pt>
                <c:pt idx="6">
                  <c:v>重庆瑞尔</c:v>
                </c:pt>
                <c:pt idx="7">
                  <c:v>盛唐融信</c:v>
                </c:pt>
                <c:pt idx="8">
                  <c:v>君康经纪</c:v>
                </c:pt>
              </c:strCache>
            </c:strRef>
          </c:cat>
          <c:val>
            <c:numRef>
              <c:f>营收!$D$30:$D$38</c:f>
              <c:numCache>
                <c:formatCode>_ * #,##0.00_ ;[Red]_ * \-#,##0.00_ ;_ * "-"??_ ;_ @_ 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7222444"/>
        <c:axId val="176614943"/>
      </c:barChart>
      <c:scatterChart>
        <c:scatterStyle val="smoothMarker"/>
        <c:varyColors val="0"/>
        <c:ser>
          <c:idx val="2"/>
          <c:order val="2"/>
          <c:tx>
            <c:strRef>
              <c:f>营收!$E$29</c:f>
              <c:strCache>
                <c:ptCount val="1"/>
                <c:pt idx="0">
                  <c:v>当月达成率</c:v>
                </c:pt>
              </c:strCache>
            </c:strRef>
          </c:tx>
          <c:spPr>
            <a:ln w="28575" cap="rnd" cmpd="sng" algn="ctr">
              <a:noFill/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75000"/>
                </a:schemeClr>
              </a:solidFill>
              <a:ln w="9525" cap="flat" cmpd="sng" algn="ctr">
                <a:noFill/>
                <a:prstDash val="solid"/>
                <a:round/>
              </a:ln>
              <a:effectLst/>
            </c:spPr>
          </c:marker>
          <c:dLbls>
            <c:dLbl>
              <c:idx val="0"/>
              <c:layout>
                <c:manualLayout>
                  <c:x val="0.00130344108446298"/>
                  <c:y val="-0.420096508657394"/>
                </c:manualLayout>
              </c:layout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3"/>
              <c:layout>
                <c:manualLayout>
                  <c:x val="-0.047634223537021"/>
                  <c:y val="-0.187572659117747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800" b="1" i="0" u="none" strike="noStrike" kern="1200" baseline="0">
                    <a:solidFill>
                      <a:schemeClr val="tx2"/>
                    </a:solidFill>
                    <a:latin typeface="+mn-lt"/>
                    <a:ea typeface="+mn-lt"/>
                    <a:cs typeface="+mn-lt"/>
                    <a:sym typeface="+mn-lt"/>
                  </a:defRPr>
                </a:pPr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xVal>
            <c:strRef>
              <c:f>营收!$B$30:$B$38</c:f>
              <c:strCache>
                <c:ptCount val="9"/>
                <c:pt idx="0">
                  <c:v>北京中言</c:v>
                </c:pt>
                <c:pt idx="1">
                  <c:v>大连凯丹</c:v>
                </c:pt>
                <c:pt idx="2">
                  <c:v>福建钱隆</c:v>
                </c:pt>
                <c:pt idx="3">
                  <c:v>春夏秋冬</c:v>
                </c:pt>
                <c:pt idx="4">
                  <c:v>重庆宜新</c:v>
                </c:pt>
                <c:pt idx="5">
                  <c:v>伯豪瑞廷</c:v>
                </c:pt>
                <c:pt idx="6">
                  <c:v>重庆瑞尔</c:v>
                </c:pt>
                <c:pt idx="7">
                  <c:v>盛唐融信</c:v>
                </c:pt>
                <c:pt idx="8">
                  <c:v>君康经纪</c:v>
                </c:pt>
              </c:strCache>
            </c:strRef>
          </c:xVal>
          <c:yVal>
            <c:numRef>
              <c:f>营收!$E$30:$E$38</c:f>
              <c:numCache>
                <c:formatCode>_ * #,##0.00%_ ;[Red]_ * \-#,##0.00%_ ;_ * "-"??_ ;_ @_ 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09565227"/>
        <c:axId val="555339503"/>
      </c:scatterChart>
      <c:catAx>
        <c:axId val="147222444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800" b="0" i="0" u="none" strike="noStrike" kern="1200" baseline="0">
                <a:solidFill>
                  <a:schemeClr val="tx2"/>
                </a:solidFill>
                <a:latin typeface="+mn-lt"/>
                <a:ea typeface="+mn-lt"/>
                <a:cs typeface="+mn-lt"/>
                <a:sym typeface="+mn-lt"/>
              </a:defRPr>
            </a:pPr>
          </a:p>
        </c:txPr>
        <c:crossAx val="176614943"/>
        <c:crosses val="autoZero"/>
        <c:auto val="1"/>
        <c:lblAlgn val="ctr"/>
        <c:lblOffset val="100"/>
        <c:noMultiLvlLbl val="0"/>
      </c:catAx>
      <c:valAx>
        <c:axId val="176614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prstDash val="solid"/>
              <a:round/>
            </a:ln>
            <a:effectLst/>
          </c:spPr>
        </c:majorGridlines>
        <c:numFmt formatCode="_(* #,##0_);_(* \(#,##0\);_(* &quot;-&quot;_);_(@_)" sourceLinked="0"/>
        <c:majorTickMark val="none"/>
        <c:minorTickMark val="none"/>
        <c:tickLblPos val="nextTo"/>
        <c:spPr>
          <a:noFill/>
          <a:ln w="12700" cap="flat" cmpd="sng" algn="ctr">
            <a:noFill/>
            <a:prstDash val="solid"/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800" b="0" i="0" u="none" strike="noStrike" kern="1200" baseline="0">
                <a:solidFill>
                  <a:schemeClr val="tx2"/>
                </a:solidFill>
                <a:latin typeface="+mn-lt"/>
                <a:ea typeface="+mn-lt"/>
                <a:cs typeface="+mn-lt"/>
                <a:sym typeface="+mn-lt"/>
              </a:defRPr>
            </a:pPr>
          </a:p>
        </c:txPr>
        <c:crossAx val="147222444"/>
        <c:crosses val="autoZero"/>
        <c:crossBetween val="between"/>
        <c:majorUnit val="300"/>
      </c:valAx>
      <c:valAx>
        <c:axId val="809565227"/>
        <c:scaling>
          <c:orientation val="minMax"/>
        </c:scaling>
        <c:delete val="1"/>
        <c:axPos val="b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800" b="0" i="0" u="none" strike="noStrike" kern="1200" baseline="0">
                <a:solidFill>
                  <a:schemeClr val="tx2"/>
                </a:solidFill>
                <a:latin typeface="+mn-lt"/>
                <a:ea typeface="+mn-lt"/>
                <a:cs typeface="+mn-lt"/>
                <a:sym typeface="+mn-lt"/>
              </a:defRPr>
            </a:pPr>
          </a:p>
        </c:txPr>
        <c:crossAx val="555339503"/>
        <c:crosses val="autoZero"/>
        <c:crossBetween val="midCat"/>
      </c:valAx>
      <c:valAx>
        <c:axId val="555339503"/>
        <c:scaling>
          <c:orientation val="minMax"/>
        </c:scaling>
        <c:delete val="0"/>
        <c:axPos val="r"/>
        <c:numFmt formatCode="0%" sourceLinked="0"/>
        <c:majorTickMark val="out"/>
        <c:minorTickMark val="none"/>
        <c:tickLblPos val="nextTo"/>
        <c:spPr>
          <a:noFill/>
          <a:ln w="12700" cap="flat" cmpd="sng" algn="ctr">
            <a:noFill/>
            <a:prstDash val="solid"/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800" b="0" i="0" u="none" strike="noStrike" kern="1200" baseline="0">
                <a:solidFill>
                  <a:schemeClr val="tx2"/>
                </a:solidFill>
                <a:latin typeface="+mn-lt"/>
                <a:ea typeface="+mn-lt"/>
                <a:cs typeface="+mn-lt"/>
                <a:sym typeface="+mn-lt"/>
              </a:defRPr>
            </a:pPr>
          </a:p>
        </c:txPr>
        <c:crossAx val="809565227"/>
        <c:crosses val="max"/>
        <c:crossBetween val="midCat"/>
      </c:valAx>
      <c:spPr>
        <a:noFill/>
        <a:ln>
          <a:noFill/>
        </a:ln>
        <a:effectLst/>
      </c:spPr>
    </c:plotArea>
    <c:legend>
      <c:legendPos val="r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zh-CN" sz="800" b="0" i="0" u="none" strike="noStrike" kern="1200" baseline="0">
                <a:solidFill>
                  <a:schemeClr val="tx2"/>
                </a:solidFill>
                <a:latin typeface="+mn-lt"/>
                <a:ea typeface="+mn-lt"/>
                <a:cs typeface="+mn-lt"/>
                <a:sym typeface="+mn-lt"/>
              </a:defRPr>
            </a:pPr>
          </a:p>
        </c:txPr>
      </c:legendEntry>
      <c:legendEntry>
        <c:idx val="1"/>
        <c:txPr>
          <a:bodyPr rot="0" spcFirstLastPara="0" vertOverflow="ellipsis" vert="horz" wrap="square" anchor="ctr" anchorCtr="1"/>
          <a:lstStyle/>
          <a:p>
            <a:pPr>
              <a:defRPr lang="zh-CN" sz="800" b="0" i="0" u="none" strike="noStrike" kern="1200" baseline="0">
                <a:solidFill>
                  <a:schemeClr val="tx2"/>
                </a:solidFill>
                <a:latin typeface="+mn-lt"/>
                <a:ea typeface="+mn-lt"/>
                <a:cs typeface="+mn-lt"/>
                <a:sym typeface="+mn-lt"/>
              </a:defRPr>
            </a:pPr>
          </a:p>
        </c:txPr>
      </c:legendEntry>
      <c:legendEntry>
        <c:idx val="2"/>
        <c:txPr>
          <a:bodyPr rot="0" spcFirstLastPara="0" vertOverflow="ellipsis" vert="horz" wrap="square" anchor="ctr" anchorCtr="1"/>
          <a:lstStyle/>
          <a:p>
            <a:pPr>
              <a:defRPr lang="zh-CN" sz="800" b="0" i="0" u="none" strike="noStrike" kern="1200" baseline="0">
                <a:solidFill>
                  <a:schemeClr val="tx2"/>
                </a:solidFill>
                <a:latin typeface="+mn-lt"/>
                <a:ea typeface="+mn-lt"/>
                <a:cs typeface="+mn-lt"/>
                <a:sym typeface="+mn-lt"/>
              </a:defRPr>
            </a:pPr>
          </a:p>
        </c:txPr>
      </c:legendEntry>
      <c:layout>
        <c:manualLayout>
          <c:xMode val="edge"/>
          <c:yMode val="edge"/>
          <c:x val="0.6565"/>
          <c:y val="0.013"/>
          <c:w val="0.26825"/>
          <c:h val="0.155"/>
        </c:manualLayout>
      </c:layout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800" b="0" i="0" u="none" strike="noStrike" kern="1200" baseline="0">
              <a:solidFill>
                <a:schemeClr val="tx2"/>
              </a:solidFill>
              <a:latin typeface="+mn-lt"/>
              <a:ea typeface="+mn-lt"/>
              <a:cs typeface="+mn-lt"/>
              <a:sym typeface="+mn-lt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79e6ada1-863a-41f3-aa96-4593e7ea4de5}"/>
      </c:ext>
    </c:extLst>
  </c:chart>
  <c:spPr>
    <a:solidFill>
      <a:sysClr val="window" lastClr="FFFFFF"/>
    </a:solidFill>
    <a:ln w="9525" cap="flat" cmpd="sng" algn="ctr">
      <a:solidFill>
        <a:schemeClr val="bg2"/>
      </a:solidFill>
      <a:prstDash val="solid"/>
      <a:round/>
    </a:ln>
    <a:effectLst>
      <a:outerShdw blurRad="50800" dist="38100" dir="13500000" algn="br" rotWithShape="0">
        <a:prstClr val="black">
          <a:alpha val="40000"/>
        </a:prstClr>
      </a:outerShdw>
    </a:effectLst>
  </c:spPr>
  <c:txPr>
    <a:bodyPr wrap="square"/>
    <a:lstStyle/>
    <a:p>
      <a:pPr>
        <a:defRPr lang="zh-CN" sz="800">
          <a:solidFill>
            <a:schemeClr val="tx2"/>
          </a:solidFill>
          <a:latin typeface="+mn-lt"/>
          <a:ea typeface="+mn-lt"/>
          <a:cs typeface="+mn-lt"/>
          <a:sym typeface="+mn-lt"/>
        </a:defRPr>
      </a:pPr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0427683520913825"/>
          <c:y val="0.0673417721518987"/>
          <c:w val="0.908835881068369"/>
          <c:h val="0.73863291139240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营收!$C$42</c:f>
              <c:strCache>
                <c:ptCount val="1"/>
                <c:pt idx="0">
                  <c:v>分解计划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营收!$B$43:$B$51</c:f>
              <c:strCache>
                <c:ptCount val="9"/>
                <c:pt idx="0">
                  <c:v>北京中言</c:v>
                </c:pt>
                <c:pt idx="1">
                  <c:v>大连凯丹</c:v>
                </c:pt>
                <c:pt idx="2">
                  <c:v>福建钱隆</c:v>
                </c:pt>
                <c:pt idx="3">
                  <c:v>春夏秋冬</c:v>
                </c:pt>
                <c:pt idx="4">
                  <c:v>重庆宜新</c:v>
                </c:pt>
                <c:pt idx="5">
                  <c:v>伯豪瑞廷</c:v>
                </c:pt>
                <c:pt idx="6">
                  <c:v>重庆瑞尔</c:v>
                </c:pt>
                <c:pt idx="7">
                  <c:v>盛唐融信</c:v>
                </c:pt>
                <c:pt idx="8">
                  <c:v>君康经纪</c:v>
                </c:pt>
              </c:strCache>
            </c:strRef>
          </c:cat>
          <c:val>
            <c:numRef>
              <c:f>营收!$C$43:$C$51</c:f>
              <c:numCache>
                <c:formatCode>_ * #,##0.00_ ;[Red]_ * \-#,##0.00_ ;_ * "-"??_ ;_ @_ </c:formatCode>
                <c:ptCount val="9"/>
                <c:pt idx="0">
                  <c:v>2775.35</c:v>
                </c:pt>
                <c:pt idx="1">
                  <c:v>209.312886739032</c:v>
                </c:pt>
                <c:pt idx="2">
                  <c:v>2066.95</c:v>
                </c:pt>
                <c:pt idx="3">
                  <c:v>457.025714285716</c:v>
                </c:pt>
                <c:pt idx="4">
                  <c:v>144.275441382106</c:v>
                </c:pt>
                <c:pt idx="5">
                  <c:v>2318.77</c:v>
                </c:pt>
                <c:pt idx="6">
                  <c:v>392.874225376493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</c:ser>
        <c:ser>
          <c:idx val="1"/>
          <c:order val="1"/>
          <c:tx>
            <c:strRef>
              <c:f>营收!$D$42</c:f>
              <c:strCache>
                <c:ptCount val="1"/>
                <c:pt idx="0">
                  <c:v>累计达成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>
              <a:outerShdw blurRad="50800" dist="38100" dir="13500000" algn="br" rotWithShape="0">
                <a:prstClr val="black">
                  <a:alpha val="40000"/>
                </a:prstClr>
              </a:outerShdw>
            </a:effectLst>
          </c:spPr>
          <c:invertIfNegative val="0"/>
          <c:dLbls>
            <c:delete val="1"/>
          </c:dLbls>
          <c:cat>
            <c:strRef>
              <c:f>营收!$B$43:$B$51</c:f>
              <c:strCache>
                <c:ptCount val="9"/>
                <c:pt idx="0">
                  <c:v>北京中言</c:v>
                </c:pt>
                <c:pt idx="1">
                  <c:v>大连凯丹</c:v>
                </c:pt>
                <c:pt idx="2">
                  <c:v>福建钱隆</c:v>
                </c:pt>
                <c:pt idx="3">
                  <c:v>春夏秋冬</c:v>
                </c:pt>
                <c:pt idx="4">
                  <c:v>重庆宜新</c:v>
                </c:pt>
                <c:pt idx="5">
                  <c:v>伯豪瑞廷</c:v>
                </c:pt>
                <c:pt idx="6">
                  <c:v>重庆瑞尔</c:v>
                </c:pt>
                <c:pt idx="7">
                  <c:v>盛唐融信</c:v>
                </c:pt>
                <c:pt idx="8">
                  <c:v>君康经纪</c:v>
                </c:pt>
              </c:strCache>
            </c:strRef>
          </c:cat>
          <c:val>
            <c:numRef>
              <c:f>营收!$D$43:$D$51</c:f>
              <c:numCache>
                <c:formatCode>_ * #,##0.00_ ;[Red]_ * \-#,##0.00_ ;_ * "-"??_ ;_ @_ </c:formatCode>
                <c:ptCount val="9"/>
                <c:pt idx="0">
                  <c:v>2295.837013</c:v>
                </c:pt>
                <c:pt idx="1">
                  <c:v>157.69</c:v>
                </c:pt>
                <c:pt idx="2">
                  <c:v>1569.409395</c:v>
                </c:pt>
                <c:pt idx="3">
                  <c:v>310.7</c:v>
                </c:pt>
                <c:pt idx="4">
                  <c:v>130.577645</c:v>
                </c:pt>
                <c:pt idx="5">
                  <c:v>1487.36</c:v>
                </c:pt>
                <c:pt idx="6">
                  <c:v>223.360914</c:v>
                </c:pt>
                <c:pt idx="7">
                  <c:v>83.977952</c:v>
                </c:pt>
                <c:pt idx="8">
                  <c:v>34.637326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47332728"/>
        <c:axId val="966181230"/>
      </c:barChart>
      <c:scatterChart>
        <c:scatterStyle val="smoothMarker"/>
        <c:varyColors val="0"/>
        <c:ser>
          <c:idx val="2"/>
          <c:order val="2"/>
          <c:tx>
            <c:strRef>
              <c:f>营收!$E$42</c:f>
              <c:strCache>
                <c:ptCount val="1"/>
                <c:pt idx="0">
                  <c:v>分解计划达成率</c:v>
                </c:pt>
              </c:strCache>
            </c:strRef>
          </c:tx>
          <c:spPr>
            <a:ln w="28575" cap="rnd" cmpd="sng" algn="ctr">
              <a:noFill/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75000"/>
                </a:schemeClr>
              </a:solidFill>
              <a:ln w="9525" cap="flat" cmpd="sng" algn="ctr">
                <a:noFill/>
                <a:prstDash val="solid"/>
                <a:round/>
              </a:ln>
              <a:effectLst/>
            </c:spPr>
          </c:marker>
          <c:dLbls>
            <c:dLbl>
              <c:idx val="0"/>
              <c:layout>
                <c:manualLayout>
                  <c:x val="0.00130344108446298"/>
                  <c:y val="-0.278172012489356"/>
                </c:manualLayout>
              </c:layout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"/>
              <c:layout>
                <c:manualLayout>
                  <c:x val="-0.0447278021996952"/>
                  <c:y val="-0.148970371331599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3"/>
              <c:layout>
                <c:manualLayout>
                  <c:x val="-0.0469637518538297"/>
                  <c:y val="-0.1541253685078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800" b="1" i="0" u="none" strike="noStrike" kern="1200" baseline="0">
                    <a:solidFill>
                      <a:schemeClr val="tx2"/>
                    </a:solidFill>
                    <a:latin typeface="+mn-lt"/>
                    <a:ea typeface="+mn-lt"/>
                    <a:cs typeface="+mn-lt"/>
                    <a:sym typeface="+mn-lt"/>
                  </a:defRPr>
                </a:pPr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xVal>
            <c:strRef>
              <c:f>营收!$B$43:$B$51</c:f>
              <c:strCache>
                <c:ptCount val="9"/>
                <c:pt idx="0">
                  <c:v>北京中言</c:v>
                </c:pt>
                <c:pt idx="1">
                  <c:v>大连凯丹</c:v>
                </c:pt>
                <c:pt idx="2">
                  <c:v>福建钱隆</c:v>
                </c:pt>
                <c:pt idx="3">
                  <c:v>春夏秋冬</c:v>
                </c:pt>
                <c:pt idx="4">
                  <c:v>重庆宜新</c:v>
                </c:pt>
                <c:pt idx="5">
                  <c:v>伯豪瑞廷</c:v>
                </c:pt>
                <c:pt idx="6">
                  <c:v>重庆瑞尔</c:v>
                </c:pt>
                <c:pt idx="7">
                  <c:v>盛唐融信</c:v>
                </c:pt>
                <c:pt idx="8">
                  <c:v>君康经纪</c:v>
                </c:pt>
              </c:strCache>
            </c:strRef>
          </c:xVal>
          <c:yVal>
            <c:numRef>
              <c:f>营收!$E$43:$E$51</c:f>
              <c:numCache>
                <c:formatCode>_ * #,##0.00%_ ;[Red]_ * \-#,##0.00%_ ;_ * "-"??_ ;_ @_ </c:formatCode>
                <c:ptCount val="9"/>
                <c:pt idx="0">
                  <c:v>0.827224318734574</c:v>
                </c:pt>
                <c:pt idx="1">
                  <c:v>0.753369763595137</c:v>
                </c:pt>
                <c:pt idx="2">
                  <c:v>0.759287546868574</c:v>
                </c:pt>
                <c:pt idx="3">
                  <c:v>0.679830456554489</c:v>
                </c:pt>
                <c:pt idx="4">
                  <c:v>0.905058017838057</c:v>
                </c:pt>
                <c:pt idx="5">
                  <c:v>0.64144352393726</c:v>
                </c:pt>
                <c:pt idx="6">
                  <c:v>0.568530332540783</c:v>
                </c:pt>
                <c:pt idx="7">
                  <c:v>0</c:v>
                </c:pt>
                <c:pt idx="8">
                  <c:v>0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86710447"/>
        <c:axId val="871064779"/>
      </c:scatterChart>
      <c:catAx>
        <c:axId val="64733272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800" b="0" i="0" u="none" strike="noStrike" kern="1200" baseline="0">
                <a:solidFill>
                  <a:schemeClr val="tx2"/>
                </a:solidFill>
                <a:latin typeface="+mn-lt"/>
                <a:ea typeface="+mn-lt"/>
                <a:cs typeface="+mn-lt"/>
                <a:sym typeface="+mn-lt"/>
              </a:defRPr>
            </a:pPr>
          </a:p>
        </c:txPr>
        <c:crossAx val="966181230"/>
        <c:crosses val="autoZero"/>
        <c:auto val="1"/>
        <c:lblAlgn val="ctr"/>
        <c:lblOffset val="100"/>
        <c:noMultiLvlLbl val="0"/>
      </c:catAx>
      <c:valAx>
        <c:axId val="96618123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prstDash val="solid"/>
              <a:round/>
            </a:ln>
            <a:effectLst/>
          </c:spPr>
        </c:majorGridlines>
        <c:numFmt formatCode="_(* #,##0_);_(* \(#,##0\);_(* &quot;-&quot;_);_(@_)" sourceLinked="0"/>
        <c:majorTickMark val="none"/>
        <c:minorTickMark val="none"/>
        <c:tickLblPos val="nextTo"/>
        <c:spPr>
          <a:noFill/>
          <a:ln w="12700" cap="flat" cmpd="sng" algn="ctr">
            <a:noFill/>
            <a:prstDash val="solid"/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800" b="0" i="0" u="none" strike="noStrike" kern="1200" baseline="0">
                <a:solidFill>
                  <a:schemeClr val="tx2"/>
                </a:solidFill>
                <a:latin typeface="+mn-lt"/>
                <a:ea typeface="+mn-lt"/>
                <a:cs typeface="+mn-lt"/>
                <a:sym typeface="+mn-lt"/>
              </a:defRPr>
            </a:pPr>
          </a:p>
        </c:txPr>
        <c:crossAx val="647332728"/>
        <c:crosses val="autoZero"/>
        <c:crossBetween val="between"/>
      </c:valAx>
      <c:valAx>
        <c:axId val="886710447"/>
        <c:scaling>
          <c:orientation val="minMax"/>
        </c:scaling>
        <c:delete val="1"/>
        <c:axPos val="b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800" b="0" i="0" u="none" strike="noStrike" kern="1200" baseline="0">
                <a:solidFill>
                  <a:schemeClr val="tx2"/>
                </a:solidFill>
                <a:latin typeface="+mn-lt"/>
                <a:ea typeface="+mn-lt"/>
                <a:cs typeface="+mn-lt"/>
                <a:sym typeface="+mn-lt"/>
              </a:defRPr>
            </a:pPr>
          </a:p>
        </c:txPr>
        <c:crossAx val="871064779"/>
        <c:crosses val="autoZero"/>
        <c:crossBetween val="midCat"/>
      </c:valAx>
      <c:valAx>
        <c:axId val="871064779"/>
        <c:scaling>
          <c:orientation val="minMax"/>
        </c:scaling>
        <c:delete val="0"/>
        <c:axPos val="r"/>
        <c:numFmt formatCode="0%" sourceLinked="0"/>
        <c:majorTickMark val="out"/>
        <c:minorTickMark val="none"/>
        <c:tickLblPos val="nextTo"/>
        <c:spPr>
          <a:noFill/>
          <a:ln w="12700" cap="flat" cmpd="sng" algn="ctr">
            <a:noFill/>
            <a:prstDash val="solid"/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800" b="0" i="0" u="none" strike="noStrike" kern="1200" baseline="0">
                <a:solidFill>
                  <a:schemeClr val="tx2"/>
                </a:solidFill>
                <a:latin typeface="+mn-lt"/>
                <a:ea typeface="+mn-lt"/>
                <a:cs typeface="+mn-lt"/>
                <a:sym typeface="+mn-lt"/>
              </a:defRPr>
            </a:pPr>
          </a:p>
        </c:txPr>
        <c:crossAx val="886710447"/>
        <c:crosses val="max"/>
        <c:crossBetween val="midCat"/>
        <c:majorUnit val="0.9"/>
      </c:valAx>
      <c:spPr>
        <a:noFill/>
        <a:ln>
          <a:noFill/>
        </a:ln>
        <a:effectLst/>
      </c:spPr>
    </c:plotArea>
    <c:legend>
      <c:legendPos val="r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zh-CN" sz="800" b="0" i="0" u="none" strike="noStrike" kern="1200" baseline="0">
                <a:solidFill>
                  <a:schemeClr val="tx2"/>
                </a:solidFill>
                <a:latin typeface="+mn-lt"/>
                <a:ea typeface="+mn-lt"/>
                <a:cs typeface="+mn-lt"/>
                <a:sym typeface="+mn-lt"/>
              </a:defRPr>
            </a:pPr>
          </a:p>
        </c:txPr>
      </c:legendEntry>
      <c:legendEntry>
        <c:idx val="1"/>
        <c:txPr>
          <a:bodyPr rot="0" spcFirstLastPara="0" vertOverflow="ellipsis" vert="horz" wrap="square" anchor="ctr" anchorCtr="1"/>
          <a:lstStyle/>
          <a:p>
            <a:pPr>
              <a:defRPr lang="zh-CN" sz="800" b="0" i="0" u="none" strike="noStrike" kern="1200" baseline="0">
                <a:solidFill>
                  <a:schemeClr val="tx2"/>
                </a:solidFill>
                <a:latin typeface="+mn-lt"/>
                <a:ea typeface="+mn-lt"/>
                <a:cs typeface="+mn-lt"/>
                <a:sym typeface="+mn-lt"/>
              </a:defRPr>
            </a:pPr>
          </a:p>
        </c:txPr>
      </c:legendEntry>
      <c:legendEntry>
        <c:idx val="2"/>
        <c:txPr>
          <a:bodyPr rot="0" spcFirstLastPara="0" vertOverflow="ellipsis" vert="horz" wrap="square" anchor="ctr" anchorCtr="1"/>
          <a:lstStyle/>
          <a:p>
            <a:pPr>
              <a:defRPr lang="zh-CN" sz="800" b="0" i="0" u="none" strike="noStrike" kern="1200" baseline="0">
                <a:solidFill>
                  <a:schemeClr val="tx2"/>
                </a:solidFill>
                <a:latin typeface="+mn-lt"/>
                <a:ea typeface="+mn-lt"/>
                <a:cs typeface="+mn-lt"/>
                <a:sym typeface="+mn-lt"/>
              </a:defRPr>
            </a:pPr>
          </a:p>
        </c:txPr>
      </c:legendEntry>
      <c:layout>
        <c:manualLayout>
          <c:xMode val="edge"/>
          <c:yMode val="edge"/>
          <c:x val="0.658"/>
          <c:y val="0.013"/>
          <c:w val="0.27125"/>
          <c:h val="0.14425"/>
        </c:manualLayout>
      </c:layout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800" b="0" i="0" u="none" strike="noStrike" kern="1200" baseline="0">
              <a:solidFill>
                <a:schemeClr val="tx2"/>
              </a:solidFill>
              <a:latin typeface="+mn-lt"/>
              <a:ea typeface="+mn-lt"/>
              <a:cs typeface="+mn-lt"/>
              <a:sym typeface="+mn-lt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aff81ae7-fe0b-41ee-bfb7-81bff5d9e3a9}"/>
      </c:ext>
    </c:extLst>
  </c:chart>
  <c:spPr>
    <a:solidFill>
      <a:sysClr val="window" lastClr="FFFFFF"/>
    </a:solidFill>
    <a:ln w="9525" cap="flat" cmpd="sng" algn="ctr">
      <a:solidFill>
        <a:schemeClr val="bg2"/>
      </a:solidFill>
      <a:prstDash val="solid"/>
      <a:round/>
    </a:ln>
    <a:effectLst>
      <a:outerShdw blurRad="50800" dist="38100" dir="13500000" algn="br" rotWithShape="0">
        <a:prstClr val="black">
          <a:alpha val="40000"/>
        </a:prstClr>
      </a:outerShdw>
    </a:effectLst>
  </c:spPr>
  <c:txPr>
    <a:bodyPr wrap="square"/>
    <a:lstStyle/>
    <a:p>
      <a:pPr>
        <a:defRPr lang="zh-CN" sz="800">
          <a:solidFill>
            <a:schemeClr val="tx2"/>
          </a:solidFill>
          <a:latin typeface="+mn-lt"/>
          <a:ea typeface="+mn-lt"/>
          <a:cs typeface="+mn-lt"/>
          <a:sym typeface="+mn-lt"/>
        </a:defRPr>
      </a:pPr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000" b="1" i="0" u="none" strike="noStrike" kern="1200" baseline="0">
                <a:solidFill>
                  <a:schemeClr val="accent3"/>
                </a:solidFill>
                <a:latin typeface="+mn-ea"/>
                <a:ea typeface="+mn-ea"/>
                <a:cs typeface="+mn-ea"/>
                <a:sym typeface="+mn-ea"/>
              </a:defRPr>
            </a:pPr>
            <a:r>
              <a:rPr lang="zh-CN" altLang="en-US" sz="1000">
                <a:solidFill>
                  <a:schemeClr val="accent3"/>
                </a:solidFill>
                <a:latin typeface="+mn-ea"/>
                <a:ea typeface="+mn-ea"/>
                <a:cs typeface="+mn-ea"/>
                <a:sym typeface="+mn-ea"/>
              </a:rPr>
              <a:t>同比变化</a:t>
            </a:r>
            <a:endParaRPr lang="zh-CN" altLang="en-US" sz="1000" b="1" i="0" u="none" strike="noStrike" baseline="0">
              <a:solidFill>
                <a:schemeClr val="accent3"/>
              </a:solidFill>
              <a:latin typeface="+mn-ea"/>
              <a:ea typeface="+mn-ea"/>
              <a:cs typeface="+mn-ea"/>
              <a:sym typeface="+mn-ea"/>
            </a:endParaRPr>
          </a:p>
        </c:rich>
      </c:tx>
      <c:layout>
        <c:manualLayout>
          <c:xMode val="edge"/>
          <c:yMode val="edge"/>
          <c:x val="0.0102293022377361"/>
          <c:y val="0.00749063670411985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00441631090828794"/>
          <c:y val="0.00705218617771509"/>
          <c:w val="0.84631238039158"/>
          <c:h val="0.98589562764457"/>
        </c:manualLayout>
      </c:layout>
      <c:barChart>
        <c:barDir val="bar"/>
        <c:grouping val="clustered"/>
        <c:varyColors val="0"/>
        <c:ser>
          <c:idx val="2"/>
          <c:order val="0"/>
          <c:tx>
            <c:strRef>
              <c:f>营收!$L$1</c:f>
              <c:strCache>
                <c:ptCount val="1"/>
                <c:pt idx="0">
                  <c:v>同比变化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>
              <a:outerShdw blurRad="76200" dist="25400" dir="2700000" algn="tl" rotWithShape="0">
                <a:schemeClr val="accent3">
                  <a:lumMod val="50000"/>
                  <a:alpha val="30000"/>
                </a:schemeClr>
              </a:outerShdw>
            </a:effectLst>
          </c:spPr>
          <c:invertIfNegative val="1"/>
          <c:dPt>
            <c:idx val="0"/>
            <c:invertIfNegative val="1"/>
            <c:bubble3D val="0"/>
            <c:spPr>
              <a:solidFill>
                <a:srgbClr val="C00000"/>
              </a:solidFill>
              <a:ln>
                <a:noFill/>
              </a:ln>
              <a:effectLst>
                <a:outerShdw blurRad="76200" dist="25400" dir="2700000" algn="tl" rotWithShape="0">
                  <a:schemeClr val="accent3">
                    <a:lumMod val="50000"/>
                    <a:alpha val="30000"/>
                  </a:schemeClr>
                </a:outerShdw>
              </a:effectLst>
            </c:spPr>
          </c:dPt>
          <c:dPt>
            <c:idx val="2"/>
            <c:invertIfNegative val="1"/>
            <c:bubble3D val="0"/>
            <c:spPr>
              <a:solidFill>
                <a:srgbClr val="C00000"/>
              </a:solidFill>
              <a:ln>
                <a:noFill/>
              </a:ln>
              <a:effectLst>
                <a:outerShdw blurRad="76200" dist="25400" dir="2700000" algn="tl" rotWithShape="0">
                  <a:schemeClr val="accent3">
                    <a:lumMod val="50000"/>
                    <a:alpha val="30000"/>
                  </a:schemeClr>
                </a:outerShdw>
              </a:effectLst>
            </c:spPr>
          </c:dPt>
          <c:dPt>
            <c:idx val="3"/>
            <c:invertIfNegative val="1"/>
            <c:bubble3D val="0"/>
            <c:spPr>
              <a:solidFill>
                <a:srgbClr val="C00000"/>
              </a:solidFill>
              <a:ln>
                <a:noFill/>
              </a:ln>
              <a:effectLst>
                <a:outerShdw blurRad="76200" dist="25400" dir="2700000" algn="tl" rotWithShape="0">
                  <a:schemeClr val="accent3">
                    <a:lumMod val="50000"/>
                    <a:alpha val="30000"/>
                  </a:schemeClr>
                </a:outerShdw>
              </a:effectLst>
            </c:spPr>
          </c:dPt>
          <c:dLbls>
            <c:dLbl>
              <c:idx val="1"/>
              <c:layout>
                <c:manualLayout>
                  <c:x val="-0.140476968311009"/>
                  <c:y val="-0.075924565270634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ea"/>
                    <a:ea typeface="+mn-ea"/>
                    <a:cs typeface="+mn-ea"/>
                    <a:sym typeface="+mn-ea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cat>
            <c:strRef>
              <c:f>营收!$B$2:$B$10</c:f>
              <c:strCache>
                <c:ptCount val="9"/>
                <c:pt idx="0">
                  <c:v>北京中言</c:v>
                </c:pt>
                <c:pt idx="1">
                  <c:v>大连凯丹</c:v>
                </c:pt>
                <c:pt idx="2">
                  <c:v>福建钱隆</c:v>
                </c:pt>
                <c:pt idx="3">
                  <c:v>春夏秋冬</c:v>
                </c:pt>
                <c:pt idx="4">
                  <c:v>重庆宜新</c:v>
                </c:pt>
                <c:pt idx="5">
                  <c:v>伯豪瑞廷</c:v>
                </c:pt>
                <c:pt idx="6">
                  <c:v>重庆瑞尔</c:v>
                </c:pt>
                <c:pt idx="7">
                  <c:v>盛唐融信</c:v>
                </c:pt>
                <c:pt idx="8">
                  <c:v>君康经纪</c:v>
                </c:pt>
              </c:strCache>
            </c:strRef>
          </c:cat>
          <c:val>
            <c:numRef>
              <c:f>营收!$L$2:$L$10</c:f>
              <c:numCache>
                <c:formatCode>_ * #,##0.00%_ ;[Red]_ * \-#,##0.00%_ ;_ * "-"??_ ;_ @_ </c:formatCode>
                <c:ptCount val="9"/>
                <c:pt idx="0">
                  <c:v>-0.189532336670856</c:v>
                </c:pt>
                <c:pt idx="1">
                  <c:v>-0.377113288039185</c:v>
                </c:pt>
                <c:pt idx="2">
                  <c:v>-0.315080115433735</c:v>
                </c:pt>
                <c:pt idx="3">
                  <c:v>-0.333676467434429</c:v>
                </c:pt>
                <c:pt idx="4">
                  <c:v>-0.463566151000299</c:v>
                </c:pt>
                <c:pt idx="5">
                  <c:v>-0.370714639295642</c:v>
                </c:pt>
                <c:pt idx="6">
                  <c:v>-0.446887529182191</c:v>
                </c:pt>
                <c:pt idx="7">
                  <c:v>-0.672392679819385</c:v>
                </c:pt>
                <c:pt idx="8">
                  <c:v>-0.603840880745264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666666"/>
                  </a:solidFill>
                </c14:spPr>
              </c14:invertSolidFillFmt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5"/>
        <c:overlap val="-40"/>
        <c:axId val="72795791"/>
        <c:axId val="199245029"/>
      </c:barChart>
      <c:catAx>
        <c:axId val="727957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prstDash val="solid"/>
              <a:round/>
            </a:ln>
            <a:effectLst/>
          </c:spPr>
        </c:majorGridlines>
        <c:numFmt formatCode="General" sourceLinked="0"/>
        <c:majorTickMark val="none"/>
        <c:minorTickMark val="none"/>
        <c:tickLblPos val="high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1000" b="1" i="0" u="none" strike="noStrike" kern="1200" baseline="0">
                <a:solidFill>
                  <a:schemeClr val="tx1"/>
                </a:solidFill>
                <a:latin typeface="+mn-ea"/>
                <a:ea typeface="+mn-ea"/>
                <a:cs typeface="+mn-ea"/>
                <a:sym typeface="+mn-ea"/>
              </a:defRPr>
            </a:pPr>
          </a:p>
        </c:txPr>
        <c:crossAx val="199245029"/>
        <c:crosses val="autoZero"/>
        <c:auto val="1"/>
        <c:lblAlgn val="ctr"/>
        <c:lblOffset val="100"/>
        <c:noMultiLvlLbl val="0"/>
      </c:catAx>
      <c:valAx>
        <c:axId val="199245029"/>
        <c:scaling>
          <c:orientation val="minMax"/>
          <c:max val="2"/>
          <c:min val="-2"/>
        </c:scaling>
        <c:delete val="1"/>
        <c:axPos val="b"/>
        <c:numFmt formatCode="_ * #,##0.00%_ ;[Red]_ * \-#,##0.00%_ ;_ * &quot;-&quot;??_ ;_ @_ 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900" b="1" i="0" u="none" strike="noStrike" kern="1200" baseline="0">
                <a:solidFill>
                  <a:schemeClr val="tx1"/>
                </a:solidFill>
                <a:latin typeface="+mn-ea"/>
                <a:ea typeface="+mn-ea"/>
                <a:cs typeface="+mn-ea"/>
                <a:sym typeface="+mn-ea"/>
              </a:defRPr>
            </a:pPr>
          </a:p>
        </c:txPr>
        <c:crossAx val="72795791"/>
        <c:crosses val="autoZero"/>
        <c:crossBetween val="between"/>
        <c:majorUnit val="3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99c8c11e-e0f4-43ab-ad23-b1daa4607237}"/>
      </c:ext>
    </c:extLst>
  </c:chart>
  <c:spPr>
    <a:solidFill>
      <a:schemeClr val="bg1"/>
    </a:solidFill>
    <a:ln w="9525" cap="flat" cmpd="sng" algn="ctr">
      <a:noFill/>
      <a:prstDash val="solid"/>
      <a:round/>
    </a:ln>
    <a:effectLst/>
  </c:spPr>
  <c:txPr>
    <a:bodyPr wrap="square"/>
    <a:lstStyle/>
    <a:p>
      <a:pPr>
        <a:defRPr lang="zh-CN" sz="900" b="1">
          <a:latin typeface="+mn-ea"/>
          <a:ea typeface="+mn-ea"/>
          <a:cs typeface="+mn-ea"/>
          <a:sym typeface="+mn-ea"/>
        </a:defRPr>
      </a:pPr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000" b="1" i="0" u="none" strike="noStrike" kern="1200" baseline="0">
                <a:solidFill>
                  <a:schemeClr val="accent5"/>
                </a:solidFill>
                <a:latin typeface="+mn-ea"/>
                <a:ea typeface="+mn-ea"/>
                <a:cs typeface="+mn-ea"/>
                <a:sym typeface="+mn-ea"/>
              </a:defRPr>
            </a:pPr>
            <a:r>
              <a:rPr lang="zh-CN" altLang="en-US" sz="1000">
                <a:solidFill>
                  <a:schemeClr val="accent5"/>
                </a:solidFill>
                <a:latin typeface="+mn-ea"/>
                <a:ea typeface="+mn-ea"/>
                <a:cs typeface="+mn-ea"/>
                <a:sym typeface="+mn-ea"/>
              </a:rPr>
              <a:t>环比变化</a:t>
            </a:r>
            <a:endParaRPr lang="zh-CN" altLang="en-US" sz="1000" b="1" i="0" u="none" strike="noStrike" baseline="0">
              <a:solidFill>
                <a:schemeClr val="accent5"/>
              </a:solidFill>
              <a:latin typeface="+mn-ea"/>
              <a:ea typeface="+mn-ea"/>
              <a:cs typeface="+mn-ea"/>
              <a:sym typeface="+mn-ea"/>
            </a:endParaRPr>
          </a:p>
        </c:rich>
      </c:tx>
      <c:layout>
        <c:manualLayout>
          <c:xMode val="edge"/>
          <c:yMode val="edge"/>
          <c:x val="0.835808715521462"/>
          <c:y val="0.00749437921558831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00441631090828794"/>
          <c:y val="0.00705218617771509"/>
          <c:w val="0.84631238039158"/>
          <c:h val="0.98589562764457"/>
        </c:manualLayout>
      </c:layout>
      <c:barChart>
        <c:barDir val="bar"/>
        <c:grouping val="clustered"/>
        <c:varyColors val="0"/>
        <c:ser>
          <c:idx val="2"/>
          <c:order val="0"/>
          <c:tx>
            <c:strRef>
              <c:f>营收!$N$1</c:f>
              <c:strCache>
                <c:ptCount val="1"/>
                <c:pt idx="0">
                  <c:v>环比变化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>
              <a:outerShdw blurRad="76200" dist="25400" dir="2700000" algn="tl" rotWithShape="0">
                <a:schemeClr val="accent3">
                  <a:lumMod val="50000"/>
                  <a:alpha val="30000"/>
                </a:schemeClr>
              </a:outerShdw>
            </a:effectLst>
          </c:spPr>
          <c:invertIfNegative val="1"/>
          <c:dPt>
            <c:idx val="0"/>
            <c:invertIfNegative val="1"/>
            <c:bubble3D val="0"/>
            <c:spPr>
              <a:solidFill>
                <a:srgbClr val="C00000"/>
              </a:solidFill>
              <a:ln>
                <a:noFill/>
              </a:ln>
              <a:effectLst>
                <a:outerShdw blurRad="76200" dist="25400" dir="2700000" algn="tl" rotWithShape="0">
                  <a:schemeClr val="accent3">
                    <a:lumMod val="50000"/>
                    <a:alpha val="30000"/>
                  </a:schemeClr>
                </a:outerShdw>
              </a:effectLst>
            </c:spPr>
          </c:dPt>
          <c:dPt>
            <c:idx val="2"/>
            <c:invertIfNegative val="1"/>
            <c:bubble3D val="0"/>
            <c:spPr>
              <a:solidFill>
                <a:srgbClr val="C00000"/>
              </a:solidFill>
              <a:ln>
                <a:noFill/>
              </a:ln>
              <a:effectLst>
                <a:outerShdw blurRad="76200" dist="25400" dir="2700000" algn="tl" rotWithShape="0">
                  <a:schemeClr val="accent3">
                    <a:lumMod val="50000"/>
                    <a:alpha val="30000"/>
                  </a:schemeClr>
                </a:outerShdw>
              </a:effectLst>
            </c:spPr>
          </c:dPt>
          <c:dPt>
            <c:idx val="3"/>
            <c:invertIfNegative val="1"/>
            <c:bubble3D val="0"/>
            <c:spPr>
              <a:solidFill>
                <a:srgbClr val="C00000"/>
              </a:solidFill>
              <a:ln>
                <a:noFill/>
              </a:ln>
              <a:effectLst>
                <a:outerShdw blurRad="76200" dist="25400" dir="2700000" algn="tl" rotWithShape="0">
                  <a:schemeClr val="accent3">
                    <a:lumMod val="50000"/>
                    <a:alpha val="30000"/>
                  </a:schemeClr>
                </a:outerShdw>
              </a:effectLst>
            </c:spPr>
          </c:dPt>
          <c:dLbls>
            <c:dLbl>
              <c:idx val="1"/>
              <c:layout>
                <c:manualLayout>
                  <c:x val="0.00282317857980219"/>
                  <c:y val="-0.00647665120618268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ea"/>
                    <a:ea typeface="+mn-ea"/>
                    <a:cs typeface="+mn-ea"/>
                    <a:sym typeface="+mn-ea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cat>
            <c:strRef>
              <c:f>营收!$B$2:$B$10</c:f>
              <c:strCache>
                <c:ptCount val="9"/>
                <c:pt idx="0">
                  <c:v>北京中言</c:v>
                </c:pt>
                <c:pt idx="1">
                  <c:v>大连凯丹</c:v>
                </c:pt>
                <c:pt idx="2">
                  <c:v>福建钱隆</c:v>
                </c:pt>
                <c:pt idx="3">
                  <c:v>春夏秋冬</c:v>
                </c:pt>
                <c:pt idx="4">
                  <c:v>重庆宜新</c:v>
                </c:pt>
                <c:pt idx="5">
                  <c:v>伯豪瑞廷</c:v>
                </c:pt>
                <c:pt idx="6">
                  <c:v>重庆瑞尔</c:v>
                </c:pt>
                <c:pt idx="7">
                  <c:v>盛唐融信</c:v>
                </c:pt>
                <c:pt idx="8">
                  <c:v>君康经纪</c:v>
                </c:pt>
              </c:strCache>
            </c:strRef>
          </c:cat>
          <c:val>
            <c:numRef>
              <c:f>营收!$N$2:$N$10</c:f>
              <c:numCache>
                <c:formatCode>_ * #,##0.00%_ ;[Red]_ * \-#,##0.00%_ ;_ * "-"??_ ;_ @_ </c:formatCode>
                <c:ptCount val="9"/>
                <c:pt idx="0">
                  <c:v>-1</c:v>
                </c:pt>
                <c:pt idx="1">
                  <c:v>-1</c:v>
                </c:pt>
                <c:pt idx="2">
                  <c:v>-1</c:v>
                </c:pt>
                <c:pt idx="3">
                  <c:v>-1</c:v>
                </c:pt>
                <c:pt idx="4">
                  <c:v>-1</c:v>
                </c:pt>
                <c:pt idx="5">
                  <c:v>-1</c:v>
                </c:pt>
                <c:pt idx="6">
                  <c:v>-1</c:v>
                </c:pt>
                <c:pt idx="7">
                  <c:v>-1</c:v>
                </c:pt>
                <c:pt idx="8">
                  <c:v>-1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666666"/>
                  </a:solidFill>
                </c14:spPr>
              </c14:invertSolidFillFmt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5"/>
        <c:overlap val="-40"/>
        <c:axId val="683242147"/>
        <c:axId val="550323712"/>
      </c:barChart>
      <c:catAx>
        <c:axId val="6832421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prstDash val="solid"/>
              <a:round/>
            </a:ln>
            <a:effectLst/>
          </c:spPr>
        </c:majorGridlines>
        <c:numFmt formatCode="General" sourceLinked="0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1000" b="1" i="0" u="none" strike="noStrike" kern="1200" baseline="0">
                <a:solidFill>
                  <a:schemeClr val="tx1"/>
                </a:solidFill>
                <a:latin typeface="+mn-ea"/>
                <a:ea typeface="+mn-ea"/>
                <a:cs typeface="+mn-ea"/>
                <a:sym typeface="+mn-ea"/>
              </a:defRPr>
            </a:pPr>
          </a:p>
        </c:txPr>
        <c:crossAx val="550323712"/>
        <c:crosses val="autoZero"/>
        <c:auto val="1"/>
        <c:lblAlgn val="ctr"/>
        <c:lblOffset val="1"/>
        <c:noMultiLvlLbl val="0"/>
      </c:catAx>
      <c:valAx>
        <c:axId val="550323712"/>
        <c:scaling>
          <c:orientation val="minMax"/>
          <c:max val="2"/>
          <c:min val="-2"/>
        </c:scaling>
        <c:delete val="1"/>
        <c:axPos val="b"/>
        <c:numFmt formatCode="_ * #,##0.00%_ ;[Red]_ * \-#,##0.00%_ ;_ * &quot;-&quot;??_ ;_ @_ 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900" b="1" i="0" u="none" strike="noStrike" kern="1200" baseline="0">
                <a:solidFill>
                  <a:schemeClr val="tx1"/>
                </a:solidFill>
                <a:latin typeface="+mn-ea"/>
                <a:ea typeface="+mn-ea"/>
                <a:cs typeface="+mn-ea"/>
                <a:sym typeface="+mn-ea"/>
              </a:defRPr>
            </a:pPr>
          </a:p>
        </c:txPr>
        <c:crossAx val="683242147"/>
        <c:crosses val="autoZero"/>
        <c:crossBetween val="between"/>
        <c:majorUnit val="3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9466879f-a21a-4e07-9e5a-92e980eb4d29}"/>
      </c:ext>
    </c:extLst>
  </c:chart>
  <c:spPr>
    <a:solidFill>
      <a:schemeClr val="bg1"/>
    </a:solidFill>
    <a:ln w="9525" cap="flat" cmpd="sng" algn="ctr">
      <a:noFill/>
      <a:prstDash val="solid"/>
      <a:round/>
    </a:ln>
    <a:effectLst/>
  </c:spPr>
  <c:txPr>
    <a:bodyPr wrap="square"/>
    <a:lstStyle/>
    <a:p>
      <a:pPr>
        <a:defRPr lang="zh-CN" sz="900" b="1">
          <a:latin typeface="+mn-ea"/>
          <a:ea typeface="+mn-ea"/>
          <a:cs typeface="+mn-ea"/>
          <a:sym typeface="+mn-ea"/>
        </a:defRPr>
      </a:pPr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96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lt"/>
                <a:cs typeface="+mn-lt"/>
                <a:sym typeface="+mn-lt"/>
              </a:defRPr>
            </a:pPr>
            <a:r>
              <a:rPr lang="zh-CN" altLang="en-US" sz="960" b="1" i="0" u="none" strike="noStrike" baseline="0">
                <a:solidFill>
                  <a:srgbClr val="808080"/>
                </a:solidFill>
                <a:latin typeface="思源黑体 Medium" panose="020B0600000000000000" charset="-122"/>
                <a:ea typeface="思源黑体 Medium" panose="020B0600000000000000" charset="-122"/>
                <a:cs typeface="思源黑体 Medium" panose="020B0600000000000000" charset="-122"/>
                <a:sym typeface="+mn-lt"/>
              </a:rPr>
              <a:t>整体营收月度情况</a:t>
            </a:r>
            <a:r>
              <a:rPr lang="en-US" altLang="zh-CN" sz="960" b="1" i="0" u="none" strike="noStrike" baseline="0">
                <a:solidFill>
                  <a:srgbClr val="808080"/>
                </a:solidFill>
                <a:latin typeface="思源黑体 Medium" panose="020B0600000000000000" charset="-122"/>
                <a:ea typeface="思源黑体 Medium" panose="020B0600000000000000" charset="-122"/>
                <a:cs typeface="思源黑体 Medium" panose="020B0600000000000000" charset="-122"/>
                <a:sym typeface="+mn-lt"/>
              </a:rPr>
              <a:t>(</a:t>
            </a:r>
            <a:r>
              <a:rPr lang="zh-CN" altLang="en-US" sz="960" b="1" i="0" u="none" strike="noStrike" baseline="0">
                <a:solidFill>
                  <a:srgbClr val="808080"/>
                </a:solidFill>
                <a:latin typeface="思源黑体 Medium" panose="020B0600000000000000" charset="-122"/>
                <a:ea typeface="思源黑体 Medium" panose="020B0600000000000000" charset="-122"/>
                <a:cs typeface="思源黑体 Medium" panose="020B0600000000000000" charset="-122"/>
                <a:sym typeface="+mn-lt"/>
              </a:rPr>
              <a:t>同比</a:t>
            </a:r>
            <a:r>
              <a:rPr lang="en-US" altLang="zh-CN" sz="960" b="1" i="0" u="none" strike="noStrike" baseline="0">
                <a:solidFill>
                  <a:srgbClr val="808080"/>
                </a:solidFill>
                <a:latin typeface="思源黑体 Medium" panose="020B0600000000000000" charset="-122"/>
                <a:ea typeface="思源黑体 Medium" panose="020B0600000000000000" charset="-122"/>
                <a:cs typeface="思源黑体 Medium" panose="020B0600000000000000" charset="-122"/>
                <a:sym typeface="+mn-lt"/>
              </a:rPr>
              <a:t>/</a:t>
            </a:r>
            <a:r>
              <a:rPr lang="zh-CN" altLang="en-US" sz="960" b="1" i="0" u="none" strike="noStrike" baseline="0">
                <a:solidFill>
                  <a:srgbClr val="808080"/>
                </a:solidFill>
                <a:latin typeface="思源黑体 Medium" panose="020B0600000000000000" charset="-122"/>
                <a:ea typeface="思源黑体 Medium" panose="020B0600000000000000" charset="-122"/>
                <a:cs typeface="思源黑体 Medium" panose="020B0600000000000000" charset="-122"/>
                <a:sym typeface="+mn-lt"/>
              </a:rPr>
              <a:t>环比</a:t>
            </a:r>
            <a:r>
              <a:rPr lang="en-US" altLang="zh-CN" sz="960" b="1" i="0" u="none" strike="noStrike" baseline="0">
                <a:solidFill>
                  <a:srgbClr val="808080"/>
                </a:solidFill>
                <a:latin typeface="思源黑体 Medium" panose="020B0600000000000000" charset="-122"/>
                <a:ea typeface="思源黑体 Medium" panose="020B0600000000000000" charset="-122"/>
                <a:cs typeface="思源黑体 Medium" panose="020B0600000000000000" charset="-122"/>
                <a:sym typeface="+mn-lt"/>
              </a:rPr>
              <a:t>)</a:t>
            </a:r>
            <a:endParaRPr lang="en-US" altLang="zh-CN" sz="1100" b="0" i="0" u="none" strike="noStrike" baseline="0">
              <a:solidFill>
                <a:srgbClr val="333333"/>
              </a:solidFill>
              <a:latin typeface="等距更纱黑体 SC" panose="02000509000000000000" pitchFamily="3" charset="-122"/>
              <a:ea typeface="等距更纱黑体 SC" panose="02000509000000000000" pitchFamily="3" charset="-122"/>
              <a:cs typeface="等距更纱黑体 SC" panose="02000509000000000000" pitchFamily="3" charset="-122"/>
              <a:sym typeface="+mn-lt"/>
            </a:endParaRPr>
          </a:p>
        </c:rich>
      </c:tx>
      <c:layout>
        <c:manualLayout>
          <c:xMode val="edge"/>
          <c:yMode val="edge"/>
          <c:x val="0.406517992520611"/>
          <c:y val="0.00742214705004477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0448226270373921"/>
          <c:y val="0.100417993630573"/>
          <c:w val="0.915028763183126"/>
          <c:h val="0.80583200636942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营收!$B$70</c:f>
              <c:strCache>
                <c:ptCount val="1"/>
                <c:pt idx="0">
                  <c:v>2025营收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营收!$C$69:$N$69</c:f>
              <c:strCache>
                <c:ptCount val="12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</c:strCache>
            </c:strRef>
          </c:cat>
          <c:val>
            <c:numRef>
              <c:f>营收!$C$70:$N$70</c:f>
              <c:numCache>
                <c:formatCode>_ * #,##0.00_ ;[Red]_ * \-#,##0.00_ ;_ * "-"??_ ;_ @_ </c:formatCode>
                <c:ptCount val="12"/>
                <c:pt idx="0">
                  <c:v>28181.139354</c:v>
                </c:pt>
                <c:pt idx="1">
                  <c:v>2407.580661</c:v>
                </c:pt>
                <c:pt idx="2">
                  <c:v>2189.194954</c:v>
                </c:pt>
                <c:pt idx="3">
                  <c:v>2310.295994</c:v>
                </c:pt>
                <c:pt idx="4">
                  <c:v>2291.069721</c:v>
                </c:pt>
                <c:pt idx="5">
                  <c:v>2312.961233</c:v>
                </c:pt>
                <c:pt idx="6">
                  <c:v>2286.305422</c:v>
                </c:pt>
                <c:pt idx="7">
                  <c:v>2408.098926</c:v>
                </c:pt>
                <c:pt idx="8">
                  <c:v>2398.078986</c:v>
                </c:pt>
                <c:pt idx="9">
                  <c:v>2344.144829</c:v>
                </c:pt>
                <c:pt idx="10">
                  <c:v>2403.064892</c:v>
                </c:pt>
                <c:pt idx="11">
                  <c:v>2379.512539</c:v>
                </c:pt>
              </c:numCache>
            </c:numRef>
          </c:val>
        </c:ser>
        <c:ser>
          <c:idx val="1"/>
          <c:order val="1"/>
          <c:tx>
            <c:strRef>
              <c:f>营收!$B$71</c:f>
              <c:strCache>
                <c:ptCount val="1"/>
                <c:pt idx="0">
                  <c:v>2026营收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营收!$C$69:$N$69</c:f>
              <c:strCache>
                <c:ptCount val="12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</c:strCache>
            </c:strRef>
          </c:cat>
          <c:val>
            <c:numRef>
              <c:f>营收!$C$71:$N$71</c:f>
              <c:numCache>
                <c:formatCode>_ * #,##0.00_ ;[Red]_ * \-#,##0.00_ ;_ * "-"??_ ;_ @_ </c:formatCode>
                <c:ptCount val="12"/>
                <c:pt idx="0">
                  <c:v>2008.217692</c:v>
                </c:pt>
                <c:pt idx="1">
                  <c:v>1773.748913</c:v>
                </c:pt>
                <c:pt idx="2">
                  <c:v>2511.58364</c:v>
                </c:pt>
                <c:pt idx="3">
                  <c:v>0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5"/>
        <c:axId val="735370705"/>
        <c:axId val="262441804"/>
      </c:barChart>
      <c:lineChart>
        <c:grouping val="standard"/>
        <c:varyColors val="0"/>
        <c:ser>
          <c:idx val="2"/>
          <c:order val="2"/>
          <c:tx>
            <c:strRef>
              <c:f>营收!$B$72</c:f>
              <c:strCache>
                <c:ptCount val="1"/>
                <c:pt idx="0">
                  <c:v>单月同比</c:v>
                </c:pt>
              </c:strCache>
            </c:strRef>
          </c:tx>
          <c:spPr>
            <a:ln w="28575" cap="rnd" cmpd="sng" algn="ctr">
              <a:solidFill>
                <a:schemeClr val="accent3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 cap="flat" cmpd="sng" algn="ctr">
                <a:solidFill>
                  <a:schemeClr val="accent3"/>
                </a:solidFill>
                <a:prstDash val="solid"/>
                <a:round/>
              </a:ln>
              <a:effectLst/>
            </c:spPr>
          </c:marker>
          <c:dLbls>
            <c:spPr>
              <a:solidFill>
                <a:schemeClr val="accent3"/>
              </a:solidFill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800" b="1" i="0" u="none" strike="noStrike" kern="1200" baseline="0">
                    <a:solidFill>
                      <a:schemeClr val="bg1"/>
                    </a:solidFill>
                    <a:latin typeface="+mn-lt"/>
                    <a:ea typeface="+mn-lt"/>
                    <a:cs typeface="+mn-lt"/>
                    <a:sym typeface="+mn-lt"/>
                  </a:defRPr>
                </a:pPr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cat>
            <c:strRef>
              <c:f>营收!$C$69:$N$69</c:f>
              <c:strCache>
                <c:ptCount val="12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</c:strCache>
            </c:strRef>
          </c:cat>
          <c:val>
            <c:numRef>
              <c:f>营收!$C$72:$N$72</c:f>
              <c:numCache>
                <c:formatCode>_ * #,##0.00%_ ;[Red]_ * \-#,##0.00%_ ;_ * "-"??_ ;_ @_ </c:formatCode>
                <c:ptCount val="12"/>
                <c:pt idx="0">
                  <c:v>-0.928738946045666</c:v>
                </c:pt>
                <c:pt idx="1">
                  <c:v>-0.26326501050093</c:v>
                </c:pt>
                <c:pt idx="2">
                  <c:v>0.147263579888555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营收!$B$73</c:f>
              <c:strCache>
                <c:ptCount val="1"/>
                <c:pt idx="0">
                  <c:v>环比</c:v>
                </c:pt>
              </c:strCache>
            </c:strRef>
          </c:tx>
          <c:spPr>
            <a:ln w="28575" cap="rnd" cmpd="sng" algn="ctr">
              <a:solidFill>
                <a:schemeClr val="accent4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 cap="flat" cmpd="sng" algn="ctr">
                <a:solidFill>
                  <a:schemeClr val="accent4"/>
                </a:solidFill>
                <a:prstDash val="solid"/>
                <a:round/>
              </a:ln>
              <a:effectLst/>
            </c:spPr>
          </c:marker>
          <c:dLbls>
            <c:spPr>
              <a:solidFill>
                <a:schemeClr val="accent4"/>
              </a:solidFill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800" b="1" i="0" u="none" strike="noStrike" kern="1200" baseline="0">
                    <a:solidFill>
                      <a:schemeClr val="bg1"/>
                    </a:solidFill>
                    <a:latin typeface="+mn-lt"/>
                    <a:ea typeface="+mn-lt"/>
                    <a:cs typeface="+mn-lt"/>
                    <a:sym typeface="+mn-lt"/>
                  </a:defRPr>
                </a:pPr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cat>
            <c:strRef>
              <c:f>营收!$C$69:$N$69</c:f>
              <c:strCache>
                <c:ptCount val="12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</c:strCache>
            </c:strRef>
          </c:cat>
          <c:val>
            <c:numRef>
              <c:f>营收!$C$73:$N$73</c:f>
              <c:numCache>
                <c:formatCode>_ * #,##0.00%_ ;[Red]_ * \-#,##0.00%_ ;_ * "-"??_ ;_ @_ </c:formatCode>
                <c:ptCount val="12"/>
                <c:pt idx="1">
                  <c:v>-0.116754662571711</c:v>
                </c:pt>
                <c:pt idx="2">
                  <c:v>0.41597473103004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3987020"/>
        <c:axId val="510127857"/>
      </c:lineChart>
      <c:catAx>
        <c:axId val="73537070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prstDash val="solid"/>
              <a:round/>
            </a:ln>
            <a:effectLst/>
          </c:spPr>
        </c:majorGridlines>
        <c:numFmt formatCode="General" sourceLinked="0"/>
        <c:majorTickMark val="none"/>
        <c:minorTickMark val="none"/>
        <c:tickLblPos val="low"/>
        <c:spPr>
          <a:noFill/>
          <a:ln w="9525" cap="flat" cmpd="sng" algn="ctr">
            <a:solidFill>
              <a:schemeClr val="bg2">
                <a:lumMod val="90000"/>
              </a:schemeClr>
            </a:solidFill>
            <a:prstDash val="solid"/>
            <a:round/>
          </a:ln>
          <a:effectLst/>
        </c:spPr>
        <c:txPr>
          <a:bodyPr rot="-60000000" spcFirstLastPara="0" vertOverflow="ellipsis" vert="horz" wrap="square" anchor="ctr" anchorCtr="1" forceAA="0"/>
          <a:lstStyle/>
          <a:p>
            <a:pPr>
              <a:defRPr lang="zh-CN" sz="8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lt"/>
                <a:cs typeface="+mn-lt"/>
                <a:sym typeface="+mn-lt"/>
              </a:defRPr>
            </a:pPr>
          </a:p>
        </c:txPr>
        <c:crossAx val="262441804"/>
        <c:crosses val="autoZero"/>
        <c:auto val="1"/>
        <c:lblAlgn val="ctr"/>
        <c:lblOffset val="100"/>
        <c:noMultiLvlLbl val="0"/>
      </c:catAx>
      <c:valAx>
        <c:axId val="2624418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prstDash val="solid"/>
              <a:round/>
            </a:ln>
            <a:effectLst/>
          </c:spPr>
        </c:majorGridlines>
        <c:numFmt formatCode="#,##0_);[Red]\(#,##0\)" sourceLinked="0"/>
        <c:majorTickMark val="none"/>
        <c:minorTickMark val="none"/>
        <c:tickLblPos val="nextTo"/>
        <c:spPr>
          <a:noFill/>
          <a:ln w="12700" cap="flat" cmpd="sng" algn="ctr">
            <a:noFill/>
            <a:prstDash val="solid"/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lt"/>
                <a:cs typeface="+mn-lt"/>
                <a:sym typeface="+mn-lt"/>
              </a:defRPr>
            </a:pPr>
          </a:p>
        </c:txPr>
        <c:crossAx val="735370705"/>
        <c:crosses val="autoZero"/>
        <c:crossBetween val="between"/>
      </c:valAx>
      <c:catAx>
        <c:axId val="83987020"/>
        <c:scaling>
          <c:orientation val="minMax"/>
        </c:scaling>
        <c:delete val="1"/>
        <c:axPos val="t"/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800" b="0" i="0" u="none" strike="noStrike" kern="1200" baseline="0">
                <a:solidFill>
                  <a:schemeClr val="tx1"/>
                </a:solidFill>
                <a:latin typeface="+mn-lt"/>
                <a:ea typeface="+mn-lt"/>
                <a:cs typeface="+mn-lt"/>
                <a:sym typeface="+mn-lt"/>
              </a:defRPr>
            </a:pPr>
          </a:p>
        </c:txPr>
        <c:crossAx val="510127857"/>
        <c:crosses val="max"/>
        <c:auto val="1"/>
        <c:lblAlgn val="ctr"/>
        <c:lblOffset val="100"/>
        <c:noMultiLvlLbl val="0"/>
      </c:catAx>
      <c:valAx>
        <c:axId val="510127857"/>
        <c:scaling>
          <c:orientation val="minMax"/>
        </c:scaling>
        <c:delete val="0"/>
        <c:axPos val="r"/>
        <c:numFmt formatCode="0%" sourceLinked="0"/>
        <c:majorTickMark val="none"/>
        <c:minorTickMark val="none"/>
        <c:tickLblPos val="nextTo"/>
        <c:spPr>
          <a:noFill/>
          <a:ln w="12700" cap="flat" cmpd="sng" algn="ctr">
            <a:noFill/>
            <a:prstDash val="solid"/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lt"/>
                <a:cs typeface="+mn-lt"/>
                <a:sym typeface="+mn-lt"/>
              </a:defRPr>
            </a:pPr>
          </a:p>
        </c:txPr>
        <c:crossAx val="83987020"/>
        <c:crosses val="max"/>
        <c:crossBetween val="between"/>
      </c:valAx>
      <c:spPr>
        <a:noFill/>
        <a:ln>
          <a:noFill/>
        </a:ln>
        <a:effectLst/>
      </c:spPr>
    </c:plotArea>
    <c:legend>
      <c:legendPos val="r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zh-CN" sz="800" b="0" i="0" u="none" strike="noStrike" kern="1200" baseline="0">
                <a:solidFill>
                  <a:sysClr val="windowText" lastClr="000000"/>
                </a:solidFill>
                <a:latin typeface="+mn-lt"/>
                <a:ea typeface="+mn-lt"/>
                <a:cs typeface="+mn-lt"/>
                <a:sym typeface="+mn-lt"/>
              </a:defRPr>
            </a:pPr>
          </a:p>
        </c:txPr>
      </c:legendEntry>
      <c:legendEntry>
        <c:idx val="1"/>
        <c:txPr>
          <a:bodyPr rot="0" spcFirstLastPara="0" vertOverflow="ellipsis" vert="horz" wrap="square" anchor="ctr" anchorCtr="1"/>
          <a:lstStyle/>
          <a:p>
            <a:pPr>
              <a:defRPr lang="zh-CN" sz="800" b="0" i="0" u="none" strike="noStrike" kern="1200" baseline="0">
                <a:solidFill>
                  <a:sysClr val="windowText" lastClr="000000"/>
                </a:solidFill>
                <a:latin typeface="+mn-lt"/>
                <a:ea typeface="+mn-lt"/>
                <a:cs typeface="+mn-lt"/>
                <a:sym typeface="+mn-lt"/>
              </a:defRPr>
            </a:pPr>
          </a:p>
        </c:txPr>
      </c:legendEntry>
      <c:legendEntry>
        <c:idx val="2"/>
        <c:txPr>
          <a:bodyPr rot="0" spcFirstLastPara="0" vertOverflow="ellipsis" vert="horz" wrap="square" anchor="ctr" anchorCtr="1"/>
          <a:lstStyle/>
          <a:p>
            <a:pPr>
              <a:defRPr lang="zh-CN" sz="800" b="0" i="0" u="none" strike="noStrike" kern="1200" baseline="0">
                <a:solidFill>
                  <a:sysClr val="windowText" lastClr="000000"/>
                </a:solidFill>
                <a:latin typeface="+mn-lt"/>
                <a:ea typeface="+mn-lt"/>
                <a:cs typeface="+mn-lt"/>
                <a:sym typeface="+mn-lt"/>
              </a:defRPr>
            </a:pPr>
          </a:p>
        </c:txPr>
      </c:legendEntry>
      <c:legendEntry>
        <c:idx val="3"/>
        <c:txPr>
          <a:bodyPr rot="0" spcFirstLastPara="0" vertOverflow="ellipsis" vert="horz" wrap="square" anchor="ctr" anchorCtr="1"/>
          <a:lstStyle/>
          <a:p>
            <a:pPr>
              <a:defRPr lang="zh-CN" sz="800" b="0" i="0" u="none" strike="noStrike" kern="1200" baseline="0">
                <a:solidFill>
                  <a:sysClr val="windowText" lastClr="000000"/>
                </a:solidFill>
                <a:latin typeface="+mn-lt"/>
                <a:ea typeface="+mn-lt"/>
                <a:cs typeface="+mn-lt"/>
                <a:sym typeface="+mn-lt"/>
              </a:defRPr>
            </a:pPr>
          </a:p>
        </c:txPr>
      </c:legendEntry>
      <c:layout>
        <c:manualLayout>
          <c:xMode val="edge"/>
          <c:yMode val="edge"/>
          <c:x val="0.59625"/>
          <c:y val="0.00575"/>
          <c:w val="0.401"/>
          <c:h val="0.07825"/>
        </c:manualLayout>
      </c:layout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800" b="0" i="0" u="none" strike="noStrike" kern="1200" baseline="0">
              <a:solidFill>
                <a:sysClr val="windowText" lastClr="000000"/>
              </a:solidFill>
              <a:latin typeface="+mn-lt"/>
              <a:ea typeface="+mn-lt"/>
              <a:cs typeface="+mn-lt"/>
              <a:sym typeface="+mn-lt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8ab19589-3d3a-4fea-9303-cdd99f8762eb}"/>
      </c:ext>
    </c:extLst>
  </c:chart>
  <c:spPr>
    <a:solidFill>
      <a:sysClr val="window" lastClr="FFFFFF"/>
    </a:solidFill>
    <a:ln w="9525" cap="flat" cmpd="sng" algn="ctr">
      <a:noFill/>
      <a:prstDash val="solid"/>
      <a:round/>
    </a:ln>
    <a:effectLst>
      <a:outerShdw blurRad="50800" dist="38100" dir="13500000" algn="br" rotWithShape="0">
        <a:prstClr val="black">
          <a:alpha val="40000"/>
        </a:prstClr>
      </a:outerShdw>
    </a:effectLst>
  </c:spPr>
  <c:txPr>
    <a:bodyPr wrap="square"/>
    <a:lstStyle/>
    <a:p>
      <a:pPr>
        <a:defRPr lang="zh-CN" sz="800">
          <a:latin typeface="+mn-lt"/>
          <a:ea typeface="+mn-lt"/>
          <a:cs typeface="+mn-lt"/>
          <a:sym typeface="+mn-lt"/>
        </a:defRPr>
      </a:pPr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0" vertOverflow="ellipsis" vert="horz" wrap="square" anchor="ctr" anchorCtr="0"/>
          <a:lstStyle/>
          <a:p>
            <a:pPr defTabSz="914400">
              <a:defRPr lang="zh-CN" sz="10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lt"/>
                <a:cs typeface="+mn-lt"/>
                <a:sym typeface="+mn-lt"/>
              </a:defRPr>
            </a:pPr>
            <a:r>
              <a:rPr lang="en-US" altLang="zh-CN" sz="1000" b="1" i="0" u="none" strike="noStrike" baseline="0">
                <a:solidFill>
                  <a:srgbClr val="333333"/>
                </a:solidFill>
                <a:latin typeface="+mn-lt"/>
                <a:ea typeface="+mn-lt"/>
                <a:cs typeface="+mn-lt"/>
                <a:sym typeface="+mn-lt"/>
              </a:rPr>
              <a:t>32.11%</a:t>
            </a:r>
            <a:endParaRPr lang="en-US" altLang="zh-CN" sz="1000" b="0" i="0" u="none" strike="noStrike" baseline="0">
              <a:solidFill>
                <a:srgbClr val="333333"/>
              </a:solidFill>
              <a:latin typeface="+mn-lt"/>
              <a:ea typeface="+mn-lt"/>
              <a:cs typeface="+mn-lt"/>
              <a:sym typeface="+mn-lt"/>
            </a:endParaRPr>
          </a:p>
        </c:rich>
      </c:tx>
      <c:layout>
        <c:manualLayout>
          <c:xMode val="edge"/>
          <c:yMode val="edge"/>
          <c:x val="0.234971331492886"/>
          <c:y val="0.429293814823048"/>
        </c:manualLayout>
      </c:layout>
      <c:overlay val="1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0796884361893349"/>
          <c:y val="0.0719951189749847"/>
          <c:w val="0.847813061713601"/>
          <c:h val="0.86333129957291"/>
        </c:manualLayout>
      </c:layout>
      <c:doughnutChart>
        <c:varyColors val="1"/>
        <c:ser>
          <c:idx val="0"/>
          <c:order val="0"/>
          <c:spPr>
            <a:effectLst>
              <a:outerShdw blurRad="50800" dist="38100" dir="13500000" algn="br" rotWithShape="0">
                <a:prstClr val="black">
                  <a:alpha val="40000"/>
                </a:prstClr>
              </a:outerShdw>
            </a:effectLst>
          </c:spPr>
          <c:explosion val="0"/>
          <c:dPt>
            <c:idx val="0"/>
            <c:bubble3D val="0"/>
            <c:spPr>
              <a:solidFill>
                <a:srgbClr val="D0101B"/>
              </a:solidFill>
              <a:ln>
                <a:solidFill>
                  <a:schemeClr val="bg1"/>
                </a:solidFill>
              </a:ln>
              <a:effectLst>
                <a:outerShdw blurRad="50800" dist="38100" dir="13500000" algn="br" rotWithShape="0">
                  <a:prstClr val="black">
                    <a:alpha val="40000"/>
                  </a:prstClr>
                </a:outerShdw>
              </a:effectLst>
            </c:spPr>
          </c:dPt>
          <c:dPt>
            <c:idx val="1"/>
            <c:bubble3D val="0"/>
            <c:spPr>
              <a:solidFill>
                <a:srgbClr val="666666"/>
              </a:solidFill>
              <a:ln>
                <a:solidFill>
                  <a:schemeClr val="bg1"/>
                </a:solidFill>
              </a:ln>
              <a:effectLst>
                <a:outerShdw blurRad="50800" dist="38100" dir="13500000" algn="br" rotWithShape="0">
                  <a:prstClr val="black">
                    <a:alpha val="40000"/>
                  </a:prstClr>
                </a:outerShdw>
              </a:effectLst>
            </c:spPr>
          </c:dPt>
          <c:dLbls>
            <c:delete val="1"/>
          </c:dLbls>
          <c:cat>
            <c:strRef>
              <c:f>营收!$E$65:$F$65</c:f>
              <c:strCache>
                <c:ptCount val="2"/>
                <c:pt idx="0">
                  <c:v>年度达成率</c:v>
                </c:pt>
                <c:pt idx="1">
                  <c:v>缺口</c:v>
                </c:pt>
              </c:strCache>
            </c:strRef>
          </c:cat>
          <c:val>
            <c:numRef>
              <c:f>营收!$E$66:$F$66</c:f>
              <c:numCache>
                <c:formatCode>_ * #,##0.00%_ ;[Red]_ * \-#,##0.00%_ ;_ * "-"??_ ;_ @_ </c:formatCode>
                <c:ptCount val="2"/>
                <c:pt idx="0">
                  <c:v>0.226297334640052</c:v>
                </c:pt>
                <c:pt idx="1">
                  <c:v>0.773702665359948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60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e0460275-2750-40f3-9104-16a8a69cb87d}"/>
      </c:ext>
    </c:extLst>
  </c:chart>
  <c:spPr>
    <a:noFill/>
    <a:ln w="6350" cap="flat" cmpd="sng" algn="ctr">
      <a:noFill/>
      <a:prstDash val="solid"/>
      <a:round/>
    </a:ln>
  </c:spPr>
  <c:txPr>
    <a:bodyPr wrap="square"/>
    <a:lstStyle/>
    <a:p>
      <a:pPr>
        <a:defRPr lang="zh-CN" sz="600">
          <a:solidFill>
            <a:schemeClr val="tx1">
              <a:lumMod val="75000"/>
              <a:lumOff val="25000"/>
            </a:schemeClr>
          </a:solidFill>
          <a:latin typeface="微软雅黑" panose="020B0503020204020204" charset="-122"/>
          <a:ea typeface="微软雅黑" panose="020B0503020204020204" charset="-122"/>
          <a:cs typeface="微软雅黑" panose="020B0503020204020204" charset="-122"/>
          <a:sym typeface="微软雅黑" panose="020B0503020204020204" charset="-122"/>
        </a:defRPr>
      </a:pPr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0" vertOverflow="ellipsis" vert="horz" wrap="square" anchor="ctr" anchorCtr="0"/>
          <a:lstStyle/>
          <a:p>
            <a:pPr defTabSz="914400">
              <a:defRPr lang="zh-CN" sz="10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lt"/>
                <a:cs typeface="+mn-lt"/>
                <a:sym typeface="+mn-lt"/>
              </a:defRPr>
            </a:pPr>
            <a:r>
              <a:rPr lang="en-US" altLang="zh-CN" sz="1000" b="1" i="0" u="none" strike="noStrike" baseline="0">
                <a:solidFill>
                  <a:srgbClr val="333333"/>
                </a:solidFill>
                <a:latin typeface="+mn-lt"/>
                <a:ea typeface="+mn-lt"/>
                <a:cs typeface="+mn-lt"/>
                <a:sym typeface="+mn-lt"/>
              </a:rPr>
              <a:t>106.77%</a:t>
            </a:r>
            <a:endParaRPr lang="en-US" altLang="zh-CN" sz="1000" b="0" i="0" u="none" strike="noStrike" baseline="0">
              <a:solidFill>
                <a:srgbClr val="333333"/>
              </a:solidFill>
              <a:latin typeface="+mn-lt"/>
              <a:ea typeface="+mn-lt"/>
              <a:cs typeface="+mn-lt"/>
              <a:sym typeface="+mn-lt"/>
            </a:endParaRPr>
          </a:p>
        </c:rich>
      </c:tx>
      <c:layout>
        <c:manualLayout>
          <c:xMode val="edge"/>
          <c:yMode val="edge"/>
          <c:x val="0.284953933380581"/>
          <c:y val="0.426823765509048"/>
        </c:manualLayout>
      </c:layout>
      <c:overlay val="1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0796884361893349"/>
          <c:y val="0.0719951189749847"/>
          <c:w val="0.847813061713601"/>
          <c:h val="0.86333129957291"/>
        </c:manualLayout>
      </c:layout>
      <c:doughnutChart>
        <c:varyColors val="1"/>
        <c:ser>
          <c:idx val="0"/>
          <c:order val="0"/>
          <c:spPr>
            <a:effectLst>
              <a:outerShdw blurRad="50800" dist="38100" dir="13500000" algn="br" rotWithShape="0">
                <a:prstClr val="black">
                  <a:alpha val="40000"/>
                </a:prstClr>
              </a:outerShdw>
            </a:effectLst>
          </c:spPr>
          <c:explosion val="0"/>
          <c:dPt>
            <c:idx val="0"/>
            <c:bubble3D val="0"/>
            <c:spPr>
              <a:solidFill>
                <a:srgbClr val="D0101B"/>
              </a:solidFill>
              <a:ln>
                <a:solidFill>
                  <a:schemeClr val="bg1"/>
                </a:solidFill>
              </a:ln>
              <a:effectLst>
                <a:outerShdw blurRad="50800" dist="38100" dir="13500000" algn="br" rotWithShape="0">
                  <a:prstClr val="black">
                    <a:alpha val="40000"/>
                  </a:prstClr>
                </a:outerShdw>
              </a:effectLst>
            </c:spPr>
          </c:dPt>
          <c:dPt>
            <c:idx val="1"/>
            <c:bubble3D val="0"/>
            <c:spPr>
              <a:solidFill>
                <a:srgbClr val="C2ADC8"/>
              </a:solidFill>
              <a:ln>
                <a:solidFill>
                  <a:schemeClr val="bg1"/>
                </a:solidFill>
              </a:ln>
              <a:effectLst>
                <a:outerShdw blurRad="50800" dist="38100" dir="13500000" algn="br" rotWithShape="0">
                  <a:prstClr val="black">
                    <a:alpha val="40000"/>
                  </a:prstClr>
                </a:outerShdw>
              </a:effectLst>
            </c:spPr>
          </c:dPt>
          <c:dLbls>
            <c:delete val="1"/>
          </c:dLbls>
          <c:cat>
            <c:strRef>
              <c:f>营收!$E$52:$F$52</c:f>
              <c:strCache>
                <c:ptCount val="2"/>
                <c:pt idx="0">
                  <c:v>分解计划达成率</c:v>
                </c:pt>
                <c:pt idx="1">
                  <c:v>缺口</c:v>
                </c:pt>
              </c:strCache>
            </c:strRef>
          </c:cat>
          <c:val>
            <c:numRef>
              <c:f>营收!$E$53:$F$53</c:f>
              <c:numCache>
                <c:formatCode>_ * #,##0.00%_ ;[Red]_ * \-#,##0.00%_ ;_ * "-"??_ ;_ @_ </c:formatCode>
                <c:ptCount val="2"/>
                <c:pt idx="0">
                  <c:v>0.752406767161875</c:v>
                </c:pt>
                <c:pt idx="1">
                  <c:v>0.247593232838125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60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eacc6ac0-4171-4a5c-adbe-dbb4182dec8d}"/>
      </c:ext>
    </c:extLst>
  </c:chart>
  <c:spPr>
    <a:noFill/>
    <a:ln w="6350" cap="flat" cmpd="sng" algn="ctr">
      <a:noFill/>
      <a:prstDash val="solid"/>
      <a:round/>
    </a:ln>
  </c:spPr>
  <c:txPr>
    <a:bodyPr wrap="square"/>
    <a:lstStyle/>
    <a:p>
      <a:pPr>
        <a:defRPr lang="zh-CN" sz="600">
          <a:solidFill>
            <a:schemeClr val="tx1">
              <a:lumMod val="75000"/>
              <a:lumOff val="25000"/>
            </a:schemeClr>
          </a:solidFill>
          <a:latin typeface="微软雅黑" panose="020B0503020204020204" charset="-122"/>
          <a:ea typeface="微软雅黑" panose="020B0503020204020204" charset="-122"/>
          <a:cs typeface="微软雅黑" panose="020B0503020204020204" charset="-122"/>
          <a:sym typeface="微软雅黑" panose="020B0503020204020204" charset="-122"/>
        </a:defRPr>
      </a:pPr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0" vertOverflow="ellipsis" vert="horz" wrap="square" anchor="ctr" anchorCtr="0"/>
          <a:lstStyle/>
          <a:p>
            <a:pPr defTabSz="914400">
              <a:defRPr lang="zh-CN" sz="10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lt"/>
                <a:cs typeface="+mn-lt"/>
                <a:sym typeface="+mn-lt"/>
              </a:defRPr>
            </a:pPr>
            <a:r>
              <a:rPr lang="en-US" altLang="zh-CN" sz="1000" b="1" i="0" u="none" strike="noStrike" baseline="0">
                <a:solidFill>
                  <a:srgbClr val="333333"/>
                </a:solidFill>
                <a:latin typeface="+mn-lt"/>
                <a:ea typeface="+mn-lt"/>
                <a:cs typeface="+mn-lt"/>
                <a:sym typeface="+mn-lt"/>
              </a:rPr>
              <a:t>122.57%</a:t>
            </a:r>
            <a:endParaRPr lang="en-US" altLang="zh-CN" sz="1000" b="0" i="0" u="none" strike="noStrike" baseline="0">
              <a:solidFill>
                <a:srgbClr val="333333"/>
              </a:solidFill>
              <a:latin typeface="+mn-lt"/>
              <a:ea typeface="+mn-lt"/>
              <a:cs typeface="+mn-lt"/>
              <a:sym typeface="+mn-lt"/>
            </a:endParaRPr>
          </a:p>
        </c:rich>
      </c:tx>
      <c:layout>
        <c:manualLayout>
          <c:xMode val="edge"/>
          <c:yMode val="edge"/>
          <c:x val="0.249411764705882"/>
          <c:y val="0.428253132451719"/>
        </c:manualLayout>
      </c:layout>
      <c:overlay val="1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0796884361893349"/>
          <c:y val="0.0719951189749847"/>
          <c:w val="0.847813061713601"/>
          <c:h val="0.86333129957291"/>
        </c:manualLayout>
      </c:layout>
      <c:doughnutChart>
        <c:varyColors val="1"/>
        <c:ser>
          <c:idx val="0"/>
          <c:order val="0"/>
          <c:spPr>
            <a:effectLst>
              <a:outerShdw blurRad="50800" dist="38100" dir="13500000" algn="br" rotWithShape="0">
                <a:prstClr val="black">
                  <a:alpha val="40000"/>
                </a:prstClr>
              </a:outerShdw>
            </a:effectLst>
          </c:spPr>
          <c:explosion val="0"/>
          <c:dPt>
            <c:idx val="0"/>
            <c:bubble3D val="0"/>
            <c:spPr>
              <a:solidFill>
                <a:srgbClr val="C00000"/>
              </a:solidFill>
              <a:ln>
                <a:solidFill>
                  <a:schemeClr val="bg1"/>
                </a:solidFill>
              </a:ln>
              <a:effectLst>
                <a:outerShdw blurRad="50800" dist="38100" dir="13500000" algn="br" rotWithShape="0">
                  <a:prstClr val="black">
                    <a:alpha val="40000"/>
                  </a:prstClr>
                </a:outerShdw>
              </a:effectLst>
            </c:spPr>
          </c:dPt>
          <c:dPt>
            <c:idx val="1"/>
            <c:bubble3D val="0"/>
            <c:spPr>
              <a:solidFill>
                <a:srgbClr val="C2ADC8"/>
              </a:solidFill>
              <a:ln>
                <a:solidFill>
                  <a:schemeClr val="bg1"/>
                </a:solidFill>
              </a:ln>
              <a:effectLst>
                <a:outerShdw blurRad="50800" dist="38100" dir="13500000" algn="br" rotWithShape="0">
                  <a:prstClr val="black">
                    <a:alpha val="40000"/>
                  </a:prstClr>
                </a:outerShdw>
              </a:effectLst>
            </c:spPr>
          </c:dPt>
          <c:dLbls>
            <c:delete val="1"/>
          </c:dLbls>
          <c:cat>
            <c:strRef>
              <c:f>营收!$E$39:$F$39</c:f>
              <c:strCache>
                <c:ptCount val="2"/>
                <c:pt idx="0">
                  <c:v>当月达成率</c:v>
                </c:pt>
                <c:pt idx="1">
                  <c:v>缺口</c:v>
                </c:pt>
              </c:strCache>
            </c:strRef>
          </c:cat>
          <c:val>
            <c:numRef>
              <c:f>营收!$E$40:$F$40</c:f>
              <c:numCache>
                <c:formatCode>_ * #,##0.00%_ ;[Red]_ * \-#,##0.00%_ ;_ * "-"??_ ;_ @_ 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60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d6e40383-4e24-431a-983f-305240e6ae84}"/>
      </c:ext>
    </c:extLst>
  </c:chart>
  <c:spPr>
    <a:noFill/>
    <a:ln w="6350" cap="flat" cmpd="sng" algn="ctr">
      <a:noFill/>
      <a:prstDash val="solid"/>
      <a:round/>
    </a:ln>
  </c:spPr>
  <c:txPr>
    <a:bodyPr wrap="square"/>
    <a:lstStyle/>
    <a:p>
      <a:pPr>
        <a:defRPr lang="zh-CN" sz="600">
          <a:solidFill>
            <a:schemeClr val="tx1">
              <a:lumMod val="75000"/>
              <a:lumOff val="25000"/>
            </a:schemeClr>
          </a:solidFill>
          <a:latin typeface="微软雅黑" panose="020B0503020204020204" charset="-122"/>
          <a:ea typeface="微软雅黑" panose="020B0503020204020204" charset="-122"/>
          <a:cs typeface="微软雅黑" panose="020B0503020204020204" charset="-122"/>
          <a:sym typeface="微软雅黑" panose="020B0503020204020204" charset="-122"/>
        </a:defRPr>
      </a:pPr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40319553805774"/>
          <c:y val="0"/>
          <c:w val="0.859680446194226"/>
          <c:h val="1"/>
        </c:manualLayout>
      </c:layout>
      <c:barChart>
        <c:barDir val="bar"/>
        <c:grouping val="clustered"/>
        <c:varyColors val="0"/>
        <c:ser>
          <c:idx val="1"/>
          <c:order val="0"/>
          <c:tx>
            <c:strRef>
              <c:f>营收!$D$1</c:f>
              <c:strCache>
                <c:ptCount val="1"/>
                <c:pt idx="0">
                  <c:v>累计达成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800" b="0" i="0" u="none" strike="noStrike" kern="1200" baseline="0">
                    <a:solidFill>
                      <a:schemeClr val="tx1"/>
                    </a:solidFill>
                    <a:latin typeface="+mn-lt"/>
                    <a:ea typeface="+mn-lt"/>
                    <a:cs typeface="+mn-lt"/>
                    <a:sym typeface="+mn-lt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cat>
            <c:strRef>
              <c:f>营收!$B$2:$B$10</c:f>
              <c:strCache>
                <c:ptCount val="9"/>
                <c:pt idx="0">
                  <c:v>北京中言</c:v>
                </c:pt>
                <c:pt idx="1">
                  <c:v>大连凯丹</c:v>
                </c:pt>
                <c:pt idx="2">
                  <c:v>福建钱隆</c:v>
                </c:pt>
                <c:pt idx="3">
                  <c:v>春夏秋冬</c:v>
                </c:pt>
                <c:pt idx="4">
                  <c:v>重庆宜新</c:v>
                </c:pt>
                <c:pt idx="5">
                  <c:v>伯豪瑞廷</c:v>
                </c:pt>
                <c:pt idx="6">
                  <c:v>重庆瑞尔</c:v>
                </c:pt>
                <c:pt idx="7">
                  <c:v>盛唐融信</c:v>
                </c:pt>
                <c:pt idx="8">
                  <c:v>君康经纪</c:v>
                </c:pt>
              </c:strCache>
            </c:strRef>
          </c:cat>
          <c:val>
            <c:numRef>
              <c:f>营收!$D$2:$D$10</c:f>
              <c:numCache>
                <c:formatCode>_ * #,##0.00_ ;[Red]_ * \-#,##0.00_ ;_ * "-"??_ ;_ @_ </c:formatCode>
                <c:ptCount val="9"/>
                <c:pt idx="0">
                  <c:v>2295.837013</c:v>
                </c:pt>
                <c:pt idx="1">
                  <c:v>157.69</c:v>
                </c:pt>
                <c:pt idx="2">
                  <c:v>1569.409395</c:v>
                </c:pt>
                <c:pt idx="3">
                  <c:v>310.7</c:v>
                </c:pt>
                <c:pt idx="4">
                  <c:v>130.577645</c:v>
                </c:pt>
                <c:pt idx="5">
                  <c:v>1487.36</c:v>
                </c:pt>
                <c:pt idx="6">
                  <c:v>223.360914</c:v>
                </c:pt>
                <c:pt idx="7">
                  <c:v>83.977952</c:v>
                </c:pt>
                <c:pt idx="8">
                  <c:v>34.637326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389151408"/>
        <c:axId val="534263717"/>
      </c:barChart>
      <c:catAx>
        <c:axId val="389151408"/>
        <c:scaling>
          <c:orientation val="minMax"/>
        </c:scaling>
        <c:delete val="0"/>
        <c:axPos val="l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800" b="1" i="0" u="none" strike="noStrike" kern="1200" baseline="0">
                <a:solidFill>
                  <a:schemeClr val="tx2"/>
                </a:solidFill>
                <a:latin typeface="+mn-lt"/>
                <a:ea typeface="+mn-lt"/>
                <a:cs typeface="+mn-lt"/>
                <a:sym typeface="+mn-lt"/>
              </a:defRPr>
            </a:pPr>
          </a:p>
        </c:txPr>
        <c:crossAx val="534263717"/>
        <c:crosses val="autoZero"/>
        <c:auto val="1"/>
        <c:lblAlgn val="ctr"/>
        <c:lblOffset val="100"/>
        <c:noMultiLvlLbl val="0"/>
      </c:catAx>
      <c:valAx>
        <c:axId val="534263717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  <a:effectLst/>
          </c:spPr>
        </c:majorGridlines>
        <c:numFmt formatCode="_ * #,##0.00_ ;[Red]_ * \-#,##0.00_ ;_ * &quot;-&quot;??_ ;_ @_ 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800" b="0" i="0" u="none" strike="noStrike" kern="1200" baseline="0">
                <a:solidFill>
                  <a:schemeClr val="tx1"/>
                </a:solidFill>
                <a:latin typeface="+mn-lt"/>
                <a:ea typeface="+mn-lt"/>
                <a:cs typeface="+mn-lt"/>
                <a:sym typeface="+mn-lt"/>
              </a:defRPr>
            </a:pPr>
          </a:p>
        </c:txPr>
        <c:crossAx val="3891514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2e137c3e-6aba-4325-963d-99f0c07c7585}"/>
      </c:ext>
    </c:extLst>
  </c:chart>
  <c:spPr>
    <a:noFill/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  <a:effectLst/>
  </c:spPr>
  <c:txPr>
    <a:bodyPr wrap="square"/>
    <a:lstStyle/>
    <a:p>
      <a:pPr>
        <a:defRPr lang="zh-CN" sz="800">
          <a:latin typeface="+mn-lt"/>
          <a:ea typeface="+mn-lt"/>
          <a:cs typeface="+mn-lt"/>
          <a:sym typeface="+mn-lt"/>
        </a:defRPr>
      </a:pPr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"/>
          <c:y val="0"/>
          <c:w val="1"/>
          <c:h val="1"/>
        </c:manualLayout>
      </c:layout>
      <c:barChart>
        <c:barDir val="bar"/>
        <c:grouping val="clustered"/>
        <c:varyColors val="0"/>
        <c:ser>
          <c:idx val="0"/>
          <c:order val="0"/>
          <c:spPr>
            <a:solidFill>
              <a:srgbClr val="C00000"/>
            </a:solidFill>
            <a:ln>
              <a:noFill/>
            </a:ln>
            <a:effectLst/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zh-CN" sz="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lt"/>
                    <a:cs typeface="+mn-lt"/>
                    <a:sym typeface="+mn-lt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cat>
            <c:strRef>
              <c:f>营收!$O$2:$O$10</c:f>
              <c:strCache>
                <c:ptCount val="9"/>
                <c:pt idx="0">
                  <c:v>北京中言</c:v>
                </c:pt>
                <c:pt idx="1">
                  <c:v>大连凯丹</c:v>
                </c:pt>
                <c:pt idx="2">
                  <c:v>福建钱隆</c:v>
                </c:pt>
                <c:pt idx="3">
                  <c:v>春夏秋冬</c:v>
                </c:pt>
                <c:pt idx="4">
                  <c:v>重庆宜新</c:v>
                </c:pt>
                <c:pt idx="5">
                  <c:v>伯豪瑞廷</c:v>
                </c:pt>
                <c:pt idx="6">
                  <c:v>重庆瑞尔</c:v>
                </c:pt>
                <c:pt idx="7">
                  <c:v>盛唐融信</c:v>
                </c:pt>
                <c:pt idx="8">
                  <c:v>君康经纪</c:v>
                </c:pt>
              </c:strCache>
            </c:strRef>
          </c:cat>
          <c:val>
            <c:numRef>
              <c:f>营收!$P$2:$P$10</c:f>
              <c:numCache>
                <c:formatCode>_ * "+"#,##0.00_ ;[Red]_ * \-#,##0.00_ ;_ * "-"??_ ;_ @_ </c:formatCode>
                <c:ptCount val="9"/>
                <c:pt idx="0">
                  <c:v>-536.894158000001</c:v>
                </c:pt>
                <c:pt idx="1">
                  <c:v>-95.47</c:v>
                </c:pt>
                <c:pt idx="2">
                  <c:v>-721.967203</c:v>
                </c:pt>
                <c:pt idx="3">
                  <c:v>-155.59</c:v>
                </c:pt>
                <c:pt idx="4">
                  <c:v>-112.840337</c:v>
                </c:pt>
                <c:pt idx="5">
                  <c:v>-876.21</c:v>
                </c:pt>
                <c:pt idx="6">
                  <c:v>-180.464575</c:v>
                </c:pt>
                <c:pt idx="7">
                  <c:v>-172.359275</c:v>
                </c:pt>
                <c:pt idx="8">
                  <c:v>-52.795537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666666"/>
                  </a:solidFill>
                </c14:spPr>
              </c14:invertSolidFillFmt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31371906"/>
        <c:axId val="27302204"/>
      </c:barChart>
      <c:catAx>
        <c:axId val="131371906"/>
        <c:scaling>
          <c:orientation val="minMax"/>
        </c:scaling>
        <c:delete val="1"/>
        <c:axPos val="l"/>
        <c:numFmt formatCode="General" sourceLinked="0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800" b="0" i="0" u="none" strike="noStrike" kern="1200" baseline="0">
                <a:solidFill>
                  <a:schemeClr val="tx1"/>
                </a:solidFill>
                <a:latin typeface="+mn-lt"/>
                <a:ea typeface="+mn-lt"/>
                <a:cs typeface="+mn-lt"/>
                <a:sym typeface="+mn-lt"/>
              </a:defRPr>
            </a:pPr>
          </a:p>
        </c:txPr>
        <c:crossAx val="27302204"/>
        <c:crosses val="autoZero"/>
        <c:auto val="1"/>
        <c:lblAlgn val="ctr"/>
        <c:lblOffset val="100"/>
        <c:noMultiLvlLbl val="0"/>
      </c:catAx>
      <c:valAx>
        <c:axId val="27302204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  <a:effectLst/>
          </c:spPr>
        </c:majorGridlines>
        <c:numFmt formatCode="_ * &quot;+&quot;#,##0.00_ ;[Red]_ * \-#,##0.00_ ;_ * &quot;-&quot;??_ ;_ @_ 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800" b="0" i="0" u="none" strike="noStrike" kern="1200" baseline="0">
                <a:solidFill>
                  <a:schemeClr val="tx1"/>
                </a:solidFill>
                <a:latin typeface="+mn-lt"/>
                <a:ea typeface="+mn-lt"/>
                <a:cs typeface="+mn-lt"/>
                <a:sym typeface="+mn-lt"/>
              </a:defRPr>
            </a:pPr>
          </a:p>
        </c:txPr>
        <c:crossAx val="13137190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8c785b60-8f8c-494b-9f38-0aa557e03195}"/>
      </c:ext>
    </c:extLst>
  </c:chart>
  <c:spPr>
    <a:noFill/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  <a:effectLst/>
  </c:spPr>
  <c:txPr>
    <a:bodyPr wrap="square"/>
    <a:lstStyle/>
    <a:p>
      <a:pPr>
        <a:defRPr lang="zh-CN" sz="800">
          <a:latin typeface="+mn-lt"/>
          <a:ea typeface="+mn-lt"/>
          <a:cs typeface="+mn-lt"/>
          <a:sym typeface="+mn-lt"/>
        </a:defRPr>
      </a:pPr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"/>
          <c:y val="0"/>
          <c:w val="1"/>
          <c:h val="1"/>
        </c:manualLayout>
      </c:layout>
      <c:barChart>
        <c:barDir val="bar"/>
        <c:grouping val="clustered"/>
        <c:varyColors val="0"/>
        <c:ser>
          <c:idx val="1"/>
          <c:order val="0"/>
          <c:spPr>
            <a:solidFill>
              <a:srgbClr val="C00000"/>
            </a:solidFill>
            <a:ln>
              <a:noFill/>
            </a:ln>
            <a:effectLst/>
          </c:spPr>
          <c:invertIfNegative val="1"/>
          <c:dLbls>
            <c:dLbl>
              <c:idx val="2"/>
              <c:layout>
                <c:manualLayout>
                  <c:x val="-0.0108010801080108"/>
                  <c:y val="0.0776119402985075"/>
                </c:manualLayout>
              </c:layout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/>
                <a:lstStyle/>
                <a:p>
                  <a:pPr>
                    <a:defRPr lang="zh-CN" sz="8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lt"/>
                      <a:cs typeface="+mn-lt"/>
                      <a:sym typeface="+mn-lt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zh-CN" sz="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lt"/>
                    <a:cs typeface="+mn-lt"/>
                    <a:sym typeface="+mn-lt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cat>
            <c:strRef>
              <c:f>营收!$O$2:$O$10</c:f>
              <c:strCache>
                <c:ptCount val="9"/>
                <c:pt idx="0">
                  <c:v>北京中言</c:v>
                </c:pt>
                <c:pt idx="1">
                  <c:v>大连凯丹</c:v>
                </c:pt>
                <c:pt idx="2">
                  <c:v>福建钱隆</c:v>
                </c:pt>
                <c:pt idx="3">
                  <c:v>春夏秋冬</c:v>
                </c:pt>
                <c:pt idx="4">
                  <c:v>重庆宜新</c:v>
                </c:pt>
                <c:pt idx="5">
                  <c:v>伯豪瑞廷</c:v>
                </c:pt>
                <c:pt idx="6">
                  <c:v>重庆瑞尔</c:v>
                </c:pt>
                <c:pt idx="7">
                  <c:v>盛唐融信</c:v>
                </c:pt>
                <c:pt idx="8">
                  <c:v>君康经纪</c:v>
                </c:pt>
              </c:strCache>
            </c:strRef>
          </c:cat>
          <c:val>
            <c:numRef>
              <c:f>营收!$Q$2:$Q$10</c:f>
              <c:numCache>
                <c:formatCode>_ * "+"#,##0.00%_ ;[Red]_ * \-#,##0.00%_ ;_ * "-"??_ ;_ @_ </c:formatCode>
                <c:ptCount val="9"/>
                <c:pt idx="0">
                  <c:v>-0.189532336670856</c:v>
                </c:pt>
                <c:pt idx="1">
                  <c:v>-0.377113288039185</c:v>
                </c:pt>
                <c:pt idx="2">
                  <c:v>-0.315080115433735</c:v>
                </c:pt>
                <c:pt idx="3">
                  <c:v>-0.333676467434429</c:v>
                </c:pt>
                <c:pt idx="4">
                  <c:v>-0.463566151000299</c:v>
                </c:pt>
                <c:pt idx="5">
                  <c:v>-0.370714639295642</c:v>
                </c:pt>
                <c:pt idx="6">
                  <c:v>-0.446887529182191</c:v>
                </c:pt>
                <c:pt idx="7">
                  <c:v>-0.672392679819385</c:v>
                </c:pt>
                <c:pt idx="8">
                  <c:v>-0.603840880745264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666666"/>
                  </a:solidFill>
                </c14:spPr>
              </c14:invertSolidFillFmt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52526190"/>
        <c:axId val="944730239"/>
      </c:barChart>
      <c:catAx>
        <c:axId val="152526190"/>
        <c:scaling>
          <c:orientation val="minMax"/>
        </c:scaling>
        <c:delete val="1"/>
        <c:axPos val="l"/>
        <c:numFmt formatCode="General" sourceLinked="0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800" b="0" i="0" u="none" strike="noStrike" kern="1200" baseline="0">
                <a:solidFill>
                  <a:schemeClr val="tx1"/>
                </a:solidFill>
                <a:latin typeface="+mn-lt"/>
                <a:ea typeface="+mn-lt"/>
                <a:cs typeface="+mn-lt"/>
                <a:sym typeface="+mn-lt"/>
              </a:defRPr>
            </a:pPr>
          </a:p>
        </c:txPr>
        <c:crossAx val="944730239"/>
        <c:crosses val="autoZero"/>
        <c:auto val="1"/>
        <c:lblAlgn val="ctr"/>
        <c:lblOffset val="100"/>
        <c:noMultiLvlLbl val="0"/>
      </c:catAx>
      <c:valAx>
        <c:axId val="944730239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  <a:effectLst/>
          </c:spPr>
        </c:majorGridlines>
        <c:numFmt formatCode="_ * &quot;+&quot;#,##0.00%_ ;[Red]_ * \-#,##0.00%_ ;_ * &quot;-&quot;??_ ;_ @_ 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800" b="0" i="0" u="none" strike="noStrike" kern="1200" baseline="0">
                <a:solidFill>
                  <a:schemeClr val="tx1"/>
                </a:solidFill>
                <a:latin typeface="+mn-lt"/>
                <a:ea typeface="+mn-lt"/>
                <a:cs typeface="+mn-lt"/>
                <a:sym typeface="+mn-lt"/>
              </a:defRPr>
            </a:pPr>
          </a:p>
        </c:txPr>
        <c:crossAx val="15252619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c575e02c-bb11-4e51-be7b-f701e19228c1}"/>
      </c:ext>
    </c:extLst>
  </c:chart>
  <c:spPr>
    <a:noFill/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  <a:effectLst/>
  </c:spPr>
  <c:txPr>
    <a:bodyPr wrap="square"/>
    <a:lstStyle/>
    <a:p>
      <a:pPr>
        <a:defRPr lang="zh-CN" sz="800">
          <a:latin typeface="+mn-lt"/>
          <a:ea typeface="+mn-lt"/>
          <a:cs typeface="+mn-lt"/>
          <a:sym typeface="+mn-lt"/>
        </a:defRPr>
      </a:pPr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0627764510435053"/>
          <c:y val="0.0505638413968716"/>
          <c:w val="0.934108607621223"/>
          <c:h val="0.90541731084030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营收!$B$95</c:f>
              <c:strCache>
                <c:ptCount val="1"/>
                <c:pt idx="0">
                  <c:v>上年同期</c:v>
                </c:pt>
              </c:strCache>
            </c:strRef>
          </c:tx>
          <c:spPr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营收!$A$96:$A$107</c:f>
              <c:strCache>
                <c:ptCount val="12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</c:strCache>
            </c:strRef>
          </c:cat>
          <c:val>
            <c:numRef>
              <c:f>营收!$B$96:$B$107</c:f>
              <c:numCache>
                <c:formatCode>_ * #,##0.00_ ;_ * \-#,##0.00_ ;_ * "-"??_ ;_ @_ </c:formatCode>
                <c:ptCount val="12"/>
                <c:pt idx="0">
                  <c:v>2407.580661</c:v>
                </c:pt>
                <c:pt idx="1">
                  <c:v>2189.194954</c:v>
                </c:pt>
                <c:pt idx="2">
                  <c:v>2310.295994</c:v>
                </c:pt>
                <c:pt idx="3">
                  <c:v>2291.069721</c:v>
                </c:pt>
                <c:pt idx="4">
                  <c:v>2312.961233</c:v>
                </c:pt>
                <c:pt idx="5">
                  <c:v>2286.305422</c:v>
                </c:pt>
                <c:pt idx="6">
                  <c:v>2408.098926</c:v>
                </c:pt>
                <c:pt idx="7">
                  <c:v>2398.078986</c:v>
                </c:pt>
                <c:pt idx="8">
                  <c:v>2344.144829</c:v>
                </c:pt>
                <c:pt idx="9">
                  <c:v>2403.064892</c:v>
                </c:pt>
                <c:pt idx="10">
                  <c:v>2379.512539</c:v>
                </c:pt>
                <c:pt idx="11">
                  <c:v>2450.831197</c:v>
                </c:pt>
              </c:numCache>
            </c:numRef>
          </c:val>
        </c:ser>
        <c:ser>
          <c:idx val="1"/>
          <c:order val="1"/>
          <c:tx>
            <c:strRef>
              <c:f>营收!$C$95</c:f>
              <c:strCache>
                <c:ptCount val="1"/>
                <c:pt idx="0">
                  <c:v>2026年</c:v>
                </c:pt>
              </c:strCache>
            </c:strRef>
          </c:tx>
          <c:spPr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营收!$A$96:$A$107</c:f>
              <c:strCache>
                <c:ptCount val="12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</c:strCache>
            </c:strRef>
          </c:cat>
          <c:val>
            <c:numRef>
              <c:f>营收!$C$96:$C$107</c:f>
              <c:numCache>
                <c:formatCode>_ * #,##0.00_ ;_ * \-#,##0.00_ ;_ * "-"??_ ;_ @_ </c:formatCode>
                <c:ptCount val="12"/>
                <c:pt idx="0">
                  <c:v>2008.217692</c:v>
                </c:pt>
                <c:pt idx="1">
                  <c:v>1773.748913</c:v>
                </c:pt>
                <c:pt idx="2">
                  <c:v>2511.58364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overlap val="-10"/>
        <c:axId val="177905610"/>
        <c:axId val="561855188"/>
      </c:barChart>
      <c:lineChart>
        <c:grouping val="standard"/>
        <c:varyColors val="0"/>
        <c:ser>
          <c:idx val="2"/>
          <c:order val="2"/>
          <c:tx>
            <c:strRef>
              <c:f>营收!$D$95</c:f>
              <c:strCache>
                <c:ptCount val="1"/>
                <c:pt idx="0">
                  <c:v>占比</c:v>
                </c:pt>
              </c:strCache>
            </c:strRef>
          </c:tx>
          <c:spPr>
            <a:ln w="38100" cap="rnd" cmpd="sng" algn="ctr">
              <a:noFill/>
              <a:prstDash val="solid"/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800" b="0" i="0" u="none" strike="noStrike" kern="1200" baseline="0">
                    <a:solidFill>
                      <a:schemeClr val="tx2"/>
                    </a:solidFill>
                    <a:latin typeface="+mn-lt"/>
                    <a:ea typeface="+mn-lt"/>
                    <a:cs typeface="+mn-lt"/>
                    <a:sym typeface="+mn-lt"/>
                  </a:defRPr>
                </a:pPr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cat>
            <c:strRef>
              <c:f>营收!$A$96:$A$107</c:f>
              <c:strCache>
                <c:ptCount val="12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</c:strCache>
            </c:strRef>
          </c:cat>
          <c:val>
            <c:numRef>
              <c:f>营收!$D$96:$D$107</c:f>
              <c:numCache>
                <c:formatCode>0.0%</c:formatCode>
                <c:ptCount val="12"/>
                <c:pt idx="0">
                  <c:v>0.319091389410207</c:v>
                </c:pt>
                <c:pt idx="1">
                  <c:v>0.28183598191008</c:v>
                </c:pt>
                <c:pt idx="2">
                  <c:v>0.399072628679713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607755097"/>
        <c:axId val="665362348"/>
      </c:lineChart>
      <c:catAx>
        <c:axId val="17790561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lt"/>
                <a:cs typeface="+mn-lt"/>
                <a:sym typeface="+mn-lt"/>
              </a:defRPr>
            </a:pPr>
          </a:p>
        </c:txPr>
        <c:crossAx val="561855188"/>
        <c:crosses val="autoZero"/>
        <c:auto val="1"/>
        <c:lblAlgn val="ctr"/>
        <c:lblOffset val="100"/>
        <c:noMultiLvlLbl val="0"/>
      </c:catAx>
      <c:valAx>
        <c:axId val="561855188"/>
        <c:scaling>
          <c:orientation val="minMax"/>
          <c:max val="3500"/>
        </c:scaling>
        <c:delete val="0"/>
        <c:axPos val="l"/>
        <c:numFmt formatCode="_(* #,##0_);_(* \(#,##0\);_(* &quot;-&quot;_);_(@_)" sourceLinked="0"/>
        <c:majorTickMark val="none"/>
        <c:minorTickMark val="none"/>
        <c:tickLblPos val="nextTo"/>
        <c:spPr>
          <a:noFill/>
          <a:ln w="6350" cap="flat" cmpd="sng" algn="ctr">
            <a:noFill/>
            <a:prstDash val="solid"/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lt"/>
                <a:cs typeface="+mn-lt"/>
                <a:sym typeface="+mn-lt"/>
              </a:defRPr>
            </a:pPr>
          </a:p>
        </c:txPr>
        <c:crossAx val="177905610"/>
        <c:crosses val="autoZero"/>
        <c:crossBetween val="between"/>
      </c:valAx>
      <c:catAx>
        <c:axId val="607755097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800" b="0" i="0" u="none" strike="noStrike" kern="1200" baseline="0">
                <a:solidFill>
                  <a:schemeClr val="tx1"/>
                </a:solidFill>
                <a:latin typeface="+mn-lt"/>
                <a:ea typeface="+mn-lt"/>
                <a:cs typeface="+mn-lt"/>
                <a:sym typeface="+mn-lt"/>
              </a:defRPr>
            </a:pPr>
          </a:p>
        </c:txPr>
        <c:crossAx val="665362348"/>
        <c:crosses val="autoZero"/>
        <c:auto val="1"/>
        <c:lblAlgn val="ctr"/>
        <c:lblOffset val="100"/>
        <c:noMultiLvlLbl val="0"/>
      </c:catAx>
      <c:valAx>
        <c:axId val="665362348"/>
        <c:scaling>
          <c:orientation val="minMax"/>
          <c:max val="1"/>
          <c:min val="-11"/>
        </c:scaling>
        <c:delete val="0"/>
        <c:axPos val="r"/>
        <c:numFmt formatCode="0%" sourceLinked="0"/>
        <c:majorTickMark val="out"/>
        <c:minorTickMark val="none"/>
        <c:tickLblPos val="nextTo"/>
        <c:spPr>
          <a:noFill/>
          <a:ln w="6350" cap="flat" cmpd="sng" algn="ctr">
            <a:noFill/>
            <a:prstDash val="solid"/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800" b="0" i="0" u="none" strike="noStrike" kern="1200" baseline="0">
                <a:solidFill>
                  <a:schemeClr val="tx2">
                    <a:alpha val="100000"/>
                  </a:schemeClr>
                </a:solidFill>
                <a:latin typeface="+mn-lt"/>
                <a:ea typeface="+mn-lt"/>
                <a:cs typeface="+mn-lt"/>
                <a:sym typeface="+mn-lt"/>
              </a:defRPr>
            </a:pPr>
          </a:p>
        </c:txPr>
        <c:crossAx val="607755097"/>
        <c:crosses val="max"/>
        <c:crossBetween val="between"/>
      </c:valAx>
      <c:spPr>
        <a:noFill/>
        <a:ln>
          <a:noFill/>
        </a:ln>
        <a:effectLst/>
      </c:spPr>
    </c:plotArea>
    <c:legend>
      <c:legendPos val="r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zh-CN" sz="800" b="0" i="0" u="none" strike="noStrike" kern="1200" baseline="0">
                <a:solidFill>
                  <a:schemeClr val="tx1"/>
                </a:solidFill>
                <a:latin typeface="+mn-lt"/>
                <a:ea typeface="+mn-lt"/>
                <a:cs typeface="+mn-lt"/>
                <a:sym typeface="+mn-lt"/>
              </a:defRPr>
            </a:pPr>
          </a:p>
        </c:txPr>
      </c:legendEntry>
      <c:legendEntry>
        <c:idx val="1"/>
        <c:txPr>
          <a:bodyPr rot="0" spcFirstLastPara="0" vertOverflow="ellipsis" vert="horz" wrap="square" anchor="ctr" anchorCtr="1"/>
          <a:lstStyle/>
          <a:p>
            <a:pPr>
              <a:defRPr lang="zh-CN" sz="800" b="0" i="0" u="none" strike="noStrike" kern="1200" baseline="0">
                <a:solidFill>
                  <a:schemeClr val="tx1"/>
                </a:solidFill>
                <a:latin typeface="+mn-lt"/>
                <a:ea typeface="+mn-lt"/>
                <a:cs typeface="+mn-lt"/>
                <a:sym typeface="+mn-lt"/>
              </a:defRPr>
            </a:pPr>
          </a:p>
        </c:txPr>
      </c:legendEntry>
      <c:legendEntry>
        <c:idx val="2"/>
        <c:txPr>
          <a:bodyPr rot="0" spcFirstLastPara="0" vertOverflow="ellipsis" vert="horz" wrap="square" anchor="ctr" anchorCtr="1"/>
          <a:lstStyle/>
          <a:p>
            <a:pPr>
              <a:defRPr lang="zh-CN" sz="800" b="0" i="0" u="none" strike="noStrike" kern="1200" baseline="0">
                <a:solidFill>
                  <a:schemeClr val="tx1"/>
                </a:solidFill>
                <a:latin typeface="+mn-lt"/>
                <a:ea typeface="+mn-lt"/>
                <a:cs typeface="+mn-lt"/>
                <a:sym typeface="+mn-lt"/>
              </a:defRPr>
            </a:pPr>
          </a:p>
        </c:txPr>
      </c:legendEntry>
      <c:layout>
        <c:manualLayout>
          <c:xMode val="edge"/>
          <c:yMode val="edge"/>
          <c:x val="0.51875"/>
          <c:y val="0.01225"/>
          <c:w val="0.409"/>
          <c:h val="0.157"/>
        </c:manualLayout>
      </c:layout>
      <c:overlay val="0"/>
      <c:txPr>
        <a:bodyPr rot="0" spcFirstLastPara="0" vertOverflow="ellipsis" vert="horz" wrap="square" anchor="ctr" anchorCtr="1"/>
        <a:lstStyle/>
        <a:p>
          <a:pPr>
            <a:defRPr lang="zh-CN" sz="800" b="0" i="0" u="none" strike="noStrike" kern="1200" baseline="0">
              <a:solidFill>
                <a:schemeClr val="tx1"/>
              </a:solidFill>
              <a:latin typeface="+mn-lt"/>
              <a:ea typeface="+mn-lt"/>
              <a:cs typeface="+mn-lt"/>
              <a:sym typeface="+mn-lt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91c427f7-6f17-4519-bed9-7abde9332f3b}"/>
      </c:ext>
    </c:extLst>
  </c:chart>
  <c:spPr>
    <a:solidFill>
      <a:schemeClr val="bg1"/>
    </a:solidFill>
    <a:ln w="9525" cap="flat" cmpd="sng" algn="ctr">
      <a:noFill/>
      <a:prstDash val="solid"/>
      <a:round/>
    </a:ln>
    <a:effectLst/>
  </c:spPr>
  <c:txPr>
    <a:bodyPr wrap="square"/>
    <a:lstStyle/>
    <a:p>
      <a:pPr>
        <a:defRPr lang="zh-CN" sz="800">
          <a:latin typeface="+mn-lt"/>
          <a:ea typeface="+mn-lt"/>
          <a:cs typeface="+mn-lt"/>
          <a:sym typeface="+mn-lt"/>
        </a:defRPr>
      </a:pPr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96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lt"/>
                <a:cs typeface="+mn-lt"/>
                <a:sym typeface="+mn-lt"/>
              </a:defRPr>
            </a:pPr>
            <a:r>
              <a:rPr altLang="en-US" sz="960">
                <a:latin typeface="+mn-lt"/>
                <a:ea typeface="+mn-lt"/>
                <a:cs typeface="+mn-lt"/>
                <a:sym typeface="+mn-lt"/>
              </a:rPr>
              <a:t>同比</a:t>
            </a:r>
            <a:endParaRPr lang="en-US" altLang="zh-CN" sz="960" b="1" i="0" u="none" strike="noStrike" baseline="0">
              <a:solidFill>
                <a:srgbClr val="666666">
                  <a:alpha val="100000"/>
                </a:srgbClr>
              </a:solidFill>
              <a:latin typeface="+mn-lt"/>
              <a:ea typeface="+mn-lt"/>
              <a:cs typeface="+mn-lt"/>
              <a:sym typeface="+mn-lt"/>
            </a:endParaRPr>
          </a:p>
        </c:rich>
      </c:tx>
      <c:layout>
        <c:manualLayout>
          <c:xMode val="edge"/>
          <c:yMode val="edge"/>
          <c:x val="0.0169371574840022"/>
          <c:y val="0.379621663990212"/>
        </c:manualLayout>
      </c:layout>
      <c:overlay val="0"/>
      <c:spPr>
        <a:solidFill>
          <a:schemeClr val="bg1"/>
        </a:solidFill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0802073613271125"/>
          <c:y val="0.0350694444444444"/>
          <c:w val="0.9166822187662"/>
          <c:h val="0.957638888888889"/>
        </c:manualLayout>
      </c:layout>
      <c:barChart>
        <c:barDir val="col"/>
        <c:grouping val="clustered"/>
        <c:varyColors val="0"/>
        <c:ser>
          <c:idx val="3"/>
          <c:order val="0"/>
          <c:tx>
            <c:strRef>
              <c:f>营收!$E$95</c:f>
              <c:strCache>
                <c:ptCount val="1"/>
                <c:pt idx="0">
                  <c:v>同比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lt"/>
                    <a:cs typeface="+mn-lt"/>
                    <a:sym typeface="+mn-lt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cat>
            <c:strRef>
              <c:f>营收!$A$96:$A$107</c:f>
              <c:strCache>
                <c:ptCount val="12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</c:strCache>
            </c:strRef>
          </c:cat>
          <c:val>
            <c:numRef>
              <c:f>营收!$E$96:$E$107</c:f>
              <c:numCache>
                <c:formatCode>0.0%</c:formatCode>
                <c:ptCount val="12"/>
                <c:pt idx="0">
                  <c:v>-0.165877295606006</c:v>
                </c:pt>
                <c:pt idx="1">
                  <c:v>-0.189771148632019</c:v>
                </c:pt>
                <c:pt idx="2">
                  <c:v>0.087126345075591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DF1111"/>
                  </a:solidFill>
                </c14:spPr>
              </c14:invertSolidFillFmt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03457393"/>
        <c:axId val="868207386"/>
      </c:barChart>
      <c:lineChart>
        <c:grouping val="standard"/>
        <c:varyColors val="0"/>
        <c:ser>
          <c:idx val="6"/>
          <c:order val="1"/>
          <c:tx>
            <c:strRef>
              <c:f>营收!$G$95</c:f>
              <c:strCache>
                <c:ptCount val="1"/>
                <c:pt idx="0">
                  <c:v>同比水平轴线</c:v>
                </c:pt>
              </c:strCache>
            </c:strRef>
          </c:tx>
          <c:spPr>
            <a:ln w="19050" cap="rnd" cmpd="sng" algn="ctr">
              <a:solidFill>
                <a:schemeClr val="tx1"/>
              </a:solidFill>
              <a:prstDash val="sysDash"/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营收!$A$96:$A$107</c:f>
              <c:strCache>
                <c:ptCount val="12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</c:strCache>
            </c:strRef>
          </c:cat>
          <c:val>
            <c:numRef>
              <c:f>营收!$G$96:$G$107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661503029"/>
        <c:axId val="63634784"/>
      </c:lineChart>
      <c:catAx>
        <c:axId val="903457393"/>
        <c:scaling>
          <c:orientation val="minMax"/>
        </c:scaling>
        <c:delete val="1"/>
        <c:axPos val="b"/>
        <c:numFmt formatCode="General" sourceLinked="0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800" b="0" i="0" u="none" strike="noStrike" kern="1200" baseline="0">
                <a:solidFill>
                  <a:schemeClr val="tx1"/>
                </a:solidFill>
                <a:latin typeface="+mn-lt"/>
                <a:ea typeface="+mn-lt"/>
                <a:cs typeface="+mn-lt"/>
                <a:sym typeface="+mn-lt"/>
              </a:defRPr>
            </a:pPr>
          </a:p>
        </c:txPr>
        <c:crossAx val="868207386"/>
        <c:crosses val="autoZero"/>
        <c:auto val="1"/>
        <c:lblAlgn val="ctr"/>
        <c:lblOffset val="100"/>
        <c:noMultiLvlLbl val="0"/>
      </c:catAx>
      <c:valAx>
        <c:axId val="868207386"/>
        <c:scaling>
          <c:orientation val="minMax"/>
        </c:scaling>
        <c:delete val="0"/>
        <c:axPos val="l"/>
        <c:numFmt formatCode="0.0%" sourceLinked="1"/>
        <c:majorTickMark val="in"/>
        <c:minorTickMark val="none"/>
        <c:tickLblPos val="nextTo"/>
        <c:spPr>
          <a:noFill/>
          <a:ln w="6350" cap="flat" cmpd="sng" algn="ctr">
            <a:noFill/>
            <a:prstDash val="solid"/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lt"/>
                <a:cs typeface="+mn-lt"/>
                <a:sym typeface="+mn-lt"/>
              </a:defRPr>
            </a:pPr>
          </a:p>
        </c:txPr>
        <c:crossAx val="903457393"/>
        <c:crosses val="autoZero"/>
        <c:crossBetween val="between"/>
      </c:valAx>
      <c:catAx>
        <c:axId val="661503029"/>
        <c:scaling>
          <c:orientation val="minMax"/>
        </c:scaling>
        <c:delete val="1"/>
        <c:axPos val="b"/>
        <c:numFmt formatCode="General" sourceLinked="0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800" b="0" i="0" u="none" strike="noStrike" kern="1200" baseline="0">
                <a:solidFill>
                  <a:schemeClr val="tx1"/>
                </a:solidFill>
                <a:latin typeface="+mn-lt"/>
                <a:ea typeface="+mn-lt"/>
                <a:cs typeface="+mn-lt"/>
                <a:sym typeface="+mn-lt"/>
              </a:defRPr>
            </a:pPr>
          </a:p>
        </c:txPr>
        <c:crossAx val="63634784"/>
        <c:crosses val="autoZero"/>
        <c:auto val="1"/>
        <c:lblAlgn val="ctr"/>
        <c:lblOffset val="100"/>
        <c:noMultiLvlLbl val="0"/>
      </c:catAx>
      <c:valAx>
        <c:axId val="63634784"/>
        <c:scaling>
          <c:orientation val="minMax"/>
        </c:scaling>
        <c:delete val="1"/>
        <c:axPos val="r"/>
        <c:numFmt formatCode="General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800" b="0" i="0" u="none" strike="noStrike" kern="1200" baseline="0">
                <a:solidFill>
                  <a:schemeClr val="tx1"/>
                </a:solidFill>
                <a:latin typeface="+mn-lt"/>
                <a:ea typeface="+mn-lt"/>
                <a:cs typeface="+mn-lt"/>
                <a:sym typeface="+mn-lt"/>
              </a:defRPr>
            </a:pPr>
          </a:p>
        </c:txPr>
        <c:crossAx val="661503029"/>
        <c:crosses val="max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675c172d-652b-4452-9f88-a1c9da964bfc}"/>
      </c:ext>
    </c:extLst>
  </c:chart>
  <c:spPr>
    <a:solidFill>
      <a:schemeClr val="bg1"/>
    </a:solidFill>
    <a:ln w="9525" cap="flat" cmpd="sng" algn="ctr">
      <a:noFill/>
      <a:prstDash val="solid"/>
      <a:round/>
    </a:ln>
    <a:effectLst/>
  </c:spPr>
  <c:txPr>
    <a:bodyPr wrap="square"/>
    <a:lstStyle/>
    <a:p>
      <a:pPr>
        <a:defRPr lang="zh-CN" sz="800">
          <a:latin typeface="+mn-lt"/>
          <a:ea typeface="+mn-lt"/>
          <a:cs typeface="+mn-lt"/>
          <a:sym typeface="+mn-lt"/>
        </a:defRPr>
      </a:pPr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96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lt"/>
                <a:cs typeface="+mn-lt"/>
                <a:sym typeface="+mn-lt"/>
              </a:defRPr>
            </a:pPr>
            <a:r>
              <a:rPr sz="960">
                <a:latin typeface="+mn-lt"/>
                <a:ea typeface="+mn-lt"/>
                <a:cs typeface="+mn-lt"/>
                <a:sym typeface="+mn-lt"/>
              </a:rPr>
              <a:t>环比</a:t>
            </a:r>
            <a:endParaRPr sz="960" b="1" i="0" u="none" strike="noStrike" baseline="0">
              <a:solidFill>
                <a:srgbClr val="666666">
                  <a:alpha val="100000"/>
                </a:srgbClr>
              </a:solidFill>
              <a:latin typeface="+mn-lt"/>
              <a:ea typeface="+mn-lt"/>
              <a:cs typeface="+mn-lt"/>
              <a:sym typeface="+mn-lt"/>
            </a:endParaRPr>
          </a:p>
        </c:rich>
      </c:tx>
      <c:layout>
        <c:manualLayout>
          <c:xMode val="edge"/>
          <c:yMode val="edge"/>
          <c:x val="0.0147301997180221"/>
          <c:y val="0.286284702022815"/>
        </c:manualLayout>
      </c:layout>
      <c:overlay val="1"/>
      <c:spPr>
        <a:solidFill>
          <a:schemeClr val="bg1"/>
        </a:solidFill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95666567"/>
        <c:axId val="310420022"/>
      </c:barChart>
      <c:lineChart>
        <c:grouping val="standard"/>
        <c:varyColors val="0"/>
        <c:ser>
          <c:idx val="4"/>
          <c:order val="0"/>
          <c:tx>
            <c:strRef>
              <c:f>营收!$F$95</c:f>
              <c:strCache>
                <c:ptCount val="1"/>
                <c:pt idx="0">
                  <c:v>环比</c:v>
                </c:pt>
              </c:strCache>
            </c:strRef>
          </c:tx>
          <c:spPr>
            <a:ln w="25400" cap="rnd" cmpd="sng" algn="ctr">
              <a:gradFill>
                <a:gsLst>
                  <a:gs pos="65000">
                    <a:srgbClr val="00B050"/>
                  </a:gs>
                  <a:gs pos="70000">
                    <a:schemeClr val="accent1"/>
                  </a:gs>
                </a:gsLst>
                <a:lin ang="5400000" scaled="1"/>
              </a:gradFill>
              <a:prstDash val="solid"/>
              <a:round/>
            </a:ln>
            <a:effectLst/>
          </c:spPr>
          <c:marker>
            <c:symbol val="none"/>
          </c:marker>
          <c:dLbls>
            <c:dLbl>
              <c:idx val="2"/>
              <c:layout>
                <c:manualLayout>
                  <c:x val="0.0356067684002907"/>
                  <c:y val="-0.116642958748222"/>
                </c:manualLayout>
              </c:layout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lt"/>
                    <a:cs typeface="+mn-lt"/>
                    <a:sym typeface="+mn-lt"/>
                  </a:defRPr>
                </a:pPr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cat>
            <c:strRef>
              <c:f>营收!$A$96:$A$107</c:f>
              <c:strCache>
                <c:ptCount val="12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</c:strCache>
            </c:strRef>
          </c:cat>
          <c:val>
            <c:numRef>
              <c:f>营收!$F$96:$F$107</c:f>
              <c:numCache>
                <c:formatCode>0.0%</c:formatCode>
                <c:ptCount val="12"/>
                <c:pt idx="0">
                  <c:v>-0.180597303291141</c:v>
                </c:pt>
                <c:pt idx="1">
                  <c:v>-0.116754662571711</c:v>
                </c:pt>
                <c:pt idx="2">
                  <c:v>0.415974731030039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</c:numCache>
            </c:numRef>
          </c:val>
          <c:smooth val="1"/>
        </c:ser>
        <c:ser>
          <c:idx val="7"/>
          <c:order val="1"/>
          <c:tx>
            <c:strRef>
              <c:f>营收!$H$95</c:f>
              <c:strCache>
                <c:ptCount val="1"/>
                <c:pt idx="0">
                  <c:v>环比水平轴线</c:v>
                </c:pt>
              </c:strCache>
            </c:strRef>
          </c:tx>
          <c:spPr>
            <a:ln w="19050" cap="rnd" cmpd="sng" algn="ctr">
              <a:solidFill>
                <a:schemeClr val="tx1"/>
              </a:solidFill>
              <a:prstDash val="sysDash"/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营收!$A$96:$A$107</c:f>
              <c:strCache>
                <c:ptCount val="12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</c:strCache>
            </c:strRef>
          </c:cat>
          <c:val>
            <c:numRef>
              <c:f>营收!$H$96:$H$107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1"/>
        <c:axId val="241842562"/>
        <c:axId val="953911432"/>
      </c:lineChart>
      <c:catAx>
        <c:axId val="295666567"/>
        <c:scaling>
          <c:orientation val="minMax"/>
        </c:scaling>
        <c:delete val="1"/>
        <c:axPos val="b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800" b="0" i="0" u="none" strike="noStrike" kern="1200" baseline="0">
                <a:solidFill>
                  <a:schemeClr val="tx1"/>
                </a:solidFill>
                <a:latin typeface="+mn-lt"/>
                <a:ea typeface="+mn-lt"/>
                <a:cs typeface="+mn-lt"/>
                <a:sym typeface="+mn-lt"/>
              </a:defRPr>
            </a:pPr>
          </a:p>
        </c:txPr>
        <c:crossAx val="310420022"/>
        <c:crosses val="autoZero"/>
        <c:auto val="1"/>
        <c:lblAlgn val="ctr"/>
        <c:lblOffset val="100"/>
        <c:noMultiLvlLbl val="0"/>
      </c:catAx>
      <c:valAx>
        <c:axId val="310420022"/>
        <c:scaling>
          <c:orientation val="minMax"/>
        </c:scaling>
        <c:delete val="0"/>
        <c:axPos val="l"/>
        <c:numFmt formatCode="0.0%" sourceLinked="1"/>
        <c:majorTickMark val="none"/>
        <c:minorTickMark val="none"/>
        <c:tickLblPos val="nextTo"/>
        <c:spPr>
          <a:noFill/>
          <a:ln w="6350" cap="flat" cmpd="sng" algn="ctr">
            <a:noFill/>
            <a:prstDash val="solid"/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lt"/>
                <a:cs typeface="+mn-lt"/>
                <a:sym typeface="+mn-lt"/>
              </a:defRPr>
            </a:pPr>
          </a:p>
        </c:txPr>
        <c:crossAx val="295666567"/>
        <c:crosses val="autoZero"/>
        <c:crossBetween val="between"/>
      </c:valAx>
      <c:catAx>
        <c:axId val="241842562"/>
        <c:scaling>
          <c:orientation val="minMax"/>
        </c:scaling>
        <c:delete val="1"/>
        <c:axPos val="b"/>
        <c:numFmt formatCode="General" sourceLinked="0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800" b="0" i="0" u="none" strike="noStrike" kern="1200" baseline="0">
                <a:solidFill>
                  <a:schemeClr val="tx1"/>
                </a:solidFill>
                <a:latin typeface="+mn-lt"/>
                <a:ea typeface="+mn-lt"/>
                <a:cs typeface="+mn-lt"/>
                <a:sym typeface="+mn-lt"/>
              </a:defRPr>
            </a:pPr>
          </a:p>
        </c:txPr>
        <c:crossAx val="953911432"/>
        <c:crosses val="autoZero"/>
        <c:auto val="1"/>
        <c:lblAlgn val="ctr"/>
        <c:lblOffset val="100"/>
        <c:noMultiLvlLbl val="0"/>
      </c:catAx>
      <c:valAx>
        <c:axId val="953911432"/>
        <c:scaling>
          <c:orientation val="minMax"/>
        </c:scaling>
        <c:delete val="1"/>
        <c:axPos val="r"/>
        <c:numFmt formatCode="0.0%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800" b="0" i="0" u="none" strike="noStrike" kern="1200" baseline="0">
                <a:solidFill>
                  <a:schemeClr val="tx1"/>
                </a:solidFill>
                <a:latin typeface="+mn-lt"/>
                <a:ea typeface="+mn-lt"/>
                <a:cs typeface="+mn-lt"/>
                <a:sym typeface="+mn-lt"/>
              </a:defRPr>
            </a:pPr>
          </a:p>
        </c:txPr>
        <c:crossAx val="241842562"/>
        <c:crosses val="max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38454675-fd2c-47f4-a140-ec122c94695b}"/>
      </c:ext>
    </c:extLst>
  </c:chart>
  <c:spPr>
    <a:solidFill>
      <a:schemeClr val="bg1"/>
    </a:solidFill>
    <a:ln w="9525" cap="flat" cmpd="sng" algn="ctr">
      <a:noFill/>
      <a:prstDash val="solid"/>
      <a:round/>
    </a:ln>
    <a:effectLst/>
  </c:spPr>
  <c:txPr>
    <a:bodyPr wrap="square"/>
    <a:lstStyle/>
    <a:p>
      <a:pPr>
        <a:defRPr lang="zh-CN" sz="800">
          <a:latin typeface="+mn-lt"/>
          <a:ea typeface="+mn-lt"/>
          <a:cs typeface="+mn-lt"/>
          <a:sym typeface="+mn-lt"/>
        </a:defRPr>
      </a:pPr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0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zh-CN" altLang="en-US" sz="1000">
                <a:solidFill>
                  <a:schemeClr val="tx2"/>
                </a:solidFill>
              </a:rPr>
              <a:t>带看及成交量</a:t>
            </a:r>
            <a:endParaRPr lang="zh-CN" altLang="en-US" sz="1000" b="1" i="0" u="none" strike="noStrike" baseline="0">
              <a:solidFill>
                <a:schemeClr val="tx2"/>
              </a:solidFill>
              <a:latin typeface="等线" panose="02010600030101010101" charset="-122"/>
              <a:ea typeface="等线" panose="02010600030101010101" charset="-122"/>
              <a:cs typeface="等线" panose="02010600030101010101" charset="-122"/>
            </a:endParaRPr>
          </a:p>
        </c:rich>
      </c:tx>
      <c:layout>
        <c:manualLayout>
          <c:xMode val="edge"/>
          <c:yMode val="edge"/>
          <c:x val="0.00638062777011026"/>
          <c:y val="0.00641848523748395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0804970936059331"/>
          <c:y val="0.113326653306613"/>
          <c:w val="0.913489677290038"/>
          <c:h val="0.7943687374749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商写类!$B$7</c:f>
              <c:strCache>
                <c:ptCount val="1"/>
                <c:pt idx="0">
                  <c:v>渠道带客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cat>
            <c:strRef>
              <c:f>商写类!$C$1:$G$1</c:f>
              <c:strCache>
                <c:ptCount val="5"/>
                <c:pt idx="0">
                  <c:v>北京中言</c:v>
                </c:pt>
                <c:pt idx="1">
                  <c:v>大连凯丹</c:v>
                </c:pt>
                <c:pt idx="2">
                  <c:v>福建钱隆</c:v>
                </c:pt>
                <c:pt idx="3">
                  <c:v>春夏秋冬</c:v>
                </c:pt>
                <c:pt idx="4">
                  <c:v>重庆宜新</c:v>
                </c:pt>
              </c:strCache>
            </c:strRef>
          </c:cat>
          <c:val>
            <c:numRef>
              <c:f>商写类!$C$7:$G$7</c:f>
              <c:numCache>
                <c:formatCode>General</c:formatCode>
                <c:ptCount val="5"/>
              </c:numCache>
            </c:numRef>
          </c:val>
        </c:ser>
        <c:ser>
          <c:idx val="1"/>
          <c:order val="1"/>
          <c:tx>
            <c:strRef>
              <c:f>商写类!$B$8</c:f>
              <c:strCache>
                <c:ptCount val="1"/>
                <c:pt idx="0">
                  <c:v>渠道成交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cat>
            <c:strRef>
              <c:f>商写类!$C$1:$G$1</c:f>
              <c:strCache>
                <c:ptCount val="5"/>
                <c:pt idx="0">
                  <c:v>北京中言</c:v>
                </c:pt>
                <c:pt idx="1">
                  <c:v>大连凯丹</c:v>
                </c:pt>
                <c:pt idx="2">
                  <c:v>福建钱隆</c:v>
                </c:pt>
                <c:pt idx="3">
                  <c:v>春夏秋冬</c:v>
                </c:pt>
                <c:pt idx="4">
                  <c:v>重庆宜新</c:v>
                </c:pt>
              </c:strCache>
            </c:strRef>
          </c:cat>
          <c:val>
            <c:numRef>
              <c:f>商写类!$C$8:$G$8</c:f>
              <c:numCache>
                <c:formatCode>General</c:formatCode>
                <c:ptCount val="5"/>
              </c:numCache>
            </c:numRef>
          </c:val>
        </c:ser>
        <c:ser>
          <c:idx val="5"/>
          <c:order val="2"/>
          <c:tx>
            <c:strRef>
              <c:f>商写类!$B$12</c:f>
              <c:strCache>
                <c:ptCount val="1"/>
                <c:pt idx="0">
                  <c:v>自营带客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cat>
            <c:strRef>
              <c:f>商写类!$C$1:$G$1</c:f>
              <c:strCache>
                <c:ptCount val="5"/>
                <c:pt idx="0">
                  <c:v>北京中言</c:v>
                </c:pt>
                <c:pt idx="1">
                  <c:v>大连凯丹</c:v>
                </c:pt>
                <c:pt idx="2">
                  <c:v>福建钱隆</c:v>
                </c:pt>
                <c:pt idx="3">
                  <c:v>春夏秋冬</c:v>
                </c:pt>
                <c:pt idx="4">
                  <c:v>重庆宜新</c:v>
                </c:pt>
              </c:strCache>
            </c:strRef>
          </c:cat>
          <c:val>
            <c:numRef>
              <c:f>商写类!$C$12:$G$12</c:f>
              <c:numCache>
                <c:formatCode>General</c:formatCode>
                <c:ptCount val="5"/>
              </c:numCache>
            </c:numRef>
          </c:val>
        </c:ser>
        <c:ser>
          <c:idx val="6"/>
          <c:order val="3"/>
          <c:tx>
            <c:strRef>
              <c:f>商写类!$B$13</c:f>
              <c:strCache>
                <c:ptCount val="1"/>
                <c:pt idx="0">
                  <c:v>自营成交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cat>
            <c:strRef>
              <c:f>商写类!$C$1:$G$1</c:f>
              <c:strCache>
                <c:ptCount val="5"/>
                <c:pt idx="0">
                  <c:v>北京中言</c:v>
                </c:pt>
                <c:pt idx="1">
                  <c:v>大连凯丹</c:v>
                </c:pt>
                <c:pt idx="2">
                  <c:v>福建钱隆</c:v>
                </c:pt>
                <c:pt idx="3">
                  <c:v>春夏秋冬</c:v>
                </c:pt>
                <c:pt idx="4">
                  <c:v>重庆宜新</c:v>
                </c:pt>
              </c:strCache>
            </c:strRef>
          </c:cat>
          <c:val>
            <c:numRef>
              <c:f>商写类!$C$13:$G$13</c:f>
              <c:numCache>
                <c:formatCode>General</c:formatCode>
                <c:ptCount val="5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95849756"/>
        <c:axId val="240317564"/>
      </c:barChart>
      <c:catAx>
        <c:axId val="39584975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</a:p>
        </c:txPr>
        <c:crossAx val="240317564"/>
        <c:crosses val="autoZero"/>
        <c:auto val="1"/>
        <c:lblAlgn val="ctr"/>
        <c:lblOffset val="100"/>
        <c:noMultiLvlLbl val="0"/>
      </c:catAx>
      <c:valAx>
        <c:axId val="2403175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prstDash val="solid"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noFill/>
            <a:prstDash val="solid"/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</a:p>
        </c:txPr>
        <c:crossAx val="3958497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</a:p>
        </c:txPr>
      </c:legendEntry>
      <c:legendEntry>
        <c:idx val="1"/>
        <c:txPr>
          <a:bodyPr rot="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</a:p>
        </c:txPr>
      </c:legendEntry>
      <c:legendEntry>
        <c:idx val="2"/>
        <c:txPr>
          <a:bodyPr rot="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</a:p>
        </c:txPr>
      </c:legendEntry>
      <c:legendEntry>
        <c:idx val="3"/>
        <c:txPr>
          <a:bodyPr rot="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</a:p>
        </c:txPr>
      </c:legendEntry>
      <c:layout>
        <c:manualLayout>
          <c:xMode val="edge"/>
          <c:yMode val="edge"/>
          <c:x val="0.378"/>
          <c:y val="0.00625"/>
          <c:w val="0.6145"/>
          <c:h val="0.0875"/>
        </c:manualLayout>
      </c:layout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7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0ab34d14-44b8-4703-a570-bfd5732954bd}"/>
      </c:ext>
    </c:extLst>
  </c:chart>
  <c:spPr>
    <a:solidFill>
      <a:schemeClr val="bg1"/>
    </a:solidFill>
    <a:ln w="9525" cap="flat" cmpd="sng" algn="ctr">
      <a:solidFill>
        <a:schemeClr val="bg2"/>
      </a:solidFill>
      <a:prstDash val="solid"/>
      <a:round/>
    </a:ln>
    <a:effectLst>
      <a:outerShdw blurRad="50800" dist="38100" dir="13500000" algn="br" rotWithShape="0">
        <a:prstClr val="black">
          <a:alpha val="40000"/>
        </a:prstClr>
      </a:outerShdw>
    </a:effectLst>
  </c:spPr>
  <c:txPr>
    <a:bodyPr wrap="square"/>
    <a:lstStyle/>
    <a:p>
      <a:pPr>
        <a:defRPr lang="zh-CN" sz="900">
          <a:solidFill>
            <a:schemeClr val="tx2"/>
          </a:solidFill>
        </a:defRPr>
      </a:pPr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000" b="1" i="0" u="none" strike="noStrike" kern="1200" baseline="0">
                <a:solidFill>
                  <a:schemeClr val="tx2"/>
                </a:solidFill>
                <a:latin typeface="+mn-ea"/>
                <a:ea typeface="+mn-ea"/>
                <a:cs typeface="+mn-ea"/>
                <a:sym typeface="+mn-ea"/>
              </a:defRPr>
            </a:pPr>
            <a:r>
              <a:rPr lang="zh-CN" altLang="en-US" sz="1000">
                <a:solidFill>
                  <a:schemeClr val="tx2"/>
                </a:solidFill>
                <a:latin typeface="+mn-ea"/>
                <a:ea typeface="+mn-ea"/>
                <a:cs typeface="+mn-ea"/>
                <a:sym typeface="+mn-ea"/>
              </a:rPr>
              <a:t>新增签约及退租面积</a:t>
            </a:r>
            <a:endParaRPr lang="zh-CN" altLang="en-US" sz="1000" b="1" i="0" u="none" strike="noStrike" baseline="0">
              <a:solidFill>
                <a:schemeClr val="tx2"/>
              </a:solidFill>
              <a:latin typeface="+mn-ea"/>
              <a:ea typeface="+mn-ea"/>
              <a:cs typeface="+mn-ea"/>
              <a:sym typeface="+mn-ea"/>
            </a:endParaRPr>
          </a:p>
        </c:rich>
      </c:tx>
      <c:layout>
        <c:manualLayout>
          <c:xMode val="edge"/>
          <c:yMode val="edge"/>
          <c:x val="0.00542888165038002"/>
          <c:y val="0.00621504039776259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07057546145494"/>
          <c:y val="0.129687176299979"/>
          <c:w val="0.887513572204126"/>
          <c:h val="0.780899109177543"/>
        </c:manualLayout>
      </c:layout>
      <c:barChart>
        <c:barDir val="col"/>
        <c:grouping val="clustered"/>
        <c:varyColors val="0"/>
        <c:ser>
          <c:idx val="1"/>
          <c:order val="0"/>
          <c:tx>
            <c:strRef>
              <c:f>商写类!$B$3</c:f>
              <c:strCache>
                <c:ptCount val="1"/>
                <c:pt idx="0">
                  <c:v>新增签约面积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numFmt formatCode="#,##0_);[Red]\(#,##0\)" sourceLinked="0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800" b="1" i="0" u="none" strike="noStrike" kern="1200" baseline="0">
                    <a:solidFill>
                      <a:schemeClr val="tx2"/>
                    </a:solidFill>
                    <a:latin typeface="+mn-ea"/>
                    <a:ea typeface="+mn-ea"/>
                    <a:cs typeface="+mn-ea"/>
                    <a:sym typeface="+mn-ea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cat>
            <c:strRef>
              <c:f>商写类!$C$1:$G$1</c:f>
              <c:strCache>
                <c:ptCount val="5"/>
                <c:pt idx="0">
                  <c:v>北京中言</c:v>
                </c:pt>
                <c:pt idx="1">
                  <c:v>大连凯丹</c:v>
                </c:pt>
                <c:pt idx="2">
                  <c:v>福建钱隆</c:v>
                </c:pt>
                <c:pt idx="3">
                  <c:v>春夏秋冬</c:v>
                </c:pt>
                <c:pt idx="4">
                  <c:v>重庆宜新</c:v>
                </c:pt>
              </c:strCache>
            </c:strRef>
          </c:cat>
          <c:val>
            <c:numRef>
              <c:f>商写类!$C$3:$G$3</c:f>
              <c:numCache>
                <c:formatCode>General</c:formatCode>
                <c:ptCount val="5"/>
              </c:numCache>
            </c:numRef>
          </c:val>
        </c:ser>
        <c:ser>
          <c:idx val="2"/>
          <c:order val="1"/>
          <c:tx>
            <c:strRef>
              <c:f>商写类!$B$4</c:f>
              <c:strCache>
                <c:ptCount val="1"/>
                <c:pt idx="0">
                  <c:v>平均租金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800" b="0" i="0" u="none" strike="noStrike" kern="1200" baseline="0">
                    <a:solidFill>
                      <a:schemeClr val="tx2"/>
                    </a:solidFill>
                    <a:latin typeface="+mn-ea"/>
                    <a:ea typeface="+mn-ea"/>
                    <a:cs typeface="+mn-ea"/>
                    <a:sym typeface="+mn-ea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cat>
            <c:strRef>
              <c:f>商写类!$C$1:$G$1</c:f>
              <c:strCache>
                <c:ptCount val="5"/>
                <c:pt idx="0">
                  <c:v>北京中言</c:v>
                </c:pt>
                <c:pt idx="1">
                  <c:v>大连凯丹</c:v>
                </c:pt>
                <c:pt idx="2">
                  <c:v>福建钱隆</c:v>
                </c:pt>
                <c:pt idx="3">
                  <c:v>春夏秋冬</c:v>
                </c:pt>
                <c:pt idx="4">
                  <c:v>重庆宜新</c:v>
                </c:pt>
              </c:strCache>
            </c:strRef>
          </c:cat>
          <c:val>
            <c:numRef>
              <c:f>商写类!$C$4:$G$4</c:f>
              <c:numCache>
                <c:formatCode>General</c:formatCode>
                <c:ptCount val="5"/>
              </c:numCache>
            </c:numRef>
          </c:val>
        </c:ser>
        <c:ser>
          <c:idx val="3"/>
          <c:order val="2"/>
          <c:tx>
            <c:strRef>
              <c:f>商写类!$B$5</c:f>
              <c:strCache>
                <c:ptCount val="1"/>
                <c:pt idx="0">
                  <c:v>本期退租面积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dLbl>
              <c:idx val="1"/>
              <c:layout>
                <c:manualLayout>
                  <c:x val="0.0270200387847447"/>
                  <c:y val="0"/>
                </c:manualLayout>
              </c:layout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zh-CN" sz="800" b="1" i="0" u="none" strike="noStrike" kern="1200" baseline="0">
                      <a:solidFill>
                        <a:schemeClr val="tx2"/>
                      </a:solidFill>
                      <a:latin typeface="+mn-ea"/>
                      <a:ea typeface="+mn-ea"/>
                      <a:cs typeface="+mn-ea"/>
                      <a:sym typeface="+mn-ea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numFmt formatCode="#,##0_);[Red]\(#,##0\)" sourceLinked="0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800" b="1" i="0" u="none" strike="noStrike" kern="1200" baseline="0">
                    <a:solidFill>
                      <a:schemeClr val="tx2"/>
                    </a:solidFill>
                    <a:latin typeface="+mn-ea"/>
                    <a:ea typeface="+mn-ea"/>
                    <a:cs typeface="+mn-ea"/>
                    <a:sym typeface="+mn-ea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cat>
            <c:strRef>
              <c:f>商写类!$C$1:$G$1</c:f>
              <c:strCache>
                <c:ptCount val="5"/>
                <c:pt idx="0">
                  <c:v>北京中言</c:v>
                </c:pt>
                <c:pt idx="1">
                  <c:v>大连凯丹</c:v>
                </c:pt>
                <c:pt idx="2">
                  <c:v>福建钱隆</c:v>
                </c:pt>
                <c:pt idx="3">
                  <c:v>春夏秋冬</c:v>
                </c:pt>
                <c:pt idx="4">
                  <c:v>重庆宜新</c:v>
                </c:pt>
              </c:strCache>
            </c:strRef>
          </c:cat>
          <c:val>
            <c:numRef>
              <c:f>商写类!$C$5:$G$5</c:f>
              <c:numCache>
                <c:formatCode>General</c:formatCode>
                <c:ptCount val="5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29768981"/>
        <c:axId val="738179018"/>
      </c:barChart>
      <c:catAx>
        <c:axId val="229768981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2"/>
                </a:solidFill>
                <a:latin typeface="+mn-ea"/>
                <a:ea typeface="+mn-ea"/>
                <a:cs typeface="+mn-ea"/>
                <a:sym typeface="+mn-ea"/>
              </a:defRPr>
            </a:pPr>
          </a:p>
        </c:txPr>
        <c:crossAx val="738179018"/>
        <c:crosses val="autoZero"/>
        <c:auto val="1"/>
        <c:lblAlgn val="ctr"/>
        <c:lblOffset val="100"/>
        <c:noMultiLvlLbl val="0"/>
      </c:catAx>
      <c:valAx>
        <c:axId val="73817901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prstDash val="solid"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noFill/>
            <a:prstDash val="solid"/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2"/>
                </a:solidFill>
                <a:latin typeface="+mn-ea"/>
                <a:ea typeface="+mn-ea"/>
                <a:cs typeface="+mn-ea"/>
                <a:sym typeface="+mn-ea"/>
              </a:defRPr>
            </a:pPr>
          </a:p>
        </c:txPr>
        <c:crossAx val="22976898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2"/>
                </a:solidFill>
                <a:latin typeface="+mn-ea"/>
                <a:ea typeface="+mn-ea"/>
                <a:cs typeface="+mn-ea"/>
                <a:sym typeface="+mn-ea"/>
              </a:defRPr>
            </a:pPr>
          </a:p>
        </c:txPr>
      </c:legendEntry>
      <c:legendEntry>
        <c:idx val="1"/>
        <c:txPr>
          <a:bodyPr rot="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2"/>
                </a:solidFill>
                <a:latin typeface="+mn-ea"/>
                <a:ea typeface="+mn-ea"/>
                <a:cs typeface="+mn-ea"/>
                <a:sym typeface="+mn-ea"/>
              </a:defRPr>
            </a:pPr>
          </a:p>
        </c:txPr>
      </c:legendEntry>
      <c:legendEntry>
        <c:idx val="2"/>
        <c:txPr>
          <a:bodyPr rot="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2"/>
                </a:solidFill>
                <a:latin typeface="+mn-ea"/>
                <a:ea typeface="+mn-ea"/>
                <a:cs typeface="+mn-ea"/>
                <a:sym typeface="+mn-ea"/>
              </a:defRPr>
            </a:pPr>
          </a:p>
        </c:txPr>
      </c:legendEntry>
      <c:layout>
        <c:manualLayout>
          <c:xMode val="edge"/>
          <c:yMode val="edge"/>
          <c:x val="0.43125"/>
          <c:y val="0.0185"/>
          <c:w val="0.545"/>
          <c:h val="0.0835"/>
        </c:manualLayout>
      </c:layout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700" b="0" i="0" u="none" strike="noStrike" kern="1200" baseline="0">
              <a:solidFill>
                <a:schemeClr val="tx2"/>
              </a:solidFill>
              <a:latin typeface="+mn-ea"/>
              <a:ea typeface="+mn-ea"/>
              <a:cs typeface="+mn-ea"/>
              <a:sym typeface="+mn-ea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939a2e2d-7655-4a33-b8f7-df5c505a0072}"/>
      </c:ext>
    </c:extLst>
  </c:chart>
  <c:spPr>
    <a:solidFill>
      <a:schemeClr val="bg1"/>
    </a:solidFill>
    <a:ln w="9525" cap="flat" cmpd="sng" algn="ctr">
      <a:solidFill>
        <a:schemeClr val="bg2"/>
      </a:solidFill>
      <a:prstDash val="solid"/>
      <a:round/>
    </a:ln>
    <a:effectLst>
      <a:outerShdw blurRad="50800" dist="38100" dir="13500000" algn="br" rotWithShape="0">
        <a:prstClr val="black">
          <a:alpha val="40000"/>
        </a:prstClr>
      </a:outerShdw>
    </a:effectLst>
  </c:spPr>
  <c:txPr>
    <a:bodyPr wrap="square"/>
    <a:lstStyle/>
    <a:p>
      <a:pPr>
        <a:defRPr lang="zh-CN">
          <a:solidFill>
            <a:schemeClr val="tx2"/>
          </a:solidFill>
          <a:latin typeface="+mn-ea"/>
          <a:ea typeface="+mn-ea"/>
          <a:cs typeface="+mn-ea"/>
          <a:sym typeface="+mn-ea"/>
        </a:defRPr>
      </a:pPr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0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sz="1000" b="1">
                <a:solidFill>
                  <a:schemeClr val="tx2"/>
                </a:solidFill>
              </a:rPr>
              <a:t>酒店营销活动</a:t>
            </a:r>
            <a:endParaRPr sz="1000" b="1" i="0" u="none" strike="noStrike" baseline="0">
              <a:solidFill>
                <a:schemeClr val="tx2"/>
              </a:solidFill>
              <a:latin typeface="思源黑体 CN Normal" panose="020B0400000000000000" charset="-122"/>
              <a:ea typeface="思源黑体 CN Normal" panose="020B0400000000000000" charset="-122"/>
              <a:cs typeface="思源黑体 CN Normal" panose="020B0400000000000000" charset="-122"/>
            </a:endParaRPr>
          </a:p>
        </c:rich>
      </c:tx>
      <c:layout>
        <c:manualLayout>
          <c:xMode val="edge"/>
          <c:yMode val="edge"/>
          <c:x val="0.00551876379690949"/>
          <c:y val="0.00523743016759777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26859504132231"/>
          <c:y val="0.141425908667288"/>
          <c:w val="0.866942148760331"/>
          <c:h val="0.75046598322460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酒店类!$B$2</c:f>
              <c:strCache>
                <c:ptCount val="1"/>
                <c:pt idx="0">
                  <c:v>投放数量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cat>
            <c:strRef>
              <c:f>酒店类!$C$1:$D$1</c:f>
              <c:strCache>
                <c:ptCount val="2"/>
                <c:pt idx="0">
                  <c:v>伯豪瑞廷</c:v>
                </c:pt>
                <c:pt idx="1">
                  <c:v>重庆瑞尔</c:v>
                </c:pt>
              </c:strCache>
            </c:strRef>
          </c:cat>
          <c:val>
            <c:numRef>
              <c:f>酒店类!$C$2:$D$2</c:f>
              <c:numCache>
                <c:formatCode>#,##0</c:formatCode>
                <c:ptCount val="2"/>
              </c:numCache>
            </c:numRef>
          </c:val>
        </c:ser>
        <c:ser>
          <c:idx val="2"/>
          <c:order val="1"/>
          <c:tx>
            <c:strRef>
              <c:f>酒店类!$B$4</c:f>
              <c:strCache>
                <c:ptCount val="1"/>
                <c:pt idx="0">
                  <c:v>成交数量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cat>
            <c:strRef>
              <c:f>酒店类!$C$1:$D$1</c:f>
              <c:strCache>
                <c:ptCount val="2"/>
                <c:pt idx="0">
                  <c:v>伯豪瑞廷</c:v>
                </c:pt>
                <c:pt idx="1">
                  <c:v>重庆瑞尔</c:v>
                </c:pt>
              </c:strCache>
            </c:strRef>
          </c:cat>
          <c:val>
            <c:numRef>
              <c:f>酒店类!$C$4:$D$4</c:f>
              <c:numCache>
                <c:formatCode>#,##0</c:formatCode>
                <c:ptCount val="2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6"/>
        <c:overlap val="-28"/>
        <c:axId val="254020532"/>
        <c:axId val="908186742"/>
      </c:barChart>
      <c:catAx>
        <c:axId val="25402053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</a:p>
        </c:txPr>
        <c:crossAx val="908186742"/>
        <c:crosses val="autoZero"/>
        <c:auto val="1"/>
        <c:lblAlgn val="ctr"/>
        <c:lblOffset val="100"/>
        <c:noMultiLvlLbl val="0"/>
      </c:catAx>
      <c:valAx>
        <c:axId val="908186742"/>
        <c:scaling>
          <c:orientation val="minMax"/>
        </c:scaling>
        <c:delete val="0"/>
        <c:axPos val="l"/>
        <c:numFmt formatCode="#,##0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</a:p>
        </c:txPr>
        <c:crossAx val="254020532"/>
        <c:crosses val="autoZero"/>
        <c:crossBetween val="between"/>
      </c:valAx>
    </c:plotArea>
    <c:legend>
      <c:legendPos val="r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</a:p>
        </c:txPr>
      </c:legendEntry>
      <c:legendEntry>
        <c:idx val="1"/>
        <c:txPr>
          <a:bodyPr rot="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</a:p>
        </c:txPr>
      </c:legendEntry>
      <c:layout>
        <c:manualLayout>
          <c:xMode val="edge"/>
          <c:yMode val="edge"/>
          <c:x val="0.4635"/>
          <c:y val="0.005"/>
          <c:w val="0.52925"/>
          <c:h val="0.06"/>
        </c:manualLayout>
      </c:layout>
      <c:overlay val="0"/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99727be7-de5e-4a4b-a638-d62bb0be716e}"/>
      </c:ext>
    </c:extLst>
  </c:chart>
  <c:spPr>
    <a:solidFill>
      <a:schemeClr val="bg1"/>
    </a:solidFill>
    <a:ln w="12700" cap="flat" cmpd="sng" algn="ctr">
      <a:solidFill>
        <a:schemeClr val="bg2"/>
      </a:solidFill>
      <a:prstDash val="solid"/>
      <a:round/>
    </a:ln>
    <a:effectLst>
      <a:outerShdw blurRad="50800" dist="38100" dir="13500000" algn="br" rotWithShape="0">
        <a:prstClr val="black">
          <a:alpha val="40000"/>
        </a:prstClr>
      </a:outerShdw>
    </a:effectLst>
  </c:spPr>
  <c:txPr>
    <a:bodyPr wrap="square"/>
    <a:lstStyle/>
    <a:p>
      <a:pPr>
        <a:defRPr lang="zh-CN">
          <a:solidFill>
            <a:schemeClr val="tx2"/>
          </a:solidFill>
        </a:defRPr>
      </a:pPr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0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 sz="1000" b="1" i="0" u="none" strike="noStrike" baseline="0">
                <a:solidFill>
                  <a:srgbClr val="808080"/>
                </a:solidFill>
                <a:latin typeface="等线" panose="02010600030101010101" charset="-122"/>
                <a:ea typeface="等线" panose="02010600030101010101" charset="-122"/>
                <a:cs typeface="等线" panose="02010600030101010101" charset="-122"/>
              </a:rPr>
              <a:t>OTA</a:t>
            </a:r>
            <a:r>
              <a:rPr lang="zh-CN" altLang="en-US" sz="1000" b="1" i="0" u="none" strike="noStrike" baseline="0">
                <a:solidFill>
                  <a:srgbClr val="808080"/>
                </a:solidFill>
                <a:latin typeface="等线" panose="02010600030101010101" charset="-122"/>
                <a:ea typeface="等线" panose="02010600030101010101" charset="-122"/>
                <a:cs typeface="等线" panose="02010600030101010101" charset="-122"/>
              </a:rPr>
              <a:t>评分</a:t>
            </a:r>
            <a:endParaRPr lang="zh-CN" altLang="en-US" sz="1100" b="0" i="0" u="none" strike="noStrike" baseline="0">
              <a:solidFill>
                <a:srgbClr val="333333"/>
              </a:solidFill>
              <a:latin typeface="等距更纱黑体 SC" panose="02000509000000000000" pitchFamily="3" charset="-122"/>
              <a:ea typeface="等距更纱黑体 SC" panose="02000509000000000000" pitchFamily="3" charset="-122"/>
              <a:cs typeface="等距更纱黑体 SC" panose="02000509000000000000" pitchFamily="3" charset="-122"/>
            </a:endParaRPr>
          </a:p>
        </c:rich>
      </c:tx>
      <c:layout>
        <c:manualLayout>
          <c:xMode val="edge"/>
          <c:yMode val="edge"/>
          <c:x val="0.00551267916207277"/>
          <c:y val="0.0064532519324504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0969397828233"/>
          <c:y val="0.128422720072415"/>
          <c:w val="0.884383020730503"/>
          <c:h val="0.776397374971713"/>
        </c:manualLayout>
      </c:layout>
      <c:lineChart>
        <c:grouping val="standard"/>
        <c:varyColors val="0"/>
        <c:ser>
          <c:idx val="0"/>
          <c:order val="0"/>
          <c:tx>
            <c:strRef>
              <c:f>酒店类!$F$1</c:f>
              <c:strCache>
                <c:ptCount val="1"/>
                <c:pt idx="0">
                  <c:v>伯豪瑞廷</c:v>
                </c:pt>
              </c:strCache>
            </c:strRef>
          </c:tx>
          <c:spPr>
            <a:ln w="28575" cap="rnd" cmpd="sng" algn="ctr">
              <a:gradFill>
                <a:gsLst>
                  <a:gs pos="100000">
                    <a:schemeClr val="accent1"/>
                  </a:gs>
                  <a:gs pos="0">
                    <a:schemeClr val="accent1">
                      <a:hueOff val="-1670000"/>
                    </a:schemeClr>
                  </a:gs>
                </a:gsLst>
                <a:lin ang="0" scaled="0"/>
              </a:gradFill>
              <a:prstDash val="solid"/>
              <a:round/>
            </a:ln>
            <a:effectLst/>
          </c:spPr>
          <c:marker>
            <c:symbol val="circle"/>
            <c:size val="6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cat>
            <c:strRef>
              <c:f>酒店类!$E$2:$E$13</c:f>
              <c:strCache>
                <c:ptCount val="12"/>
                <c:pt idx="0">
                  <c:v>1月</c:v>
                </c:pt>
                <c:pt idx="1" c:formatCode="0.00">
                  <c:v>2月</c:v>
                </c:pt>
                <c:pt idx="2" c:formatCode="0.00">
                  <c:v>3月</c:v>
                </c:pt>
                <c:pt idx="3" c:formatCode="0.00">
                  <c:v>4月</c:v>
                </c:pt>
                <c:pt idx="4" c:formatCode="0.00">
                  <c:v>5月</c:v>
                </c:pt>
                <c:pt idx="5" c:formatCode="0.00">
                  <c:v>6月</c:v>
                </c:pt>
                <c:pt idx="6" c:formatCode="0.00">
                  <c:v>7月</c:v>
                </c:pt>
                <c:pt idx="7" c:formatCode="0.00">
                  <c:v>8月</c:v>
                </c:pt>
                <c:pt idx="8" c:formatCode="0.00">
                  <c:v>9月</c:v>
                </c:pt>
                <c:pt idx="9" c:formatCode="0.00">
                  <c:v>10月</c:v>
                </c:pt>
                <c:pt idx="10" c:formatCode="0.00">
                  <c:v>11月</c:v>
                </c:pt>
                <c:pt idx="11" c:formatCode="0.00">
                  <c:v>12月</c:v>
                </c:pt>
              </c:strCache>
            </c:strRef>
          </c:cat>
          <c:val>
            <c:numRef>
              <c:f>酒店类!$F$2:$F$13</c:f>
              <c:numCache>
                <c:formatCode>0.00</c:formatCode>
                <c:ptCount val="12"/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酒店类!$G$1</c:f>
              <c:strCache>
                <c:ptCount val="1"/>
                <c:pt idx="0">
                  <c:v>重庆瑞尔</c:v>
                </c:pt>
              </c:strCache>
            </c:strRef>
          </c:tx>
          <c:spPr>
            <a:ln w="28575" cap="rnd" cmpd="sng" algn="ctr">
              <a:gradFill>
                <a:gsLst>
                  <a:gs pos="100000">
                    <a:schemeClr val="accent2"/>
                  </a:gs>
                  <a:gs pos="0">
                    <a:schemeClr val="accent2">
                      <a:hueOff val="-1670000"/>
                    </a:schemeClr>
                  </a:gs>
                </a:gsLst>
                <a:lin ang="0" scaled="0"/>
              </a:gradFill>
              <a:prstDash val="solid"/>
              <a:round/>
            </a:ln>
            <a:effectLst/>
          </c:spPr>
          <c:marker>
            <c:symbol val="circle"/>
            <c:size val="6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cat>
            <c:strRef>
              <c:f>酒店类!$E$2:$E$13</c:f>
              <c:strCache>
                <c:ptCount val="12"/>
                <c:pt idx="0">
                  <c:v>1月</c:v>
                </c:pt>
                <c:pt idx="1" c:formatCode="0.00">
                  <c:v>2月</c:v>
                </c:pt>
                <c:pt idx="2" c:formatCode="0.00">
                  <c:v>3月</c:v>
                </c:pt>
                <c:pt idx="3" c:formatCode="0.00">
                  <c:v>4月</c:v>
                </c:pt>
                <c:pt idx="4" c:formatCode="0.00">
                  <c:v>5月</c:v>
                </c:pt>
                <c:pt idx="5" c:formatCode="0.00">
                  <c:v>6月</c:v>
                </c:pt>
                <c:pt idx="6" c:formatCode="0.00">
                  <c:v>7月</c:v>
                </c:pt>
                <c:pt idx="7" c:formatCode="0.00">
                  <c:v>8月</c:v>
                </c:pt>
                <c:pt idx="8" c:formatCode="0.00">
                  <c:v>9月</c:v>
                </c:pt>
                <c:pt idx="9" c:formatCode="0.00">
                  <c:v>10月</c:v>
                </c:pt>
                <c:pt idx="10" c:formatCode="0.00">
                  <c:v>11月</c:v>
                </c:pt>
                <c:pt idx="11" c:formatCode="0.00">
                  <c:v>12月</c:v>
                </c:pt>
              </c:strCache>
            </c:strRef>
          </c:cat>
          <c:val>
            <c:numRef>
              <c:f>酒店类!$G$2:$G$13</c:f>
              <c:numCache>
                <c:formatCode>0.00</c:formatCode>
                <c:ptCount val="12"/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</c:numCache>
            </c:numRef>
          </c: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1"/>
        <c:axId val="600472757"/>
        <c:axId val="782790647"/>
      </c:lineChart>
      <c:catAx>
        <c:axId val="600472757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</a:p>
        </c:txPr>
        <c:crossAx val="782790647"/>
        <c:crosses val="autoZero"/>
        <c:auto val="1"/>
        <c:lblAlgn val="ctr"/>
        <c:lblOffset val="100"/>
        <c:noMultiLvlLbl val="0"/>
      </c:catAx>
      <c:valAx>
        <c:axId val="7827906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prstDash val="solid"/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12700" cap="flat" cmpd="sng" algn="ctr">
            <a:noFill/>
            <a:prstDash val="solid"/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</a:p>
        </c:txPr>
        <c:crossAx val="60047275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</a:p>
        </c:txPr>
      </c:legendEntry>
      <c:legendEntry>
        <c:idx val="1"/>
        <c:txPr>
          <a:bodyPr rot="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</a:p>
        </c:txPr>
      </c:legendEntry>
      <c:layout>
        <c:manualLayout>
          <c:xMode val="edge"/>
          <c:yMode val="edge"/>
          <c:x val="0.5285"/>
          <c:y val="0.005"/>
          <c:w val="0.465"/>
          <c:h val="0.068"/>
        </c:manualLayout>
      </c:layout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52eed0a1-07ec-4b15-8b8b-a13ed6153785}"/>
      </c:ext>
    </c:extLst>
  </c:chart>
  <c:spPr>
    <a:solidFill>
      <a:schemeClr val="bg1"/>
    </a:solidFill>
    <a:ln w="9525" cap="flat" cmpd="sng" algn="ctr">
      <a:solidFill>
        <a:schemeClr val="bg2"/>
      </a:solidFill>
      <a:prstDash val="solid"/>
      <a:round/>
    </a:ln>
    <a:effectLst>
      <a:outerShdw blurRad="50800" dist="38100" dir="13500000" algn="br" rotWithShape="0">
        <a:prstClr val="black">
          <a:alpha val="40000"/>
        </a:prstClr>
      </a:outerShdw>
    </a:effectLst>
  </c:spPr>
  <c:txPr>
    <a:bodyPr wrap="square"/>
    <a:lstStyle/>
    <a:p>
      <a:pPr>
        <a:defRPr lang="zh-CN">
          <a:solidFill>
            <a:schemeClr val="tx2"/>
          </a:solidFill>
        </a:defRPr>
      </a:pPr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0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zh-CN" altLang="en-US" sz="1000" b="1">
                <a:solidFill>
                  <a:schemeClr val="tx2"/>
                </a:solidFill>
              </a:rPr>
              <a:t>月均入住率</a:t>
            </a:r>
            <a:endParaRPr lang="zh-CN" altLang="en-US" sz="1000" b="1" i="0" u="none" strike="noStrike" baseline="0">
              <a:solidFill>
                <a:schemeClr val="tx2"/>
              </a:solidFill>
              <a:latin typeface="等线" panose="02010600030101010101" charset="-122"/>
              <a:ea typeface="等线" panose="02010600030101010101" charset="-122"/>
              <a:cs typeface="等线" panose="02010600030101010101" charset="-122"/>
            </a:endParaRPr>
          </a:p>
        </c:rich>
      </c:tx>
      <c:layout>
        <c:manualLayout>
          <c:xMode val="edge"/>
          <c:yMode val="edge"/>
          <c:x val="0.00551215293353478"/>
          <c:y val="0.0064532519324504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0927486712224753"/>
          <c:y val="0.129950495049505"/>
          <c:w val="0.901556567957479"/>
          <c:h val="0.77540504050405"/>
        </c:manualLayout>
      </c:layout>
      <c:lineChart>
        <c:grouping val="standard"/>
        <c:varyColors val="0"/>
        <c:ser>
          <c:idx val="0"/>
          <c:order val="0"/>
          <c:tx>
            <c:strRef>
              <c:f>酒店类!$J$1</c:f>
              <c:strCache>
                <c:ptCount val="1"/>
                <c:pt idx="0">
                  <c:v>伯豪瑞廷</c:v>
                </c:pt>
              </c:strCache>
            </c:strRef>
          </c:tx>
          <c:spPr>
            <a:ln w="28575" cap="rnd" cmpd="sng" algn="ctr">
              <a:gradFill>
                <a:gsLst>
                  <a:gs pos="100000">
                    <a:schemeClr val="accent1"/>
                  </a:gs>
                  <a:gs pos="0">
                    <a:schemeClr val="accent1">
                      <a:hueOff val="-1670000"/>
                    </a:schemeClr>
                  </a:gs>
                </a:gsLst>
                <a:lin ang="0" scaled="0"/>
              </a:gradFill>
              <a:prstDash val="solid"/>
              <a:round/>
            </a:ln>
            <a:effectLst/>
          </c:spPr>
          <c:marker>
            <c:symbol val="circle"/>
            <c:size val="6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cat>
            <c:strRef>
              <c:f>酒店类!$I$2:$I$13</c:f>
              <c:strCache>
                <c:ptCount val="12"/>
                <c:pt idx="0" c:formatCode="0%">
                  <c:v>1月</c:v>
                </c:pt>
                <c:pt idx="1" c:formatCode="0%">
                  <c:v>2月</c:v>
                </c:pt>
                <c:pt idx="2" c:formatCode="0%">
                  <c:v>3月</c:v>
                </c:pt>
                <c:pt idx="3" c:formatCode="0%">
                  <c:v>4月</c:v>
                </c:pt>
                <c:pt idx="4" c:formatCode="0%">
                  <c:v>5月</c:v>
                </c:pt>
                <c:pt idx="5" c:formatCode="0%">
                  <c:v>6月</c:v>
                </c:pt>
                <c:pt idx="6" c:formatCode="0%">
                  <c:v>7月</c:v>
                </c:pt>
                <c:pt idx="7" c:formatCode="0%">
                  <c:v>8月</c:v>
                </c:pt>
                <c:pt idx="8" c:formatCode="0%">
                  <c:v>9月</c:v>
                </c:pt>
                <c:pt idx="9" c:formatCode="0%">
                  <c:v>10月</c:v>
                </c:pt>
                <c:pt idx="10" c:formatCode="0%">
                  <c:v>11月</c:v>
                </c:pt>
                <c:pt idx="11" c:formatCode="0%">
                  <c:v>12月</c:v>
                </c:pt>
              </c:strCache>
            </c:strRef>
          </c:cat>
          <c:val>
            <c:numRef>
              <c:f>酒店类!$J$2:$J$13</c:f>
              <c:numCache>
                <c:formatCode>0%</c:formatCode>
                <c:ptCount val="12"/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酒店类!$K$1</c:f>
              <c:strCache>
                <c:ptCount val="1"/>
                <c:pt idx="0">
                  <c:v>重庆瑞尔</c:v>
                </c:pt>
              </c:strCache>
            </c:strRef>
          </c:tx>
          <c:spPr>
            <a:ln w="28575" cap="rnd" cmpd="sng" algn="ctr">
              <a:gradFill>
                <a:gsLst>
                  <a:gs pos="100000">
                    <a:schemeClr val="accent2"/>
                  </a:gs>
                  <a:gs pos="0">
                    <a:schemeClr val="accent2">
                      <a:hueOff val="-1670000"/>
                    </a:schemeClr>
                  </a:gs>
                </a:gsLst>
                <a:lin ang="0" scaled="0"/>
              </a:gradFill>
              <a:prstDash val="solid"/>
              <a:round/>
            </a:ln>
            <a:effectLst/>
          </c:spPr>
          <c:marker>
            <c:symbol val="circle"/>
            <c:size val="6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cat>
            <c:strRef>
              <c:f>酒店类!$I$2:$I$13</c:f>
              <c:strCache>
                <c:ptCount val="12"/>
                <c:pt idx="0" c:formatCode="0%">
                  <c:v>1月</c:v>
                </c:pt>
                <c:pt idx="1" c:formatCode="0%">
                  <c:v>2月</c:v>
                </c:pt>
                <c:pt idx="2" c:formatCode="0%">
                  <c:v>3月</c:v>
                </c:pt>
                <c:pt idx="3" c:formatCode="0%">
                  <c:v>4月</c:v>
                </c:pt>
                <c:pt idx="4" c:formatCode="0%">
                  <c:v>5月</c:v>
                </c:pt>
                <c:pt idx="5" c:formatCode="0%">
                  <c:v>6月</c:v>
                </c:pt>
                <c:pt idx="6" c:formatCode="0%">
                  <c:v>7月</c:v>
                </c:pt>
                <c:pt idx="7" c:formatCode="0%">
                  <c:v>8月</c:v>
                </c:pt>
                <c:pt idx="8" c:formatCode="0%">
                  <c:v>9月</c:v>
                </c:pt>
                <c:pt idx="9" c:formatCode="0%">
                  <c:v>10月</c:v>
                </c:pt>
                <c:pt idx="10" c:formatCode="0%">
                  <c:v>11月</c:v>
                </c:pt>
                <c:pt idx="11" c:formatCode="0%">
                  <c:v>12月</c:v>
                </c:pt>
              </c:strCache>
            </c:strRef>
          </c:cat>
          <c:val>
            <c:numRef>
              <c:f>酒店类!$K$2:$K$13</c:f>
              <c:numCache>
                <c:formatCode>0%</c:formatCode>
                <c:ptCount val="12"/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</c:numCache>
            </c:numRef>
          </c: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1"/>
        <c:axId val="189420596"/>
        <c:axId val="442655253"/>
      </c:lineChart>
      <c:catAx>
        <c:axId val="18942059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</a:p>
        </c:txPr>
        <c:crossAx val="442655253"/>
        <c:crosses val="autoZero"/>
        <c:auto val="1"/>
        <c:lblAlgn val="ctr"/>
        <c:lblOffset val="100"/>
        <c:noMultiLvlLbl val="0"/>
      </c:catAx>
      <c:valAx>
        <c:axId val="44265525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prstDash val="solid"/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 w="12700" cap="flat" cmpd="sng" algn="ctr">
            <a:noFill/>
            <a:prstDash val="solid"/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</a:p>
        </c:txPr>
        <c:crossAx val="1894205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</a:p>
        </c:txPr>
      </c:legendEntry>
      <c:legendEntry>
        <c:idx val="1"/>
        <c:txPr>
          <a:bodyPr rot="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</a:p>
        </c:txPr>
      </c:legendEntry>
      <c:layout>
        <c:manualLayout>
          <c:xMode val="edge"/>
          <c:yMode val="edge"/>
          <c:x val="0.43825"/>
          <c:y val="0.005"/>
          <c:w val="0.553"/>
          <c:h val="0.068"/>
        </c:manualLayout>
      </c:layout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e51494a3-ca23-4ae9-a09b-30c6b6c2258e}"/>
      </c:ext>
    </c:extLst>
  </c:chart>
  <c:spPr>
    <a:solidFill>
      <a:schemeClr val="bg1"/>
    </a:solidFill>
    <a:ln w="9525" cap="flat" cmpd="sng" algn="ctr">
      <a:solidFill>
        <a:schemeClr val="bg2"/>
      </a:solidFill>
      <a:prstDash val="solid"/>
      <a:round/>
    </a:ln>
    <a:effectLst>
      <a:outerShdw blurRad="50800" dist="38100" dir="13500000" algn="br" rotWithShape="0">
        <a:prstClr val="black">
          <a:alpha val="40000"/>
        </a:prstClr>
      </a:outerShdw>
    </a:effectLst>
  </c:spPr>
  <c:txPr>
    <a:bodyPr wrap="square"/>
    <a:lstStyle/>
    <a:p>
      <a:pPr>
        <a:defRPr lang="zh-CN">
          <a:solidFill>
            <a:schemeClr val="tx2"/>
          </a:solidFill>
        </a:defRPr>
      </a:pPr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0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zh-CN" altLang="en-US" sz="1000">
                <a:solidFill>
                  <a:schemeClr val="tx2"/>
                </a:solidFill>
              </a:rPr>
              <a:t>经代公司保费</a:t>
            </a:r>
            <a:endParaRPr lang="zh-CN" altLang="en-US" sz="1000" b="1" i="0" u="none" strike="noStrike" baseline="0">
              <a:solidFill>
                <a:schemeClr val="tx2"/>
              </a:solidFill>
              <a:latin typeface="等线" panose="02010600030101010101" charset="-122"/>
              <a:ea typeface="等线" panose="02010600030101010101" charset="-122"/>
              <a:cs typeface="等线" panose="02010600030101010101" charset="-122"/>
            </a:endParaRPr>
          </a:p>
        </c:rich>
      </c:tx>
      <c:layout>
        <c:manualLayout>
          <c:xMode val="edge"/>
          <c:yMode val="edge"/>
          <c:x val="0.00361097737120847"/>
          <c:y val="0.00648929266709929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23489343001538"/>
          <c:y val="0.130099228224917"/>
          <c:w val="0.869918699186992"/>
          <c:h val="0.764718853362734"/>
        </c:manualLayout>
      </c:layout>
      <c:barChart>
        <c:barDir val="col"/>
        <c:grouping val="clustered"/>
        <c:varyColors val="0"/>
        <c:ser>
          <c:idx val="2"/>
          <c:order val="0"/>
          <c:tx>
            <c:strRef>
              <c:f>保险类!$F$9</c:f>
              <c:strCache>
                <c:ptCount val="1"/>
                <c:pt idx="0">
                  <c:v>件均保费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cat>
            <c:strRef>
              <c:f>保险类!$G$6:$H$6</c:f>
              <c:strCache>
                <c:ptCount val="2"/>
                <c:pt idx="0">
                  <c:v>盛唐融信</c:v>
                </c:pt>
                <c:pt idx="1">
                  <c:v>君康经纪</c:v>
                </c:pt>
              </c:strCache>
            </c:strRef>
          </c:cat>
          <c:val>
            <c:numRef>
              <c:f>保险类!$G$9:$H$9</c:f>
              <c:numCache>
                <c:formatCode>_ * #,##0.00_ ;_ * \-#,##0.00_ ;_ * "-"??_ ;_ @_ 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val>
        </c:ser>
        <c:ser>
          <c:idx val="3"/>
          <c:order val="1"/>
          <c:tx>
            <c:strRef>
              <c:f>保险类!$F$10</c:f>
              <c:strCache>
                <c:ptCount val="1"/>
                <c:pt idx="0">
                  <c:v>人均保费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cat>
            <c:strRef>
              <c:f>保险类!$G$6:$H$6</c:f>
              <c:strCache>
                <c:ptCount val="2"/>
                <c:pt idx="0">
                  <c:v>盛唐融信</c:v>
                </c:pt>
                <c:pt idx="1">
                  <c:v>君康经纪</c:v>
                </c:pt>
              </c:strCache>
            </c:strRef>
          </c:cat>
          <c:val>
            <c:numRef>
              <c:f>保险类!$G$10:$H$10</c:f>
              <c:numCache>
                <c:formatCode>_ * #,##0.00_ ;_ * \-#,##0.00_ ;_ * "-"??_ ;_ @_ 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233200677"/>
        <c:axId val="758267299"/>
      </c:barChart>
      <c:catAx>
        <c:axId val="233200677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10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</a:p>
        </c:txPr>
        <c:crossAx val="758267299"/>
        <c:crosses val="autoZero"/>
        <c:auto val="1"/>
        <c:lblAlgn val="ctr"/>
        <c:lblOffset val="100"/>
        <c:noMultiLvlLbl val="0"/>
      </c:catAx>
      <c:valAx>
        <c:axId val="7582672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prstDash val="solid"/>
              <a:round/>
            </a:ln>
            <a:effectLst/>
          </c:spPr>
        </c:majorGridlines>
        <c:numFmt formatCode="_(* #,##0_);_(* \(#,##0\);_(* &quot;-&quot;_);_(@_)" sourceLinked="0"/>
        <c:majorTickMark val="none"/>
        <c:minorTickMark val="none"/>
        <c:tickLblPos val="nextTo"/>
        <c:spPr>
          <a:noFill/>
          <a:ln w="12700" cap="flat" cmpd="sng" algn="ctr">
            <a:noFill/>
            <a:prstDash val="solid"/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</a:p>
        </c:txPr>
        <c:crossAx val="23320067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</a:p>
        </c:txPr>
      </c:legendEntry>
      <c:legendEntry>
        <c:idx val="1"/>
        <c:txPr>
          <a:bodyPr rot="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</a:p>
        </c:txPr>
      </c:legendEntry>
      <c:layout>
        <c:manualLayout>
          <c:xMode val="edge"/>
          <c:yMode val="edge"/>
          <c:x val="0.43475"/>
          <c:y val="0.0115"/>
          <c:w val="0.557"/>
          <c:h val="0.092"/>
        </c:manualLayout>
      </c:layout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10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e7ca5fb1-fc84-43ce-9d2d-d9d1452cf088}"/>
      </c:ext>
    </c:extLst>
  </c:chart>
  <c:spPr>
    <a:solidFill>
      <a:schemeClr val="bg1"/>
    </a:solidFill>
    <a:ln w="9525" cap="flat" cmpd="sng" algn="ctr">
      <a:solidFill>
        <a:schemeClr val="bg2"/>
      </a:solidFill>
      <a:prstDash val="solid"/>
      <a:round/>
    </a:ln>
    <a:effectLst>
      <a:outerShdw blurRad="50800" dist="38100" dir="13500000" algn="br" rotWithShape="0">
        <a:prstClr val="black">
          <a:alpha val="40000"/>
        </a:prstClr>
      </a:outerShdw>
    </a:effectLst>
  </c:spPr>
  <c:txPr>
    <a:bodyPr wrap="square"/>
    <a:lstStyle/>
    <a:p>
      <a:pPr>
        <a:defRPr lang="zh-CN" sz="1000">
          <a:solidFill>
            <a:schemeClr val="tx2"/>
          </a:solidFill>
        </a:defRPr>
      </a:pPr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0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zh-CN" altLang="en-US" sz="1000">
                <a:solidFill>
                  <a:schemeClr val="tx2"/>
                </a:solidFill>
              </a:rPr>
              <a:t>经代公司人力</a:t>
            </a:r>
            <a:endParaRPr lang="zh-CN" altLang="en-US" sz="1000" b="1" i="0" u="none" strike="noStrike" baseline="0">
              <a:solidFill>
                <a:schemeClr val="tx2"/>
              </a:solidFill>
              <a:latin typeface="等线" panose="02010600030101010101" charset="-122"/>
              <a:ea typeface="等线" panose="02010600030101010101" charset="-122"/>
              <a:cs typeface="等线" panose="02010600030101010101" charset="-122"/>
            </a:endParaRPr>
          </a:p>
        </c:rich>
      </c:tx>
      <c:layout>
        <c:manualLayout>
          <c:xMode val="edge"/>
          <c:yMode val="edge"/>
          <c:x val="0.00361097737120847"/>
          <c:y val="0.0062748379000209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14144522693457"/>
          <c:y val="0.114689016321129"/>
          <c:w val="0.78486319505737"/>
          <c:h val="0.78010586678429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保险类!$F$2</c:f>
              <c:strCache>
                <c:ptCount val="1"/>
                <c:pt idx="0">
                  <c:v>月末人力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cat>
            <c:strRef>
              <c:f>保险类!$G$1:$H$1</c:f>
              <c:strCache>
                <c:ptCount val="2"/>
                <c:pt idx="0">
                  <c:v>盛唐融信</c:v>
                </c:pt>
                <c:pt idx="1">
                  <c:v>君康经纪</c:v>
                </c:pt>
              </c:strCache>
            </c:strRef>
          </c:cat>
          <c:val>
            <c:numRef>
              <c:f>保险类!$G$2:$H$2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val>
        </c:ser>
        <c:ser>
          <c:idx val="1"/>
          <c:order val="1"/>
          <c:tx>
            <c:strRef>
              <c:f>保险类!$F$3</c:f>
              <c:strCache>
                <c:ptCount val="1"/>
                <c:pt idx="0">
                  <c:v>开单人数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cat>
            <c:strRef>
              <c:f>保险类!$G$1:$H$1</c:f>
              <c:strCache>
                <c:ptCount val="2"/>
                <c:pt idx="0">
                  <c:v>盛唐融信</c:v>
                </c:pt>
                <c:pt idx="1">
                  <c:v>君康经纪</c:v>
                </c:pt>
              </c:strCache>
            </c:strRef>
          </c:cat>
          <c:val>
            <c:numRef>
              <c:f>保险类!$G$3:$H$3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82939046"/>
        <c:axId val="777494835"/>
      </c:barChart>
      <c:barChart>
        <c:barDir val="col"/>
        <c:grouping val="clustered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79580840"/>
        <c:axId val="805917162"/>
      </c:barChart>
      <c:lineChart>
        <c:grouping val="standard"/>
        <c:varyColors val="0"/>
        <c:ser>
          <c:idx val="2"/>
          <c:order val="2"/>
          <c:tx>
            <c:strRef>
              <c:f>保险类!$F$4</c:f>
              <c:strCache>
                <c:ptCount val="1"/>
                <c:pt idx="0">
                  <c:v>活动率</c:v>
                </c:pt>
              </c:strCache>
            </c:strRef>
          </c:tx>
          <c:spPr>
            <a:ln w="28575" cap="rnd" cmpd="sng" algn="ctr">
              <a:solidFill>
                <a:schemeClr val="accent3"/>
              </a:solidFill>
              <a:prstDash val="solid"/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cat>
            <c:strRef>
              <c:f>保险类!$G$1:$H$1</c:f>
              <c:strCache>
                <c:ptCount val="2"/>
                <c:pt idx="0">
                  <c:v>盛唐融信</c:v>
                </c:pt>
                <c:pt idx="1">
                  <c:v>君康经纪</c:v>
                </c:pt>
              </c:strCache>
            </c:strRef>
          </c:cat>
          <c:val>
            <c:numRef>
              <c:f>保险类!$G$4:$H$4</c:f>
              <c:numCache>
                <c:formatCode>0.00%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279580840"/>
        <c:axId val="805917162"/>
      </c:lineChart>
      <c:catAx>
        <c:axId val="88293904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10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</a:p>
        </c:txPr>
        <c:crossAx val="777494835"/>
        <c:crosses val="autoZero"/>
        <c:auto val="1"/>
        <c:lblAlgn val="ctr"/>
        <c:lblOffset val="100"/>
        <c:noMultiLvlLbl val="0"/>
      </c:catAx>
      <c:valAx>
        <c:axId val="7774948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prstDash val="solid"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noFill/>
            <a:prstDash val="solid"/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</a:p>
        </c:txPr>
        <c:crossAx val="882939046"/>
        <c:crosses val="autoZero"/>
        <c:crossBetween val="between"/>
      </c:valAx>
      <c:catAx>
        <c:axId val="279580840"/>
        <c:scaling>
          <c:orientation val="minMax"/>
        </c:scaling>
        <c:delete val="1"/>
        <c:axPos val="b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</a:p>
        </c:txPr>
        <c:crossAx val="805917162"/>
        <c:crosses val="autoZero"/>
        <c:auto val="1"/>
        <c:lblAlgn val="ctr"/>
        <c:lblOffset val="100"/>
        <c:noMultiLvlLbl val="0"/>
      </c:catAx>
      <c:valAx>
        <c:axId val="805917162"/>
        <c:scaling>
          <c:orientation val="minMax"/>
        </c:scaling>
        <c:delete val="0"/>
        <c:axPos val="r"/>
        <c:numFmt formatCode="0%" sourceLinked="0"/>
        <c:majorTickMark val="none"/>
        <c:minorTickMark val="none"/>
        <c:tickLblPos val="nextTo"/>
        <c:spPr>
          <a:noFill/>
          <a:ln w="12700" cap="flat" cmpd="sng" algn="ctr">
            <a:noFill/>
            <a:prstDash val="solid"/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</a:p>
        </c:txPr>
        <c:crossAx val="279580840"/>
        <c:crosses val="max"/>
        <c:crossBetween val="between"/>
      </c:valAx>
      <c:spPr>
        <a:noFill/>
        <a:ln>
          <a:noFill/>
        </a:ln>
        <a:effectLst/>
      </c:spPr>
    </c:plotArea>
    <c:legend>
      <c:legendPos val="r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</a:p>
        </c:txPr>
      </c:legendEntry>
      <c:legendEntry>
        <c:idx val="1"/>
        <c:txPr>
          <a:bodyPr rot="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</a:p>
        </c:txPr>
      </c:legendEntry>
      <c:legendEntry>
        <c:idx val="2"/>
        <c:txPr>
          <a:bodyPr rot="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</a:p>
        </c:txPr>
      </c:legendEntry>
      <c:layout>
        <c:manualLayout>
          <c:xMode val="edge"/>
          <c:yMode val="edge"/>
          <c:x val="0.39875"/>
          <c:y val="0.0065"/>
          <c:w val="0.593"/>
          <c:h val="0.064"/>
        </c:manualLayout>
      </c:layout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10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9338369a-4d61-4ad1-bedd-1a1a3c6aba18}"/>
      </c:ext>
    </c:extLst>
  </c:chart>
  <c:spPr>
    <a:solidFill>
      <a:schemeClr val="bg1"/>
    </a:solidFill>
    <a:ln w="9525" cap="flat" cmpd="sng" algn="ctr">
      <a:solidFill>
        <a:schemeClr val="bg2"/>
      </a:solidFill>
      <a:prstDash val="solid"/>
      <a:round/>
    </a:ln>
    <a:effectLst>
      <a:outerShdw blurRad="50800" dist="38100" dir="13500000" algn="br" rotWithShape="0">
        <a:prstClr val="black">
          <a:alpha val="40000"/>
        </a:prstClr>
      </a:outerShdw>
    </a:effectLst>
  </c:spPr>
  <c:txPr>
    <a:bodyPr wrap="square"/>
    <a:lstStyle/>
    <a:p>
      <a:pPr>
        <a:defRPr lang="zh-CN" sz="1000">
          <a:solidFill>
            <a:schemeClr val="tx2"/>
          </a:solidFill>
        </a:defRPr>
      </a:pPr>
    </a:p>
  </c:tx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0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zh-CN" altLang="en-US" sz="1000">
                <a:solidFill>
                  <a:schemeClr val="tx2"/>
                </a:solidFill>
              </a:rPr>
              <a:t>月度规模保费</a:t>
            </a:r>
            <a:endParaRPr lang="zh-CN" altLang="en-US" sz="1000" b="1" i="0" u="none" strike="noStrike" baseline="0">
              <a:solidFill>
                <a:schemeClr val="tx2"/>
              </a:solidFill>
              <a:latin typeface="等线" panose="02010600030101010101" charset="-122"/>
              <a:ea typeface="等线" panose="02010600030101010101" charset="-122"/>
              <a:cs typeface="等线" panose="02010600030101010101" charset="-122"/>
            </a:endParaRPr>
          </a:p>
        </c:rich>
      </c:tx>
      <c:layout>
        <c:manualLayout>
          <c:xMode val="edge"/>
          <c:yMode val="edge"/>
          <c:x val="0.00551215293353478"/>
          <c:y val="0.0064532519324504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50153092467851"/>
          <c:y val="0.13603044826614"/>
          <c:w val="0.798894935261518"/>
          <c:h val="0.684212010149422"/>
        </c:manualLayout>
      </c:layout>
      <c:lineChart>
        <c:grouping val="standard"/>
        <c:varyColors val="0"/>
        <c:ser>
          <c:idx val="0"/>
          <c:order val="0"/>
          <c:tx>
            <c:strRef>
              <c:f>保险类!$G$12</c:f>
              <c:strCache>
                <c:ptCount val="1"/>
                <c:pt idx="0">
                  <c:v>盛唐融信</c:v>
                </c:pt>
              </c:strCache>
            </c:strRef>
          </c:tx>
          <c:spPr>
            <a:ln w="28575" cap="rnd" cmpd="sng" algn="ctr">
              <a:gradFill>
                <a:gsLst>
                  <a:gs pos="100000">
                    <a:schemeClr val="accent1"/>
                  </a:gs>
                  <a:gs pos="0">
                    <a:schemeClr val="accent1">
                      <a:hueOff val="-1670000"/>
                    </a:schemeClr>
                  </a:gs>
                </a:gsLst>
                <a:lin ang="0" scaled="0"/>
              </a:gradFill>
              <a:prstDash val="solid"/>
              <a:round/>
            </a:ln>
            <a:effectLst/>
          </c:spPr>
          <c:marker>
            <c:symbol val="circle"/>
            <c:size val="6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cat>
            <c:strRef>
              <c:f>保险类!$F$13:$F$24</c:f>
              <c:strCache>
                <c:ptCount val="12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</c:strCache>
            </c:strRef>
          </c:cat>
          <c:val>
            <c:numRef>
              <c:f>保险类!$G$13:$G$24</c:f>
              <c:numCache>
                <c:formatCode>_ * #,##0.00_ ;_ * \-#,##0.00_ ;_ * "-"??_ ;_ @_ </c:formatCode>
                <c:ptCount val="12"/>
                <c:pt idx="0">
                  <c:v>7.1105</c:v>
                </c:pt>
                <c:pt idx="2">
                  <c:v>0.2142</c:v>
                </c:pt>
                <c:pt idx="3">
                  <c:v>0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保险类!$H$12</c:f>
              <c:strCache>
                <c:ptCount val="1"/>
                <c:pt idx="0">
                  <c:v>君康经纪</c:v>
                </c:pt>
              </c:strCache>
            </c:strRef>
          </c:tx>
          <c:spPr>
            <a:ln w="28575" cap="rnd" cmpd="sng" algn="ctr">
              <a:gradFill>
                <a:gsLst>
                  <a:gs pos="100000">
                    <a:schemeClr val="accent2"/>
                  </a:gs>
                  <a:gs pos="0">
                    <a:schemeClr val="accent2">
                      <a:hueOff val="-1670000"/>
                    </a:schemeClr>
                  </a:gs>
                </a:gsLst>
                <a:lin ang="0" scaled="0"/>
              </a:gradFill>
              <a:prstDash val="solid"/>
              <a:round/>
            </a:ln>
            <a:effectLst/>
          </c:spPr>
          <c:marker>
            <c:symbol val="circle"/>
            <c:size val="6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cat>
            <c:strRef>
              <c:f>保险类!$F$13:$F$24</c:f>
              <c:strCache>
                <c:ptCount val="12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</c:strCache>
            </c:strRef>
          </c:cat>
          <c:val>
            <c:numRef>
              <c:f>保险类!$H$13:$H$24</c:f>
              <c:numCache>
                <c:formatCode>_ * #,##0.00_ ;_ * \-#,##0.00_ ;_ * "-"??_ ;_ @_ </c:formatCode>
                <c:ptCount val="12"/>
                <c:pt idx="0">
                  <c:v>100</c:v>
                </c:pt>
                <c:pt idx="1">
                  <c:v>0.51</c:v>
                </c:pt>
                <c:pt idx="2">
                  <c:v>1.34</c:v>
                </c:pt>
                <c:pt idx="3">
                  <c:v>0.2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</c:numCache>
            </c:numRef>
          </c: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1"/>
        <c:axId val="629120188"/>
        <c:axId val="128944742"/>
      </c:lineChart>
      <c:catAx>
        <c:axId val="62912018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  <a:effectLst/>
        </c:spPr>
        <c:txPr>
          <a:bodyPr rot="21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</a:p>
        </c:txPr>
        <c:crossAx val="128944742"/>
        <c:crosses val="autoZero"/>
        <c:auto val="1"/>
        <c:lblAlgn val="ctr"/>
        <c:lblOffset val="100"/>
        <c:noMultiLvlLbl val="0"/>
      </c:catAx>
      <c:valAx>
        <c:axId val="128944742"/>
        <c:scaling>
          <c:orientation val="minMax"/>
          <c:min val="-20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prstDash val="solid"/>
              <a:round/>
            </a:ln>
            <a:effectLst/>
          </c:spPr>
        </c:majorGridlines>
        <c:numFmt formatCode="_ * #,##0.00_ ;_ * \-#,##0.00_ ;_ * &quot;-&quot;??_ ;_ @_ " sourceLinked="1"/>
        <c:majorTickMark val="none"/>
        <c:minorTickMark val="none"/>
        <c:tickLblPos val="nextTo"/>
        <c:spPr>
          <a:noFill/>
          <a:ln w="12700" cap="flat" cmpd="sng" algn="ctr">
            <a:noFill/>
            <a:prstDash val="solid"/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</a:p>
        </c:txPr>
        <c:crossAx val="6291201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</a:p>
        </c:txPr>
      </c:legendEntry>
      <c:legendEntry>
        <c:idx val="1"/>
        <c:txPr>
          <a:bodyPr rot="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</a:p>
        </c:txPr>
      </c:legendEntry>
      <c:layout>
        <c:manualLayout>
          <c:xMode val="edge"/>
          <c:yMode val="edge"/>
          <c:x val="0.422"/>
          <c:y val="0.0065"/>
          <c:w val="0.56925"/>
          <c:h val="0.084"/>
        </c:manualLayout>
      </c:layout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756212a1-52f7-4040-af27-00fb6965f1a2}"/>
      </c:ext>
    </c:extLst>
  </c:chart>
  <c:spPr>
    <a:solidFill>
      <a:schemeClr val="bg1"/>
    </a:solidFill>
    <a:ln w="9525" cap="flat" cmpd="sng" algn="ctr">
      <a:solidFill>
        <a:schemeClr val="bg2"/>
      </a:solidFill>
      <a:prstDash val="solid"/>
      <a:round/>
    </a:ln>
    <a:effectLst>
      <a:outerShdw blurRad="50800" dist="38100" dir="13500000" algn="br" rotWithShape="0">
        <a:prstClr val="black">
          <a:alpha val="40000"/>
        </a:prstClr>
      </a:outerShdw>
    </a:effectLst>
  </c:spPr>
  <c:txPr>
    <a:bodyPr wrap="square"/>
    <a:lstStyle/>
    <a:p>
      <a:pPr>
        <a:defRPr lang="zh-CN">
          <a:solidFill>
            <a:schemeClr val="tx2"/>
          </a:solidFill>
        </a:defRPr>
      </a:pPr>
    </a:p>
  </c:tx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000" b="1" i="0" u="none" strike="noStrike" kern="1200" baseline="0">
                <a:solidFill>
                  <a:schemeClr val="tx2"/>
                </a:solidFill>
                <a:latin typeface="+mn-ea"/>
                <a:ea typeface="+mn-ea"/>
                <a:cs typeface="+mn-ea"/>
                <a:sym typeface="+mn-ea"/>
              </a:defRPr>
            </a:pPr>
            <a:r>
              <a:rPr lang="zh-CN" altLang="en-US" sz="1000">
                <a:solidFill>
                  <a:schemeClr val="tx2"/>
                </a:solidFill>
                <a:latin typeface="+mn-ea"/>
                <a:ea typeface="+mn-ea"/>
                <a:cs typeface="+mn-ea"/>
                <a:sym typeface="+mn-ea"/>
              </a:rPr>
              <a:t>任务进度</a:t>
            </a:r>
            <a:endParaRPr lang="zh-CN" altLang="en-US" sz="1000" b="1" i="0" u="none" strike="noStrike" baseline="0">
              <a:solidFill>
                <a:schemeClr val="tx2"/>
              </a:solidFill>
              <a:latin typeface="+mn-ea"/>
              <a:ea typeface="+mn-ea"/>
              <a:cs typeface="+mn-ea"/>
              <a:sym typeface="+mn-ea"/>
            </a:endParaRPr>
          </a:p>
        </c:rich>
      </c:tx>
      <c:layout>
        <c:manualLayout>
          <c:xMode val="edge"/>
          <c:yMode val="edge"/>
          <c:x val="0.445"/>
          <c:y val="0.00694605232692753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0958939421837599"/>
          <c:y val="0.188821752265861"/>
          <c:w val="0.791824709998159"/>
          <c:h val="0.69688589356263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北京中言!$D$1</c:f>
              <c:strCache>
                <c:ptCount val="1"/>
                <c:pt idx="0">
                  <c:v>年度目标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北京中言!$C$2:$C$5</c:f>
              <c:strCache>
                <c:ptCount val="4"/>
                <c:pt idx="0">
                  <c:v>营业收入</c:v>
                </c:pt>
                <c:pt idx="1">
                  <c:v>EBITDA</c:v>
                </c:pt>
                <c:pt idx="2">
                  <c:v>经营活动净现金流</c:v>
                </c:pt>
                <c:pt idx="3">
                  <c:v>经营支出</c:v>
                </c:pt>
              </c:strCache>
            </c:strRef>
          </c:cat>
          <c:val>
            <c:numRef>
              <c:f>北京中言!$D$2:$D$5</c:f>
              <c:numCache>
                <c:formatCode>_ * #,##0.00_ ;[Red]_ * \-#,##0.00_ ;_ * "-"??_ ;_ @_ </c:formatCode>
                <c:ptCount val="4"/>
                <c:pt idx="0">
                  <c:v>8093.17311009175</c:v>
                </c:pt>
                <c:pt idx="1">
                  <c:v>3056.20752709174</c:v>
                </c:pt>
                <c:pt idx="2">
                  <c:v>112.83541569</c:v>
                </c:pt>
                <c:pt idx="3">
                  <c:v>2263.965583</c:v>
                </c:pt>
              </c:numCache>
            </c:numRef>
          </c:val>
        </c:ser>
        <c:ser>
          <c:idx val="1"/>
          <c:order val="1"/>
          <c:tx>
            <c:strRef>
              <c:f>北京中言!$E$1</c:f>
              <c:strCache>
                <c:ptCount val="1"/>
                <c:pt idx="0">
                  <c:v>实际达成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北京中言!$C$2:$C$5</c:f>
              <c:strCache>
                <c:ptCount val="4"/>
                <c:pt idx="0">
                  <c:v>营业收入</c:v>
                </c:pt>
                <c:pt idx="1">
                  <c:v>EBITDA</c:v>
                </c:pt>
                <c:pt idx="2">
                  <c:v>经营活动净现金流</c:v>
                </c:pt>
                <c:pt idx="3">
                  <c:v>经营支出</c:v>
                </c:pt>
              </c:strCache>
            </c:strRef>
          </c:cat>
          <c:val>
            <c:numRef>
              <c:f>北京中言!$E$2:$E$5</c:f>
              <c:numCache>
                <c:formatCode>_ * #,##0.00_ ;[Red]_ * \-#,##0.00_ ;_ * "-"??_ ;_ @_ </c:formatCode>
                <c:ptCount val="4"/>
                <c:pt idx="0">
                  <c:v>2295.837013</c:v>
                </c:pt>
                <c:pt idx="1">
                  <c:v>1490.943763</c:v>
                </c:pt>
                <c:pt idx="2">
                  <c:v>253.385549</c:v>
                </c:pt>
                <c:pt idx="3">
                  <c:v>140.690964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50119877"/>
        <c:axId val="130070554"/>
      </c:barChart>
      <c:lineChart>
        <c:grouping val="standard"/>
        <c:varyColors val="0"/>
        <c:ser>
          <c:idx val="2"/>
          <c:order val="2"/>
          <c:tx>
            <c:strRef>
              <c:f>北京中言!$F$1</c:f>
              <c:strCache>
                <c:ptCount val="1"/>
                <c:pt idx="0">
                  <c:v>年度目标达成率</c:v>
                </c:pt>
              </c:strCache>
            </c:strRef>
          </c:tx>
          <c:spPr>
            <a:ln w="28575" cap="rnd" cmpd="sng" algn="ctr">
              <a:solidFill>
                <a:schemeClr val="accent3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 cap="flat" cmpd="sng" algn="ctr">
                <a:solidFill>
                  <a:schemeClr val="accent3"/>
                </a:solidFill>
                <a:prstDash val="solid"/>
                <a:round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700" b="0" i="0" u="none" strike="noStrike" kern="1200" baseline="0">
                    <a:solidFill>
                      <a:schemeClr val="tx2"/>
                    </a:solidFill>
                    <a:latin typeface="+mn-ea"/>
                    <a:ea typeface="+mn-ea"/>
                    <a:cs typeface="+mn-ea"/>
                    <a:sym typeface="+mn-ea"/>
                  </a:defRPr>
                </a:pPr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cat>
            <c:strRef>
              <c:f>北京中言!$C$2:$C$5</c:f>
              <c:strCache>
                <c:ptCount val="4"/>
                <c:pt idx="0">
                  <c:v>营业收入</c:v>
                </c:pt>
                <c:pt idx="1">
                  <c:v>EBITDA</c:v>
                </c:pt>
                <c:pt idx="2">
                  <c:v>经营活动净现金流</c:v>
                </c:pt>
                <c:pt idx="3">
                  <c:v>经营支出</c:v>
                </c:pt>
              </c:strCache>
            </c:strRef>
          </c:cat>
          <c:val>
            <c:numRef>
              <c:f>北京中言!$F$2:$F$5</c:f>
              <c:numCache>
                <c:formatCode>_ * #,##0.00%_ ;[Red]_ * \-#,##0.00%_ ;_ * "-"??_ ;_ @_ </c:formatCode>
                <c:ptCount val="4"/>
                <c:pt idx="0">
                  <c:v>0.283675757551413</c:v>
                </c:pt>
                <c:pt idx="1">
                  <c:v>0.487841139642362</c:v>
                </c:pt>
                <c:pt idx="2">
                  <c:v>2.24562073397365</c:v>
                </c:pt>
                <c:pt idx="3">
                  <c:v>0.0621435966414159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5297007"/>
        <c:axId val="826545153"/>
      </c:lineChart>
      <c:catAx>
        <c:axId val="250119877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  <a:effectLst/>
        </c:spPr>
        <c:txPr>
          <a:bodyPr rot="42000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2"/>
                </a:solidFill>
                <a:latin typeface="+mn-ea"/>
                <a:ea typeface="+mn-ea"/>
                <a:cs typeface="+mn-ea"/>
                <a:sym typeface="+mn-ea"/>
              </a:defRPr>
            </a:pPr>
          </a:p>
        </c:txPr>
        <c:crossAx val="130070554"/>
        <c:crosses val="autoZero"/>
        <c:auto val="1"/>
        <c:lblAlgn val="ctr"/>
        <c:lblOffset val="100"/>
        <c:noMultiLvlLbl val="0"/>
      </c:catAx>
      <c:valAx>
        <c:axId val="13007055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prstDash val="solid"/>
              <a:round/>
            </a:ln>
            <a:effectLst/>
          </c:spPr>
        </c:majorGridlines>
        <c:numFmt formatCode="#,##0_);[Red]\(#,##0\)" sourceLinked="0"/>
        <c:majorTickMark val="none"/>
        <c:minorTickMark val="none"/>
        <c:tickLblPos val="nextTo"/>
        <c:spPr>
          <a:noFill/>
          <a:ln w="12700" cap="flat" cmpd="sng" algn="ctr">
            <a:noFill/>
            <a:prstDash val="solid"/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2"/>
                </a:solidFill>
                <a:latin typeface="+mn-ea"/>
                <a:ea typeface="+mn-ea"/>
                <a:cs typeface="+mn-ea"/>
                <a:sym typeface="+mn-ea"/>
              </a:defRPr>
            </a:pPr>
          </a:p>
        </c:txPr>
        <c:crossAx val="250119877"/>
        <c:crosses val="autoZero"/>
        <c:crossBetween val="between"/>
      </c:valAx>
      <c:catAx>
        <c:axId val="165297007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2"/>
                </a:solidFill>
                <a:latin typeface="+mn-ea"/>
                <a:ea typeface="+mn-ea"/>
                <a:cs typeface="+mn-ea"/>
                <a:sym typeface="+mn-ea"/>
              </a:defRPr>
            </a:pPr>
          </a:p>
        </c:txPr>
        <c:crossAx val="826545153"/>
        <c:crosses val="autoZero"/>
        <c:auto val="1"/>
        <c:lblAlgn val="ctr"/>
        <c:lblOffset val="100"/>
        <c:noMultiLvlLbl val="0"/>
      </c:catAx>
      <c:valAx>
        <c:axId val="826545153"/>
        <c:scaling>
          <c:orientation val="minMax"/>
        </c:scaling>
        <c:delete val="0"/>
        <c:axPos val="r"/>
        <c:numFmt formatCode="0%" sourceLinked="0"/>
        <c:majorTickMark val="out"/>
        <c:minorTickMark val="none"/>
        <c:tickLblPos val="nextTo"/>
        <c:spPr>
          <a:noFill/>
          <a:ln w="12700" cap="flat" cmpd="sng" algn="ctr">
            <a:noFill/>
            <a:prstDash val="solid"/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2"/>
                </a:solidFill>
                <a:latin typeface="+mn-ea"/>
                <a:ea typeface="+mn-ea"/>
                <a:cs typeface="+mn-ea"/>
                <a:sym typeface="+mn-ea"/>
              </a:defRPr>
            </a:pPr>
          </a:p>
        </c:txPr>
        <c:crossAx val="165297007"/>
        <c:crosses val="max"/>
        <c:crossBetween val="between"/>
      </c:valAx>
      <c:spPr>
        <a:noFill/>
        <a:ln>
          <a:noFill/>
        </a:ln>
        <a:effectLst/>
      </c:spPr>
    </c:plotArea>
    <c:legend>
      <c:legendPos val="r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2"/>
                </a:solidFill>
                <a:latin typeface="+mn-ea"/>
                <a:ea typeface="+mn-ea"/>
                <a:cs typeface="+mn-ea"/>
                <a:sym typeface="+mn-ea"/>
              </a:defRPr>
            </a:pPr>
          </a:p>
        </c:txPr>
      </c:legendEntry>
      <c:legendEntry>
        <c:idx val="1"/>
        <c:txPr>
          <a:bodyPr rot="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2"/>
                </a:solidFill>
                <a:latin typeface="+mn-ea"/>
                <a:ea typeface="+mn-ea"/>
                <a:cs typeface="+mn-ea"/>
                <a:sym typeface="+mn-ea"/>
              </a:defRPr>
            </a:pPr>
          </a:p>
        </c:txPr>
      </c:legendEntry>
      <c:legendEntry>
        <c:idx val="2"/>
        <c:txPr>
          <a:bodyPr rot="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2"/>
                </a:solidFill>
                <a:latin typeface="+mn-ea"/>
                <a:ea typeface="+mn-ea"/>
                <a:cs typeface="+mn-ea"/>
                <a:sym typeface="+mn-ea"/>
              </a:defRPr>
            </a:pPr>
          </a:p>
        </c:txPr>
      </c:legendEntry>
      <c:layout>
        <c:manualLayout>
          <c:xMode val="edge"/>
          <c:yMode val="edge"/>
          <c:x val="0.0055"/>
          <c:y val="0.07925"/>
          <c:w val="0.98675"/>
          <c:h val="0.102"/>
        </c:manualLayout>
      </c:layout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700" b="0" i="0" u="none" strike="noStrike" kern="1200" baseline="0">
              <a:solidFill>
                <a:schemeClr val="tx2"/>
              </a:solidFill>
              <a:latin typeface="+mn-ea"/>
              <a:ea typeface="+mn-ea"/>
              <a:cs typeface="+mn-ea"/>
              <a:sym typeface="+mn-ea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2d592cfb-ae31-4d4d-911d-41a7a9b9e9d1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  <a:effectLst>
      <a:outerShdw blurRad="50800" dist="38100" dir="13500000" algn="br" rotWithShape="0">
        <a:prstClr val="black">
          <a:alpha val="40000"/>
        </a:prstClr>
      </a:outerShdw>
    </a:effectLst>
  </c:spPr>
  <c:txPr>
    <a:bodyPr wrap="square"/>
    <a:lstStyle/>
    <a:p>
      <a:pPr>
        <a:defRPr lang="zh-CN" sz="700">
          <a:solidFill>
            <a:schemeClr val="tx2"/>
          </a:solidFill>
          <a:latin typeface="+mn-ea"/>
          <a:ea typeface="+mn-ea"/>
          <a:cs typeface="+mn-ea"/>
          <a:sym typeface="+mn-ea"/>
        </a:defRPr>
      </a:pPr>
    </a:p>
  </c:tx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000" b="1" i="0" u="none" strike="noStrike" kern="1200" baseline="0">
                <a:solidFill>
                  <a:schemeClr val="tx2"/>
                </a:solidFill>
                <a:latin typeface="+mn-ea"/>
                <a:ea typeface="+mn-ea"/>
                <a:cs typeface="+mn-ea"/>
                <a:sym typeface="+mn-ea"/>
              </a:defRPr>
            </a:pPr>
            <a:r>
              <a:rPr lang="zh-CN" altLang="en-US" sz="1000">
                <a:solidFill>
                  <a:schemeClr val="tx2"/>
                </a:solidFill>
                <a:latin typeface="+mn-ea"/>
                <a:ea typeface="+mn-ea"/>
                <a:cs typeface="+mn-ea"/>
                <a:sym typeface="+mn-ea"/>
              </a:rPr>
              <a:t>营收比较</a:t>
            </a:r>
            <a:endParaRPr lang="zh-CN" altLang="en-US" sz="1000" b="1" i="0" u="none" strike="noStrike" baseline="0">
              <a:solidFill>
                <a:schemeClr val="tx2"/>
              </a:solidFill>
              <a:latin typeface="+mn-ea"/>
              <a:ea typeface="+mn-ea"/>
              <a:cs typeface="+mn-ea"/>
              <a:sym typeface="+mn-ea"/>
            </a:endParaRPr>
          </a:p>
        </c:rich>
      </c:tx>
      <c:layout>
        <c:manualLayout>
          <c:xMode val="edge"/>
          <c:yMode val="edge"/>
          <c:x val="0.457999545333275"/>
          <c:y val="0.00653879686137751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0936844043454244"/>
          <c:y val="0.188705554264467"/>
          <c:w val="0.900791751058737"/>
          <c:h val="0.732558679990704"/>
        </c:manualLayout>
      </c:layout>
      <c:barChart>
        <c:barDir val="col"/>
        <c:grouping val="clustered"/>
        <c:varyColors val="0"/>
        <c:ser>
          <c:idx val="1"/>
          <c:order val="1"/>
          <c:tx>
            <c:strRef>
              <c:f>北京中言!$F$35</c:f>
              <c:strCache>
                <c:ptCount val="1"/>
                <c:pt idx="0">
                  <c:v>同期营收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北京中言!$G$33:$R$33</c:f>
              <c:strCache>
                <c:ptCount val="12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</c:strCache>
            </c:strRef>
          </c:cat>
          <c:val>
            <c:numRef>
              <c:f>北京中言!$G$35:$R$35</c:f>
              <c:numCache>
                <c:formatCode>_ * #,##0.00_ ;[Red]_ * \-#,##0.00_ ;_ * "-"??_ ;_ @_ </c:formatCode>
                <c:ptCount val="12"/>
                <c:pt idx="0">
                  <c:v>729.336739</c:v>
                </c:pt>
                <c:pt idx="1">
                  <c:v>719.886335</c:v>
                </c:pt>
                <c:pt idx="2">
                  <c:v>723.075478</c:v>
                </c:pt>
                <c:pt idx="3">
                  <c:v>660.432619</c:v>
                </c:pt>
                <c:pt idx="4">
                  <c:v>664.38903</c:v>
                </c:pt>
                <c:pt idx="5">
                  <c:v>648.150764</c:v>
                </c:pt>
                <c:pt idx="6">
                  <c:v>706.884575</c:v>
                </c:pt>
                <c:pt idx="7">
                  <c:v>750.77023</c:v>
                </c:pt>
                <c:pt idx="8">
                  <c:v>760.987513</c:v>
                </c:pt>
                <c:pt idx="9">
                  <c:v>753.240244</c:v>
                </c:pt>
                <c:pt idx="10">
                  <c:v>811.208039</c:v>
                </c:pt>
                <c:pt idx="11">
                  <c:v>955.272388</c:v>
                </c:pt>
              </c:numCache>
            </c:numRef>
          </c:val>
        </c:ser>
        <c:ser>
          <c:idx val="2"/>
          <c:order val="2"/>
          <c:tx>
            <c:strRef>
              <c:f>北京中言!$F$36</c:f>
              <c:strCache>
                <c:ptCount val="1"/>
                <c:pt idx="0">
                  <c:v>营收分解计划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北京中言!$G$33:$R$33</c:f>
              <c:strCache>
                <c:ptCount val="12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</c:strCache>
            </c:strRef>
          </c:cat>
          <c:val>
            <c:numRef>
              <c:f>北京中言!$G$36:$R$36</c:f>
              <c:numCache>
                <c:formatCode>_ * #,##0.00_ ;[Red]_ * \-#,##0.00_ ;_ * "-"??_ ;_ @_ </c:formatCode>
                <c:ptCount val="12"/>
                <c:pt idx="0">
                  <c:v>732.94</c:v>
                </c:pt>
                <c:pt idx="1">
                  <c:v>699.13</c:v>
                </c:pt>
                <c:pt idx="2">
                  <c:v>669.14</c:v>
                </c:pt>
                <c:pt idx="3">
                  <c:v>674.14</c:v>
                </c:pt>
                <c:pt idx="4">
                  <c:v>653.32</c:v>
                </c:pt>
                <c:pt idx="5">
                  <c:v>658.05</c:v>
                </c:pt>
                <c:pt idx="6">
                  <c:v>667.560518348624</c:v>
                </c:pt>
                <c:pt idx="7">
                  <c:v>672.560518348624</c:v>
                </c:pt>
                <c:pt idx="8">
                  <c:v>695.580518348624</c:v>
                </c:pt>
                <c:pt idx="9">
                  <c:v>658.280518348624</c:v>
                </c:pt>
                <c:pt idx="10">
                  <c:v>637.900518348624</c:v>
                </c:pt>
                <c:pt idx="11">
                  <c:v>674.570518348624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58383716"/>
        <c:axId val="68238753"/>
      </c:barChart>
      <c:scatterChart>
        <c:scatterStyle val="smoothMarker"/>
        <c:varyColors val="0"/>
        <c:ser>
          <c:idx val="0"/>
          <c:order val="0"/>
          <c:tx>
            <c:strRef>
              <c:f>北京中言!$F$34</c:f>
              <c:strCache>
                <c:ptCount val="1"/>
                <c:pt idx="0">
                  <c:v>营业收入</c:v>
                </c:pt>
              </c:strCache>
            </c:strRef>
          </c:tx>
          <c:spPr>
            <a:ln w="28575" cap="rnd" cmpd="sng" algn="ctr">
              <a:solidFill>
                <a:schemeClr val="accent1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 cap="flat" cmpd="sng" algn="ctr">
                <a:solidFill>
                  <a:schemeClr val="accent1"/>
                </a:solidFill>
                <a:prstDash val="solid"/>
                <a:round/>
              </a:ln>
              <a:effectLst/>
            </c:spPr>
          </c:marker>
          <c:dLbls>
            <c:delete val="1"/>
          </c:dLbls>
          <c:xVal>
            <c:strRef>
              <c:f>北京中言!$G$33:$R$33</c:f>
              <c:strCache>
                <c:ptCount val="12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</c:strCache>
            </c:strRef>
          </c:xVal>
          <c:yVal>
            <c:numRef>
              <c:f>北京中言!$G$34:$R$34</c:f>
              <c:numCache>
                <c:formatCode>_ * #,##0.00_ ;[Red]_ * \-#,##0.00_ ;_ * "-"??_ ;_ @_ </c:formatCode>
                <c:ptCount val="12"/>
                <c:pt idx="0">
                  <c:v>580.609306</c:v>
                </c:pt>
                <c:pt idx="1">
                  <c:v>567.205236</c:v>
                </c:pt>
                <c:pt idx="2">
                  <c:v>1148.022471</c:v>
                </c:pt>
                <c:pt idx="3">
                  <c:v>0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58383716"/>
        <c:axId val="68238753"/>
      </c:scatterChart>
      <c:catAx>
        <c:axId val="45838371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2"/>
                </a:solidFill>
                <a:latin typeface="OPPO Sans 4.0" panose="00000500000000000000" charset="-122"/>
                <a:ea typeface="OPPO Sans 4.0" panose="00000500000000000000" charset="-122"/>
                <a:cs typeface="OPPO Sans 4.0" panose="00000500000000000000" charset="-122"/>
                <a:sym typeface="OPPO Sans 4.0" panose="00000500000000000000" charset="-122"/>
              </a:defRPr>
            </a:pPr>
          </a:p>
        </c:txPr>
        <c:crossAx val="68238753"/>
        <c:crosses val="autoZero"/>
        <c:auto val="1"/>
        <c:lblAlgn val="ctr"/>
        <c:lblOffset val="100"/>
        <c:noMultiLvlLbl val="0"/>
      </c:catAx>
      <c:valAx>
        <c:axId val="6823875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prstDash val="solid"/>
              <a:round/>
            </a:ln>
            <a:effectLst/>
          </c:spPr>
        </c:majorGridlines>
        <c:numFmt formatCode="#,##0_);[Red]\(#,##0\)" sourceLinked="0"/>
        <c:majorTickMark val="none"/>
        <c:minorTickMark val="none"/>
        <c:tickLblPos val="nextTo"/>
        <c:spPr>
          <a:noFill/>
          <a:ln w="12700" cap="flat" cmpd="sng" algn="ctr">
            <a:noFill/>
            <a:prstDash val="solid"/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2"/>
                </a:solidFill>
                <a:latin typeface="OPPO Sans 4.0" panose="00000500000000000000" charset="-122"/>
                <a:ea typeface="OPPO Sans 4.0" panose="00000500000000000000" charset="-122"/>
                <a:cs typeface="OPPO Sans 4.0" panose="00000500000000000000" charset="-122"/>
                <a:sym typeface="OPPO Sans 4.0" panose="00000500000000000000" charset="-122"/>
              </a:defRPr>
            </a:pPr>
          </a:p>
        </c:txPr>
        <c:crossAx val="4583837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2"/>
                </a:solidFill>
                <a:latin typeface="OPPO Sans 4.0" panose="00000500000000000000" charset="-122"/>
                <a:ea typeface="OPPO Sans 4.0" panose="00000500000000000000" charset="-122"/>
                <a:cs typeface="OPPO Sans 4.0" panose="00000500000000000000" charset="-122"/>
                <a:sym typeface="OPPO Sans 4.0" panose="00000500000000000000" charset="-122"/>
              </a:defRPr>
            </a:pPr>
          </a:p>
        </c:txPr>
      </c:legendEntry>
      <c:legendEntry>
        <c:idx val="1"/>
        <c:txPr>
          <a:bodyPr rot="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2"/>
                </a:solidFill>
                <a:latin typeface="OPPO Sans 4.0" panose="00000500000000000000" charset="-122"/>
                <a:ea typeface="OPPO Sans 4.0" panose="00000500000000000000" charset="-122"/>
                <a:cs typeface="OPPO Sans 4.0" panose="00000500000000000000" charset="-122"/>
                <a:sym typeface="OPPO Sans 4.0" panose="00000500000000000000" charset="-122"/>
              </a:defRPr>
            </a:pPr>
          </a:p>
        </c:txPr>
      </c:legendEntry>
      <c:legendEntry>
        <c:idx val="2"/>
        <c:txPr>
          <a:bodyPr rot="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2"/>
                </a:solidFill>
                <a:latin typeface="OPPO Sans 4.0" panose="00000500000000000000" charset="-122"/>
                <a:ea typeface="OPPO Sans 4.0" panose="00000500000000000000" charset="-122"/>
                <a:cs typeface="OPPO Sans 4.0" panose="00000500000000000000" charset="-122"/>
                <a:sym typeface="OPPO Sans 4.0" panose="00000500000000000000" charset="-122"/>
              </a:defRPr>
            </a:pPr>
          </a:p>
        </c:txPr>
      </c:legendEntry>
      <c:layout>
        <c:manualLayout>
          <c:xMode val="edge"/>
          <c:yMode val="edge"/>
          <c:x val="0.0055"/>
          <c:y val="0.08175"/>
          <c:w val="0.98675"/>
          <c:h val="0.10675"/>
        </c:manualLayout>
      </c:layout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700" b="0" i="0" u="none" strike="noStrike" kern="1200" baseline="0">
              <a:solidFill>
                <a:schemeClr val="tx2"/>
              </a:solidFill>
              <a:latin typeface="OPPO Sans 4.0" panose="00000500000000000000" charset="-122"/>
              <a:ea typeface="OPPO Sans 4.0" panose="00000500000000000000" charset="-122"/>
              <a:cs typeface="OPPO Sans 4.0" panose="00000500000000000000" charset="-122"/>
              <a:sym typeface="OPPO Sans 4.0" panose="00000500000000000000" charset="-122"/>
            </a:defRPr>
          </a:pPr>
        </a:p>
      </c:txPr>
    </c:legend>
    <c:plotVisOnly val="0"/>
    <c:dispBlanksAs val="gap"/>
    <c:showDLblsOverMax val="0"/>
    <c:extLst>
      <c:ext uri="{0b15fc19-7d7d-44ad-8c2d-2c3a37ce22c3}">
        <chartProps xmlns="https://web.wps.cn/et/2018/main" chartId="{47b64dad-ab18-4acb-82a3-1ed7530d7d58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  <a:effectLst>
      <a:outerShdw blurRad="50800" dist="38100" dir="13500000" algn="br" rotWithShape="0">
        <a:prstClr val="black">
          <a:alpha val="40000"/>
        </a:prstClr>
      </a:outerShdw>
    </a:effectLst>
  </c:spPr>
  <c:txPr>
    <a:bodyPr wrap="square"/>
    <a:lstStyle/>
    <a:p>
      <a:pPr>
        <a:defRPr lang="zh-CN" sz="700">
          <a:solidFill>
            <a:schemeClr val="tx2"/>
          </a:solidFill>
          <a:latin typeface="OPPO Sans 4.0" panose="00000500000000000000" charset="-122"/>
          <a:ea typeface="OPPO Sans 4.0" panose="00000500000000000000" charset="-122"/>
          <a:cs typeface="OPPO Sans 4.0" panose="00000500000000000000" charset="-122"/>
          <a:sym typeface="OPPO Sans 4.0" panose="00000500000000000000" charset="-122"/>
        </a:defRPr>
      </a:pPr>
    </a:p>
  </c:txPr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 forceAA="0"/>
          <a:lstStyle/>
          <a:p>
            <a:pPr>
              <a:defRPr lang="zh-CN" sz="1000" b="1" i="0" u="none" strike="noStrike" kern="1200" baseline="0">
                <a:solidFill>
                  <a:schemeClr val="tx2"/>
                </a:solidFill>
                <a:latin typeface="+mn-ea"/>
                <a:ea typeface="+mn-ea"/>
                <a:cs typeface="+mn-ea"/>
                <a:sym typeface="+mn-ea"/>
              </a:defRPr>
            </a:pPr>
            <a:r>
              <a:rPr lang="zh-CN" altLang="en-US" sz="1000" b="1">
                <a:solidFill>
                  <a:schemeClr val="tx2"/>
                </a:solidFill>
                <a:latin typeface="+mn-ea"/>
                <a:ea typeface="+mn-ea"/>
                <a:cs typeface="+mn-ea"/>
                <a:sym typeface="+mn-ea"/>
              </a:rPr>
              <a:t>指标趋势</a:t>
            </a:r>
            <a:endParaRPr lang="zh-CN" altLang="en-US" sz="1000" b="1" i="0" u="none" strike="noStrike" baseline="0">
              <a:solidFill>
                <a:schemeClr val="tx2"/>
              </a:solidFill>
              <a:latin typeface="+mn-ea"/>
              <a:ea typeface="+mn-ea"/>
              <a:cs typeface="+mn-ea"/>
              <a:sym typeface="+mn-ea"/>
            </a:endParaRPr>
          </a:p>
        </c:rich>
      </c:tx>
      <c:layout>
        <c:manualLayout>
          <c:xMode val="edge"/>
          <c:yMode val="edge"/>
          <c:x val="0.417274939172749"/>
          <c:y val="0.00524292205522545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63542625667465"/>
          <c:y val="0.188705554264467"/>
          <c:w val="0.830933529736697"/>
          <c:h val="0.722240297466884"/>
        </c:manualLayout>
      </c:layout>
      <c:lineChart>
        <c:grouping val="standard"/>
        <c:varyColors val="0"/>
        <c:ser>
          <c:idx val="0"/>
          <c:order val="0"/>
          <c:tx>
            <c:strRef>
              <c:f>北京中言!$F$40</c:f>
              <c:strCache>
                <c:ptCount val="1"/>
                <c:pt idx="0">
                  <c:v>营业收入</c:v>
                </c:pt>
              </c:strCache>
            </c:strRef>
          </c:tx>
          <c:spPr>
            <a:ln w="31750" cap="rnd" cmpd="sng" algn="ctr">
              <a:solidFill>
                <a:schemeClr val="accent1"/>
              </a:solidFill>
              <a:prstDash val="solid"/>
              <a:round/>
            </a:ln>
            <a:effectLst/>
          </c:spPr>
          <c:marker>
            <c:symbol val="circle"/>
            <c:size val="7"/>
            <c:spPr>
              <a:solidFill>
                <a:schemeClr val="accent1"/>
              </a:solidFill>
              <a:ln w="28575" cap="flat" cmpd="sng" algn="ctr">
                <a:noFill/>
                <a:prstDash val="solid"/>
                <a:round/>
              </a:ln>
            </c:spPr>
          </c:marker>
          <c:dLbls>
            <c:delete val="1"/>
          </c:dLbls>
          <c:cat>
            <c:strRef>
              <c:f>北京中言!$G$39:$R$39</c:f>
              <c:strCache>
                <c:ptCount val="12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</c:strCache>
            </c:strRef>
          </c:cat>
          <c:val>
            <c:numRef>
              <c:f>北京中言!$G$40:$R$40</c:f>
              <c:numCache>
                <c:formatCode>_ * #,##0.00_ ;_ * \-#,##0.00_ ;_ * "-"??_ ;_ @_ </c:formatCode>
                <c:ptCount val="12"/>
                <c:pt idx="0">
                  <c:v>580.609306</c:v>
                </c:pt>
                <c:pt idx="1">
                  <c:v>567.205236</c:v>
                </c:pt>
                <c:pt idx="2">
                  <c:v>1148.022471</c:v>
                </c:pt>
                <c:pt idx="3">
                  <c:v>0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北京中言!$F$41</c:f>
              <c:strCache>
                <c:ptCount val="1"/>
                <c:pt idx="0">
                  <c:v>EBITDA</c:v>
                </c:pt>
              </c:strCache>
            </c:strRef>
          </c:tx>
          <c:spPr>
            <a:ln w="31750" cap="rnd" cmpd="sng" algn="ctr">
              <a:solidFill>
                <a:schemeClr val="accent2"/>
              </a:solidFill>
              <a:prstDash val="solid"/>
              <a:round/>
            </a:ln>
          </c:spPr>
          <c:marker>
            <c:symbol val="circle"/>
            <c:size val="7"/>
            <c:spPr>
              <a:solidFill>
                <a:schemeClr val="accent2"/>
              </a:solidFill>
              <a:ln w="28575" cap="flat" cmpd="sng" algn="ctr">
                <a:noFill/>
                <a:prstDash val="solid"/>
                <a:round/>
              </a:ln>
            </c:spPr>
          </c:marker>
          <c:dLbls>
            <c:delete val="1"/>
          </c:dLbls>
          <c:cat>
            <c:strRef>
              <c:f>北京中言!$G$39:$R$39</c:f>
              <c:strCache>
                <c:ptCount val="12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</c:strCache>
            </c:strRef>
          </c:cat>
          <c:val>
            <c:numRef>
              <c:f>北京中言!$G$41:$R$41</c:f>
              <c:numCache>
                <c:formatCode>_ * #,##0.00_ ;_ * \-#,##0.00_ ;_ * "-"??_ ;_ @_ </c:formatCode>
                <c:ptCount val="12"/>
                <c:pt idx="0">
                  <c:v>309.206475</c:v>
                </c:pt>
                <c:pt idx="1">
                  <c:v>296.734368</c:v>
                </c:pt>
                <c:pt idx="2">
                  <c:v>885.00292</c:v>
                </c:pt>
                <c:pt idx="3">
                  <c:v>0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北京中言!$F$42</c:f>
              <c:strCache>
                <c:ptCount val="1"/>
                <c:pt idx="0">
                  <c:v>经营活动净现金流</c:v>
                </c:pt>
              </c:strCache>
            </c:strRef>
          </c:tx>
          <c:spPr>
            <a:ln w="31750" cap="rnd" cmpd="sng" algn="ctr">
              <a:solidFill>
                <a:schemeClr val="accent3"/>
              </a:solidFill>
              <a:prstDash val="solid"/>
              <a:round/>
            </a:ln>
          </c:spPr>
          <c:marker>
            <c:symbol val="circle"/>
            <c:size val="7"/>
            <c:spPr>
              <a:solidFill>
                <a:schemeClr val="accent3"/>
              </a:solidFill>
              <a:ln w="28575" cap="flat" cmpd="sng" algn="ctr">
                <a:noFill/>
                <a:prstDash val="solid"/>
                <a:round/>
              </a:ln>
            </c:spPr>
          </c:marker>
          <c:dLbls>
            <c:delete val="1"/>
          </c:dLbls>
          <c:cat>
            <c:strRef>
              <c:f>北京中言!$G$39:$R$39</c:f>
              <c:strCache>
                <c:ptCount val="12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</c:strCache>
            </c:strRef>
          </c:cat>
          <c:val>
            <c:numRef>
              <c:f>北京中言!$G$42:$R$42</c:f>
              <c:numCache>
                <c:formatCode>_ * #,##0.00_ ;_ * \-#,##0.00_ ;_ * "-"??_ ;_ @_ </c:formatCode>
                <c:ptCount val="12"/>
                <c:pt idx="0">
                  <c:v>85.643994</c:v>
                </c:pt>
                <c:pt idx="1">
                  <c:v>883.276996</c:v>
                </c:pt>
                <c:pt idx="2">
                  <c:v>-715.535441</c:v>
                </c:pt>
                <c:pt idx="3">
                  <c:v>0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北京中言!$F$43</c:f>
              <c:strCache>
                <c:ptCount val="1"/>
                <c:pt idx="0">
                  <c:v>经营支出小计</c:v>
                </c:pt>
              </c:strCache>
            </c:strRef>
          </c:tx>
          <c:spPr>
            <a:ln w="31750" cap="rnd" cmpd="sng" algn="ctr">
              <a:solidFill>
                <a:schemeClr val="accent4"/>
              </a:solidFill>
              <a:prstDash val="solid"/>
              <a:round/>
            </a:ln>
          </c:spPr>
          <c:marker>
            <c:symbol val="circle"/>
            <c:size val="7"/>
            <c:spPr>
              <a:solidFill>
                <a:schemeClr val="accent4"/>
              </a:solidFill>
              <a:ln w="28575" cap="flat" cmpd="sng" algn="ctr">
                <a:noFill/>
                <a:prstDash val="solid"/>
                <a:round/>
              </a:ln>
            </c:spPr>
          </c:marker>
          <c:dLbls>
            <c:delete val="1"/>
          </c:dLbls>
          <c:cat>
            <c:strRef>
              <c:f>北京中言!$G$39:$R$39</c:f>
              <c:strCache>
                <c:ptCount val="12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</c:strCache>
            </c:strRef>
          </c:cat>
          <c:val>
            <c:numRef>
              <c:f>北京中言!$G$43:$R$43</c:f>
              <c:numCache>
                <c:formatCode>_ * #,##0.00_ ;_ * \-#,##0.00_ ;_ * "-"??_ ;_ @_ </c:formatCode>
                <c:ptCount val="12"/>
                <c:pt idx="0">
                  <c:v>46.856168</c:v>
                </c:pt>
                <c:pt idx="1">
                  <c:v>43.40538</c:v>
                </c:pt>
                <c:pt idx="2">
                  <c:v>50.429416</c:v>
                </c:pt>
                <c:pt idx="3">
                  <c:v>0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67565651"/>
        <c:axId val="164675761"/>
      </c:lineChart>
      <c:catAx>
        <c:axId val="467565651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low"/>
        <c:spPr>
          <a:noFill/>
          <a:ln w="6350" cap="flat" cmpd="sng" algn="ctr">
            <a:noFill/>
            <a:prstDash val="solid"/>
            <a:round/>
          </a:ln>
        </c:spPr>
        <c:txPr>
          <a:bodyPr rot="-60000000" spcFirstLastPara="0" vertOverflow="ellipsis" vert="horz" wrap="square" anchor="ctr" anchorCtr="1" forceAA="0"/>
          <a:lstStyle/>
          <a:p>
            <a:pPr>
              <a:defRPr lang="zh-CN" sz="800" b="0" i="0" u="none" strike="noStrike" kern="1200" baseline="0">
                <a:solidFill>
                  <a:schemeClr val="tx2"/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</a:p>
        </c:txPr>
        <c:crossAx val="164675761"/>
        <c:crosses val="autoZero"/>
        <c:auto val="1"/>
        <c:lblAlgn val="ctr"/>
        <c:lblOffset val="100"/>
        <c:noMultiLvlLbl val="0"/>
      </c:catAx>
      <c:valAx>
        <c:axId val="16467576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90000"/>
                </a:schemeClr>
              </a:solidFill>
              <a:prstDash val="solid"/>
              <a:round/>
            </a:ln>
          </c:spPr>
        </c:majorGridlines>
        <c:numFmt formatCode="_ * #,##0.00_ ;_ * \-#,##0.00_ ;_ * &quot;-&quot;??_ ;_ @_ " sourceLinked="1"/>
        <c:majorTickMark val="none"/>
        <c:minorTickMark val="in"/>
        <c:tickLblPos val="low"/>
        <c:spPr>
          <a:noFill/>
          <a:ln w="6350" cap="flat" cmpd="sng" algn="ctr">
            <a:noFill/>
            <a:prstDash val="solid"/>
            <a:round/>
          </a:ln>
        </c:spPr>
        <c:txPr>
          <a:bodyPr rot="-60000000" spcFirstLastPara="0" vertOverflow="ellipsis" vert="horz" wrap="square" anchor="ctr" anchorCtr="1" forceAA="0"/>
          <a:lstStyle/>
          <a:p>
            <a:pPr>
              <a:defRPr lang="zh-CN" sz="800" b="0" i="0" u="none" strike="noStrike" kern="1200" baseline="0">
                <a:solidFill>
                  <a:schemeClr val="tx2"/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</a:p>
        </c:txPr>
        <c:crossAx val="467565651"/>
        <c:crosses val="autoZero"/>
        <c:crossBetween val="between"/>
      </c:valAx>
      <c:spPr>
        <a:noFill/>
      </c:spPr>
    </c:plotArea>
    <c:legend>
      <c:legendPos val="r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2"/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</a:p>
        </c:txPr>
      </c:legendEntry>
      <c:legendEntry>
        <c:idx val="1"/>
        <c:txPr>
          <a:bodyPr rot="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2"/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</a:p>
        </c:txPr>
      </c:legendEntry>
      <c:legendEntry>
        <c:idx val="2"/>
        <c:txPr>
          <a:bodyPr rot="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2"/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</a:p>
        </c:txPr>
      </c:legendEntry>
      <c:legendEntry>
        <c:idx val="3"/>
        <c:txPr>
          <a:bodyPr rot="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2"/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</a:p>
        </c:txPr>
      </c:legendEntry>
      <c:layout>
        <c:manualLayout>
          <c:xMode val="edge"/>
          <c:yMode val="edge"/>
          <c:x val="0.0055"/>
          <c:y val="0.08625"/>
          <c:w val="0.987"/>
          <c:h val="0.102"/>
        </c:manualLayout>
      </c:layout>
      <c:overlay val="0"/>
      <c:txPr>
        <a:bodyPr rot="0" spcFirstLastPara="0" vertOverflow="ellipsis" vert="horz" wrap="square" anchor="ctr" anchorCtr="1"/>
        <a:lstStyle/>
        <a:p>
          <a:pPr>
            <a:defRPr lang="zh-CN" sz="700" b="0" i="0" u="none" strike="noStrike" kern="1200" baseline="0">
              <a:solidFill>
                <a:schemeClr val="tx2"/>
              </a:solidFill>
              <a:latin typeface="微软雅黑" panose="020B0503020204020204" charset="-122"/>
              <a:ea typeface="微软雅黑" panose="020B0503020204020204" charset="-122"/>
              <a:cs typeface="微软雅黑" panose="020B0503020204020204" charset="-122"/>
              <a:sym typeface="微软雅黑" panose="020B0503020204020204" charset="-122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db35cf3c-80ca-47e1-90ed-e8aa8803008f}"/>
      </c:ext>
    </c:extLst>
  </c:chart>
  <c:spPr>
    <a:solidFill>
      <a:schemeClr val="bg1"/>
    </a:solidFill>
    <a:ln w="6350" cap="flat" cmpd="sng" algn="ctr">
      <a:solidFill>
        <a:schemeClr val="tx1">
          <a:lumMod val="50000"/>
          <a:lumOff val="50000"/>
          <a:alpha val="25000"/>
        </a:schemeClr>
      </a:solidFill>
      <a:prstDash val="solid"/>
      <a:round/>
    </a:ln>
    <a:effectLst>
      <a:outerShdw blurRad="50800" dist="38100" dir="13500000" algn="br" rotWithShape="0">
        <a:prstClr val="black">
          <a:alpha val="40000"/>
        </a:prstClr>
      </a:outerShdw>
    </a:effectLst>
  </c:spPr>
  <c:txPr>
    <a:bodyPr wrap="square"/>
    <a:lstStyle/>
    <a:p>
      <a:pPr>
        <a:defRPr lang="zh-CN" sz="1000" b="0">
          <a:solidFill>
            <a:schemeClr val="tx2"/>
          </a:solidFill>
          <a:latin typeface="微软雅黑" panose="020B0503020204020204" charset="-122"/>
          <a:ea typeface="微软雅黑" panose="020B0503020204020204" charset="-122"/>
          <a:cs typeface="微软雅黑" panose="020B0503020204020204" charset="-122"/>
          <a:sym typeface="微软雅黑" panose="020B0503020204020204" charset="-122"/>
        </a:defRPr>
      </a:pPr>
    </a:p>
  </c:txPr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000" b="1" i="0" u="none" strike="noStrike" kern="1200" baseline="0">
                <a:solidFill>
                  <a:schemeClr val="tx2"/>
                </a:solidFill>
                <a:latin typeface="+mn-ea"/>
                <a:ea typeface="+mn-ea"/>
                <a:cs typeface="+mn-ea"/>
                <a:sym typeface="+mn-ea"/>
              </a:defRPr>
            </a:pPr>
            <a:r>
              <a:rPr lang="zh-CN" altLang="en-US" sz="1000">
                <a:solidFill>
                  <a:schemeClr val="tx2"/>
                </a:solidFill>
                <a:latin typeface="+mn-ea"/>
                <a:ea typeface="+mn-ea"/>
                <a:cs typeface="+mn-ea"/>
                <a:sym typeface="+mn-ea"/>
              </a:rPr>
              <a:t>任务进度</a:t>
            </a:r>
            <a:endParaRPr lang="zh-CN" altLang="en-US" sz="1000" b="1" i="0" u="none" strike="noStrike" baseline="0">
              <a:solidFill>
                <a:schemeClr val="tx2"/>
              </a:solidFill>
              <a:latin typeface="+mn-ea"/>
              <a:ea typeface="+mn-ea"/>
              <a:cs typeface="+mn-ea"/>
              <a:sym typeface="+mn-ea"/>
            </a:endParaRPr>
          </a:p>
        </c:rich>
      </c:tx>
      <c:layout>
        <c:manualLayout>
          <c:xMode val="edge"/>
          <c:yMode val="edge"/>
          <c:x val="0.445"/>
          <c:y val="0.00694605232692753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0958939421837599"/>
          <c:y val="0.188821752265861"/>
          <c:w val="0.791824709998159"/>
          <c:h val="0.69688589356263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大连凯丹!$D$1</c:f>
              <c:strCache>
                <c:ptCount val="1"/>
                <c:pt idx="0">
                  <c:v>年度目标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大连凯丹!$C$2:$C$5</c:f>
              <c:strCache>
                <c:ptCount val="4"/>
                <c:pt idx="0">
                  <c:v>营业收入</c:v>
                </c:pt>
                <c:pt idx="1">
                  <c:v>EBITDA</c:v>
                </c:pt>
                <c:pt idx="2">
                  <c:v>经营活动净现金流</c:v>
                </c:pt>
                <c:pt idx="3">
                  <c:v>经营支出</c:v>
                </c:pt>
              </c:strCache>
            </c:strRef>
          </c:cat>
          <c:val>
            <c:numRef>
              <c:f>大连凯丹!$D$2:$D$5</c:f>
              <c:numCache>
                <c:formatCode>_ * #,##0.00_ ;[Red]_ * \-#,##0.00_ ;_ * "-"??_ ;_ @_ </c:formatCode>
                <c:ptCount val="4"/>
                <c:pt idx="0">
                  <c:v>620.831629715222</c:v>
                </c:pt>
                <c:pt idx="1">
                  <c:v>259.978429715222</c:v>
                </c:pt>
                <c:pt idx="2">
                  <c:v>296.47159212544</c:v>
                </c:pt>
                <c:pt idx="3">
                  <c:v>188.23</c:v>
                </c:pt>
              </c:numCache>
            </c:numRef>
          </c:val>
        </c:ser>
        <c:ser>
          <c:idx val="1"/>
          <c:order val="1"/>
          <c:tx>
            <c:strRef>
              <c:f>大连凯丹!$E$1</c:f>
              <c:strCache>
                <c:ptCount val="1"/>
                <c:pt idx="0">
                  <c:v>实际达成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大连凯丹!$C$2:$C$5</c:f>
              <c:strCache>
                <c:ptCount val="4"/>
                <c:pt idx="0">
                  <c:v>营业收入</c:v>
                </c:pt>
                <c:pt idx="1">
                  <c:v>EBITDA</c:v>
                </c:pt>
                <c:pt idx="2">
                  <c:v>经营活动净现金流</c:v>
                </c:pt>
                <c:pt idx="3">
                  <c:v>经营支出</c:v>
                </c:pt>
              </c:strCache>
            </c:strRef>
          </c:cat>
          <c:val>
            <c:numRef>
              <c:f>大连凯丹!$E$2:$E$5</c:f>
              <c:numCache>
                <c:formatCode>_ * #,##0.00_ ;[Red]_ * \-#,##0.00_ ;_ * "-"??_ ;_ @_ </c:formatCode>
                <c:ptCount val="4"/>
                <c:pt idx="0">
                  <c:v>157.69</c:v>
                </c:pt>
                <c:pt idx="1">
                  <c:v>83.87</c:v>
                </c:pt>
                <c:pt idx="2">
                  <c:v>257.71</c:v>
                </c:pt>
                <c:pt idx="3">
                  <c:v>30.45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37329593"/>
        <c:axId val="880726576"/>
      </c:barChart>
      <c:lineChart>
        <c:grouping val="standard"/>
        <c:varyColors val="0"/>
        <c:ser>
          <c:idx val="2"/>
          <c:order val="2"/>
          <c:tx>
            <c:strRef>
              <c:f>大连凯丹!$F$1</c:f>
              <c:strCache>
                <c:ptCount val="1"/>
                <c:pt idx="0">
                  <c:v>年度目标达成率</c:v>
                </c:pt>
              </c:strCache>
            </c:strRef>
          </c:tx>
          <c:spPr>
            <a:ln w="28575" cap="rnd" cmpd="sng" algn="ctr">
              <a:solidFill>
                <a:schemeClr val="accent3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 cap="flat" cmpd="sng" algn="ctr">
                <a:solidFill>
                  <a:schemeClr val="accent3"/>
                </a:solidFill>
                <a:prstDash val="solid"/>
                <a:round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700" b="0" i="0" u="none" strike="noStrike" kern="1200" baseline="0">
                    <a:solidFill>
                      <a:schemeClr val="tx2"/>
                    </a:solidFill>
                    <a:latin typeface="+mn-ea"/>
                    <a:ea typeface="+mn-ea"/>
                    <a:cs typeface="+mn-ea"/>
                    <a:sym typeface="+mn-ea"/>
                  </a:defRPr>
                </a:pPr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cat>
            <c:strRef>
              <c:f>大连凯丹!$C$2:$C$5</c:f>
              <c:strCache>
                <c:ptCount val="4"/>
                <c:pt idx="0">
                  <c:v>营业收入</c:v>
                </c:pt>
                <c:pt idx="1">
                  <c:v>EBITDA</c:v>
                </c:pt>
                <c:pt idx="2">
                  <c:v>经营活动净现金流</c:v>
                </c:pt>
                <c:pt idx="3">
                  <c:v>经营支出</c:v>
                </c:pt>
              </c:strCache>
            </c:strRef>
          </c:cat>
          <c:val>
            <c:numRef>
              <c:f>大连凯丹!$F$2:$F$5</c:f>
              <c:numCache>
                <c:formatCode>_ * #,##0.00%_ ;[Red]_ * \-#,##0.00%_ ;_ * "-"??_ ;_ @_ </c:formatCode>
                <c:ptCount val="4"/>
                <c:pt idx="0">
                  <c:v>0.253998012427835</c:v>
                </c:pt>
                <c:pt idx="1">
                  <c:v>0.322603687128468</c:v>
                </c:pt>
                <c:pt idx="2">
                  <c:v>0.869256977211363</c:v>
                </c:pt>
                <c:pt idx="3">
                  <c:v>0.161770174786166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51770094"/>
        <c:axId val="143370733"/>
      </c:lineChart>
      <c:catAx>
        <c:axId val="537329593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  <a:effectLst/>
        </c:spPr>
        <c:txPr>
          <a:bodyPr rot="42000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2"/>
                </a:solidFill>
                <a:latin typeface="+mn-ea"/>
                <a:ea typeface="+mn-ea"/>
                <a:cs typeface="+mn-ea"/>
                <a:sym typeface="+mn-ea"/>
              </a:defRPr>
            </a:pPr>
          </a:p>
        </c:txPr>
        <c:crossAx val="880726576"/>
        <c:crosses val="autoZero"/>
        <c:auto val="1"/>
        <c:lblAlgn val="ctr"/>
        <c:lblOffset val="100"/>
        <c:noMultiLvlLbl val="0"/>
      </c:catAx>
      <c:valAx>
        <c:axId val="8807265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prstDash val="solid"/>
              <a:round/>
            </a:ln>
            <a:effectLst/>
          </c:spPr>
        </c:majorGridlines>
        <c:numFmt formatCode="#,##0_);[Red]\(#,##0\)" sourceLinked="0"/>
        <c:majorTickMark val="none"/>
        <c:minorTickMark val="none"/>
        <c:tickLblPos val="nextTo"/>
        <c:spPr>
          <a:noFill/>
          <a:ln w="12700" cap="flat" cmpd="sng" algn="ctr">
            <a:noFill/>
            <a:prstDash val="solid"/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2"/>
                </a:solidFill>
                <a:latin typeface="+mn-ea"/>
                <a:ea typeface="+mn-ea"/>
                <a:cs typeface="+mn-ea"/>
                <a:sym typeface="+mn-ea"/>
              </a:defRPr>
            </a:pPr>
          </a:p>
        </c:txPr>
        <c:crossAx val="537329593"/>
        <c:crosses val="autoZero"/>
        <c:crossBetween val="between"/>
      </c:valAx>
      <c:catAx>
        <c:axId val="25177009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2"/>
                </a:solidFill>
                <a:latin typeface="+mn-ea"/>
                <a:ea typeface="+mn-ea"/>
                <a:cs typeface="+mn-ea"/>
                <a:sym typeface="+mn-ea"/>
              </a:defRPr>
            </a:pPr>
          </a:p>
        </c:txPr>
        <c:crossAx val="143370733"/>
        <c:crosses val="autoZero"/>
        <c:auto val="1"/>
        <c:lblAlgn val="ctr"/>
        <c:lblOffset val="100"/>
        <c:noMultiLvlLbl val="0"/>
      </c:catAx>
      <c:valAx>
        <c:axId val="143370733"/>
        <c:scaling>
          <c:orientation val="minMax"/>
        </c:scaling>
        <c:delete val="0"/>
        <c:axPos val="r"/>
        <c:numFmt formatCode="0%" sourceLinked="0"/>
        <c:majorTickMark val="out"/>
        <c:minorTickMark val="none"/>
        <c:tickLblPos val="nextTo"/>
        <c:spPr>
          <a:noFill/>
          <a:ln w="12700" cap="flat" cmpd="sng" algn="ctr">
            <a:noFill/>
            <a:prstDash val="solid"/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2"/>
                </a:solidFill>
                <a:latin typeface="+mn-ea"/>
                <a:ea typeface="+mn-ea"/>
                <a:cs typeface="+mn-ea"/>
                <a:sym typeface="+mn-ea"/>
              </a:defRPr>
            </a:pPr>
          </a:p>
        </c:txPr>
        <c:crossAx val="251770094"/>
        <c:crosses val="max"/>
        <c:crossBetween val="between"/>
      </c:valAx>
      <c:spPr>
        <a:noFill/>
        <a:ln>
          <a:noFill/>
        </a:ln>
        <a:effectLst/>
      </c:spPr>
    </c:plotArea>
    <c:legend>
      <c:legendPos val="r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2"/>
                </a:solidFill>
                <a:latin typeface="+mn-ea"/>
                <a:ea typeface="+mn-ea"/>
                <a:cs typeface="+mn-ea"/>
                <a:sym typeface="+mn-ea"/>
              </a:defRPr>
            </a:pPr>
          </a:p>
        </c:txPr>
      </c:legendEntry>
      <c:legendEntry>
        <c:idx val="1"/>
        <c:txPr>
          <a:bodyPr rot="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2"/>
                </a:solidFill>
                <a:latin typeface="+mn-ea"/>
                <a:ea typeface="+mn-ea"/>
                <a:cs typeface="+mn-ea"/>
                <a:sym typeface="+mn-ea"/>
              </a:defRPr>
            </a:pPr>
          </a:p>
        </c:txPr>
      </c:legendEntry>
      <c:legendEntry>
        <c:idx val="2"/>
        <c:txPr>
          <a:bodyPr rot="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2"/>
                </a:solidFill>
                <a:latin typeface="+mn-ea"/>
                <a:ea typeface="+mn-ea"/>
                <a:cs typeface="+mn-ea"/>
                <a:sym typeface="+mn-ea"/>
              </a:defRPr>
            </a:pPr>
          </a:p>
        </c:txPr>
      </c:legendEntry>
      <c:layout>
        <c:manualLayout>
          <c:xMode val="edge"/>
          <c:yMode val="edge"/>
          <c:x val="0.0055"/>
          <c:y val="0.07925"/>
          <c:w val="0.98675"/>
          <c:h val="0.10225"/>
        </c:manualLayout>
      </c:layout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700" b="0" i="0" u="none" strike="noStrike" kern="1200" baseline="0">
              <a:solidFill>
                <a:schemeClr val="tx2"/>
              </a:solidFill>
              <a:latin typeface="+mn-ea"/>
              <a:ea typeface="+mn-ea"/>
              <a:cs typeface="+mn-ea"/>
              <a:sym typeface="+mn-ea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2611a089-5770-42a9-bd67-773f479f4d1b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  <a:effectLst>
      <a:outerShdw blurRad="50800" dist="38100" dir="13500000" algn="br" rotWithShape="0">
        <a:prstClr val="black">
          <a:alpha val="40000"/>
        </a:prstClr>
      </a:outerShdw>
    </a:effectLst>
  </c:spPr>
  <c:txPr>
    <a:bodyPr wrap="square"/>
    <a:lstStyle/>
    <a:p>
      <a:pPr>
        <a:defRPr lang="zh-CN" sz="700">
          <a:solidFill>
            <a:schemeClr val="tx2"/>
          </a:solidFill>
          <a:latin typeface="+mn-ea"/>
          <a:ea typeface="+mn-ea"/>
          <a:cs typeface="+mn-ea"/>
          <a:sym typeface="+mn-ea"/>
        </a:defRPr>
      </a:pPr>
    </a:p>
  </c:txPr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000" b="1" i="0" u="none" strike="noStrike" kern="1200" baseline="0">
                <a:solidFill>
                  <a:schemeClr val="tx2"/>
                </a:solidFill>
                <a:latin typeface="+mn-ea"/>
                <a:ea typeface="+mn-ea"/>
                <a:cs typeface="+mn-ea"/>
                <a:sym typeface="+mn-ea"/>
              </a:defRPr>
            </a:pPr>
            <a:r>
              <a:rPr lang="zh-CN" altLang="en-US" sz="1000">
                <a:solidFill>
                  <a:schemeClr val="tx2"/>
                </a:solidFill>
                <a:latin typeface="+mn-ea"/>
                <a:ea typeface="+mn-ea"/>
                <a:cs typeface="+mn-ea"/>
                <a:sym typeface="+mn-ea"/>
              </a:rPr>
              <a:t>营收比较</a:t>
            </a:r>
            <a:endParaRPr lang="zh-CN" altLang="en-US" sz="1000" b="1" i="0" u="none" strike="noStrike" baseline="0">
              <a:solidFill>
                <a:schemeClr val="tx2"/>
              </a:solidFill>
              <a:latin typeface="+mn-ea"/>
              <a:ea typeface="+mn-ea"/>
              <a:cs typeface="+mn-ea"/>
              <a:sym typeface="+mn-ea"/>
            </a:endParaRPr>
          </a:p>
        </c:rich>
      </c:tx>
      <c:layout>
        <c:manualLayout>
          <c:xMode val="edge"/>
          <c:yMode val="edge"/>
          <c:x val="0.457999545333275"/>
          <c:y val="0.00653879686137751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0936844043454244"/>
          <c:y val="0.188705554264467"/>
          <c:w val="0.900791751058737"/>
          <c:h val="0.732558679990704"/>
        </c:manualLayout>
      </c:layout>
      <c:barChart>
        <c:barDir val="col"/>
        <c:grouping val="clustered"/>
        <c:varyColors val="0"/>
        <c:ser>
          <c:idx val="1"/>
          <c:order val="1"/>
          <c:tx>
            <c:strRef>
              <c:f>大连凯丹!$F$35</c:f>
              <c:strCache>
                <c:ptCount val="1"/>
                <c:pt idx="0">
                  <c:v>同期营收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大连凯丹!$G$33:$R$33</c:f>
              <c:strCache>
                <c:ptCount val="12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</c:strCache>
            </c:strRef>
          </c:cat>
          <c:val>
            <c:numRef>
              <c:f>大连凯丹!$G$35:$R$35</c:f>
              <c:numCache>
                <c:formatCode>_ * #,##0.00_ ;[Red]_ * \-#,##0.00_ ;_ * "-"??_ ;_ @_ </c:formatCode>
                <c:ptCount val="12"/>
                <c:pt idx="0">
                  <c:v>49.42</c:v>
                </c:pt>
                <c:pt idx="1">
                  <c:v>74.06</c:v>
                </c:pt>
                <c:pt idx="2">
                  <c:v>50.16</c:v>
                </c:pt>
                <c:pt idx="3">
                  <c:v>79.52</c:v>
                </c:pt>
                <c:pt idx="4">
                  <c:v>51.64</c:v>
                </c:pt>
                <c:pt idx="5">
                  <c:v>63.78</c:v>
                </c:pt>
                <c:pt idx="6">
                  <c:v>51.24</c:v>
                </c:pt>
                <c:pt idx="7">
                  <c:v>52.15</c:v>
                </c:pt>
                <c:pt idx="8">
                  <c:v>77.91</c:v>
                </c:pt>
                <c:pt idx="9">
                  <c:v>69.29</c:v>
                </c:pt>
                <c:pt idx="10">
                  <c:v>52.62</c:v>
                </c:pt>
                <c:pt idx="11">
                  <c:v>72.93</c:v>
                </c:pt>
              </c:numCache>
            </c:numRef>
          </c:val>
        </c:ser>
        <c:ser>
          <c:idx val="2"/>
          <c:order val="2"/>
          <c:tx>
            <c:strRef>
              <c:f>大连凯丹!$F$36</c:f>
              <c:strCache>
                <c:ptCount val="1"/>
                <c:pt idx="0">
                  <c:v>营收分解计划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大连凯丹!$G$33:$R$33</c:f>
              <c:strCache>
                <c:ptCount val="12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</c:strCache>
            </c:strRef>
          </c:cat>
          <c:val>
            <c:numRef>
              <c:f>大连凯丹!$G$36:$R$36</c:f>
              <c:numCache>
                <c:formatCode>_ * #,##0.00_ ;[Red]_ * \-#,##0.00_ ;_ * "-"??_ ;_ @_ </c:formatCode>
                <c:ptCount val="12"/>
                <c:pt idx="0">
                  <c:v>51.2492576431693</c:v>
                </c:pt>
                <c:pt idx="1">
                  <c:v>52.2484956431693</c:v>
                </c:pt>
                <c:pt idx="2">
                  <c:v>52.7484956431693</c:v>
                </c:pt>
                <c:pt idx="3">
                  <c:v>53.0666378095238</c:v>
                </c:pt>
                <c:pt idx="4">
                  <c:v>53.9253218095238</c:v>
                </c:pt>
                <c:pt idx="5">
                  <c:v>53.9522198095238</c:v>
                </c:pt>
                <c:pt idx="6">
                  <c:v>54.0052768095238</c:v>
                </c:pt>
                <c:pt idx="7">
                  <c:v>48.7693558095238</c:v>
                </c:pt>
                <c:pt idx="8">
                  <c:v>49.2893558095238</c:v>
                </c:pt>
                <c:pt idx="9">
                  <c:v>49.7409784761905</c:v>
                </c:pt>
                <c:pt idx="10">
                  <c:v>50.3638469761905</c:v>
                </c:pt>
                <c:pt idx="11">
                  <c:v>51.4723874761905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9291432"/>
        <c:axId val="924764560"/>
      </c:barChart>
      <c:scatterChart>
        <c:scatterStyle val="smoothMarker"/>
        <c:varyColors val="0"/>
        <c:ser>
          <c:idx val="0"/>
          <c:order val="0"/>
          <c:tx>
            <c:strRef>
              <c:f>大连凯丹!$F$34</c:f>
              <c:strCache>
                <c:ptCount val="1"/>
                <c:pt idx="0">
                  <c:v>营业收入</c:v>
                </c:pt>
              </c:strCache>
            </c:strRef>
          </c:tx>
          <c:spPr>
            <a:ln w="28575" cap="rnd" cmpd="sng" algn="ctr">
              <a:solidFill>
                <a:schemeClr val="accent1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 cap="flat" cmpd="sng" algn="ctr">
                <a:solidFill>
                  <a:schemeClr val="accent1"/>
                </a:solidFill>
                <a:prstDash val="solid"/>
                <a:round/>
              </a:ln>
              <a:effectLst/>
            </c:spPr>
          </c:marker>
          <c:dLbls>
            <c:delete val="1"/>
          </c:dLbls>
          <c:xVal>
            <c:strRef>
              <c:f>大连凯丹!$G$33:$R$33</c:f>
              <c:strCache>
                <c:ptCount val="12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</c:strCache>
            </c:strRef>
          </c:xVal>
          <c:yVal>
            <c:numRef>
              <c:f>大连凯丹!$G$34:$R$34</c:f>
              <c:numCache>
                <c:formatCode>_ * #,##0.00_ ;[Red]_ * \-#,##0.00_ ;_ * "-"??_ ;_ @_ </c:formatCode>
                <c:ptCount val="12"/>
                <c:pt idx="0">
                  <c:v>51.84</c:v>
                </c:pt>
                <c:pt idx="1">
                  <c:v>52.73</c:v>
                </c:pt>
                <c:pt idx="2">
                  <c:v>53.12</c:v>
                </c:pt>
                <c:pt idx="3">
                  <c:v>0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9291432"/>
        <c:axId val="924764560"/>
      </c:scatterChart>
      <c:catAx>
        <c:axId val="13929143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2"/>
                </a:solidFill>
                <a:latin typeface="OPPO Sans 4.0" panose="00000500000000000000" charset="-122"/>
                <a:ea typeface="OPPO Sans 4.0" panose="00000500000000000000" charset="-122"/>
                <a:cs typeface="OPPO Sans 4.0" panose="00000500000000000000" charset="-122"/>
                <a:sym typeface="OPPO Sans 4.0" panose="00000500000000000000" charset="-122"/>
              </a:defRPr>
            </a:pPr>
          </a:p>
        </c:txPr>
        <c:crossAx val="924764560"/>
        <c:crosses val="autoZero"/>
        <c:auto val="1"/>
        <c:lblAlgn val="ctr"/>
        <c:lblOffset val="100"/>
        <c:noMultiLvlLbl val="0"/>
      </c:catAx>
      <c:valAx>
        <c:axId val="9247645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prstDash val="solid"/>
              <a:round/>
            </a:ln>
            <a:effectLst/>
          </c:spPr>
        </c:majorGridlines>
        <c:numFmt formatCode="#,##0_);[Red]\(#,##0\)" sourceLinked="0"/>
        <c:majorTickMark val="none"/>
        <c:minorTickMark val="none"/>
        <c:tickLblPos val="nextTo"/>
        <c:spPr>
          <a:noFill/>
          <a:ln w="12700" cap="flat" cmpd="sng" algn="ctr">
            <a:noFill/>
            <a:prstDash val="solid"/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2"/>
                </a:solidFill>
                <a:latin typeface="OPPO Sans 4.0" panose="00000500000000000000" charset="-122"/>
                <a:ea typeface="OPPO Sans 4.0" panose="00000500000000000000" charset="-122"/>
                <a:cs typeface="OPPO Sans 4.0" panose="00000500000000000000" charset="-122"/>
                <a:sym typeface="OPPO Sans 4.0" panose="00000500000000000000" charset="-122"/>
              </a:defRPr>
            </a:pPr>
          </a:p>
        </c:txPr>
        <c:crossAx val="1392914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2"/>
                </a:solidFill>
                <a:latin typeface="OPPO Sans 4.0" panose="00000500000000000000" charset="-122"/>
                <a:ea typeface="OPPO Sans 4.0" panose="00000500000000000000" charset="-122"/>
                <a:cs typeface="OPPO Sans 4.0" panose="00000500000000000000" charset="-122"/>
                <a:sym typeface="OPPO Sans 4.0" panose="00000500000000000000" charset="-122"/>
              </a:defRPr>
            </a:pPr>
          </a:p>
        </c:txPr>
      </c:legendEntry>
      <c:legendEntry>
        <c:idx val="1"/>
        <c:txPr>
          <a:bodyPr rot="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2"/>
                </a:solidFill>
                <a:latin typeface="OPPO Sans 4.0" panose="00000500000000000000" charset="-122"/>
                <a:ea typeface="OPPO Sans 4.0" panose="00000500000000000000" charset="-122"/>
                <a:cs typeface="OPPO Sans 4.0" panose="00000500000000000000" charset="-122"/>
                <a:sym typeface="OPPO Sans 4.0" panose="00000500000000000000" charset="-122"/>
              </a:defRPr>
            </a:pPr>
          </a:p>
        </c:txPr>
      </c:legendEntry>
      <c:legendEntry>
        <c:idx val="2"/>
        <c:txPr>
          <a:bodyPr rot="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2"/>
                </a:solidFill>
                <a:latin typeface="OPPO Sans 4.0" panose="00000500000000000000" charset="-122"/>
                <a:ea typeface="OPPO Sans 4.0" panose="00000500000000000000" charset="-122"/>
                <a:cs typeface="OPPO Sans 4.0" panose="00000500000000000000" charset="-122"/>
                <a:sym typeface="OPPO Sans 4.0" panose="00000500000000000000" charset="-122"/>
              </a:defRPr>
            </a:pPr>
          </a:p>
        </c:txPr>
      </c:legendEntry>
      <c:layout>
        <c:manualLayout>
          <c:xMode val="edge"/>
          <c:yMode val="edge"/>
          <c:x val="0.0055"/>
          <c:y val="0.08175"/>
          <c:w val="0.98675"/>
          <c:h val="0.10675"/>
        </c:manualLayout>
      </c:layout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700" b="0" i="0" u="none" strike="noStrike" kern="1200" baseline="0">
              <a:solidFill>
                <a:schemeClr val="tx2"/>
              </a:solidFill>
              <a:latin typeface="OPPO Sans 4.0" panose="00000500000000000000" charset="-122"/>
              <a:ea typeface="OPPO Sans 4.0" panose="00000500000000000000" charset="-122"/>
              <a:cs typeface="OPPO Sans 4.0" panose="00000500000000000000" charset="-122"/>
              <a:sym typeface="OPPO Sans 4.0" panose="00000500000000000000" charset="-122"/>
            </a:defRPr>
          </a:pPr>
        </a:p>
      </c:txPr>
    </c:legend>
    <c:plotVisOnly val="0"/>
    <c:dispBlanksAs val="gap"/>
    <c:showDLblsOverMax val="0"/>
    <c:extLst>
      <c:ext uri="{0b15fc19-7d7d-44ad-8c2d-2c3a37ce22c3}">
        <chartProps xmlns="https://web.wps.cn/et/2018/main" chartId="{0b522f9a-08c3-4b79-98ed-d3fd9a90daa9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  <a:effectLst>
      <a:outerShdw blurRad="50800" dist="38100" dir="13500000" algn="br" rotWithShape="0">
        <a:prstClr val="black">
          <a:alpha val="40000"/>
        </a:prstClr>
      </a:outerShdw>
    </a:effectLst>
  </c:spPr>
  <c:txPr>
    <a:bodyPr wrap="square"/>
    <a:lstStyle/>
    <a:p>
      <a:pPr>
        <a:defRPr lang="zh-CN" sz="700">
          <a:solidFill>
            <a:schemeClr val="tx2"/>
          </a:solidFill>
          <a:latin typeface="OPPO Sans 4.0" panose="00000500000000000000" charset="-122"/>
          <a:ea typeface="OPPO Sans 4.0" panose="00000500000000000000" charset="-122"/>
          <a:cs typeface="OPPO Sans 4.0" panose="00000500000000000000" charset="-122"/>
          <a:sym typeface="OPPO Sans 4.0" panose="00000500000000000000" charset="-122"/>
        </a:defRPr>
      </a:pPr>
    </a:p>
  </c:txPr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 forceAA="0"/>
          <a:lstStyle/>
          <a:p>
            <a:pPr>
              <a:defRPr lang="zh-CN" sz="1000" b="1" i="0" u="none" strike="noStrike" kern="1200" baseline="0">
                <a:solidFill>
                  <a:schemeClr val="tx2"/>
                </a:solidFill>
                <a:latin typeface="+mn-ea"/>
                <a:ea typeface="+mn-ea"/>
                <a:cs typeface="+mn-ea"/>
                <a:sym typeface="+mn-ea"/>
              </a:defRPr>
            </a:pPr>
            <a:r>
              <a:rPr lang="zh-CN" altLang="en-US" sz="1000" b="1">
                <a:solidFill>
                  <a:schemeClr val="tx2"/>
                </a:solidFill>
                <a:latin typeface="+mn-ea"/>
                <a:ea typeface="+mn-ea"/>
                <a:cs typeface="+mn-ea"/>
                <a:sym typeface="+mn-ea"/>
              </a:rPr>
              <a:t>指标趋势</a:t>
            </a:r>
            <a:endParaRPr lang="zh-CN" altLang="en-US" sz="1000" b="1" i="0" u="none" strike="noStrike" baseline="0">
              <a:solidFill>
                <a:schemeClr val="tx2"/>
              </a:solidFill>
              <a:latin typeface="+mn-ea"/>
              <a:ea typeface="+mn-ea"/>
              <a:cs typeface="+mn-ea"/>
              <a:sym typeface="+mn-ea"/>
            </a:endParaRPr>
          </a:p>
        </c:rich>
      </c:tx>
      <c:layout>
        <c:manualLayout>
          <c:xMode val="edge"/>
          <c:yMode val="edge"/>
          <c:x val="0.417274939172749"/>
          <c:y val="0.00524292205522545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63542625667465"/>
          <c:y val="0.188705554264467"/>
          <c:w val="0.830933529736697"/>
          <c:h val="0.722240297466884"/>
        </c:manualLayout>
      </c:layout>
      <c:lineChart>
        <c:grouping val="standard"/>
        <c:varyColors val="0"/>
        <c:ser>
          <c:idx val="0"/>
          <c:order val="0"/>
          <c:tx>
            <c:strRef>
              <c:f>大连凯丹!$F$40</c:f>
              <c:strCache>
                <c:ptCount val="1"/>
                <c:pt idx="0">
                  <c:v>营业收入</c:v>
                </c:pt>
              </c:strCache>
            </c:strRef>
          </c:tx>
          <c:spPr>
            <a:ln w="31750" cap="rnd" cmpd="sng" algn="ctr">
              <a:solidFill>
                <a:schemeClr val="accent1"/>
              </a:solidFill>
              <a:prstDash val="solid"/>
              <a:round/>
            </a:ln>
            <a:effectLst/>
          </c:spPr>
          <c:marker>
            <c:symbol val="circle"/>
            <c:size val="7"/>
            <c:spPr>
              <a:solidFill>
                <a:schemeClr val="accent1"/>
              </a:solidFill>
              <a:ln w="28575" cap="flat" cmpd="sng" algn="ctr">
                <a:noFill/>
                <a:prstDash val="solid"/>
                <a:round/>
              </a:ln>
            </c:spPr>
          </c:marker>
          <c:dLbls>
            <c:delete val="1"/>
          </c:dLbls>
          <c:cat>
            <c:strRef>
              <c:f>大连凯丹!$G$39:$R$39</c:f>
              <c:strCache>
                <c:ptCount val="12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</c:strCache>
            </c:strRef>
          </c:cat>
          <c:val>
            <c:numRef>
              <c:f>大连凯丹!$G$40:$R$40</c:f>
              <c:numCache>
                <c:formatCode>_ * #,##0.00_ ;_ * \-#,##0.00_ ;_ * "-"??_ ;_ @_ </c:formatCode>
                <c:ptCount val="12"/>
                <c:pt idx="0">
                  <c:v>51.84</c:v>
                </c:pt>
                <c:pt idx="1">
                  <c:v>52.73</c:v>
                </c:pt>
                <c:pt idx="2">
                  <c:v>53.12</c:v>
                </c:pt>
                <c:pt idx="3">
                  <c:v>0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大连凯丹!$F$41</c:f>
              <c:strCache>
                <c:ptCount val="1"/>
                <c:pt idx="0">
                  <c:v>EBITDA</c:v>
                </c:pt>
              </c:strCache>
            </c:strRef>
          </c:tx>
          <c:spPr>
            <a:ln w="31750" cap="rnd" cmpd="sng" algn="ctr">
              <a:solidFill>
                <a:schemeClr val="accent2"/>
              </a:solidFill>
              <a:prstDash val="solid"/>
              <a:round/>
            </a:ln>
          </c:spPr>
          <c:marker>
            <c:symbol val="circle"/>
            <c:size val="7"/>
            <c:spPr>
              <a:solidFill>
                <a:schemeClr val="accent2"/>
              </a:solidFill>
              <a:ln w="28575" cap="flat" cmpd="sng" algn="ctr">
                <a:noFill/>
                <a:prstDash val="solid"/>
                <a:round/>
              </a:ln>
            </c:spPr>
          </c:marker>
          <c:dLbls>
            <c:delete val="1"/>
          </c:dLbls>
          <c:cat>
            <c:strRef>
              <c:f>大连凯丹!$G$39:$R$39</c:f>
              <c:strCache>
                <c:ptCount val="12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</c:strCache>
            </c:strRef>
          </c:cat>
          <c:val>
            <c:numRef>
              <c:f>大连凯丹!$G$41:$R$41</c:f>
              <c:numCache>
                <c:formatCode>_ * #,##0.00_ ;_ * \-#,##0.00_ ;_ * "-"??_ ;_ @_ </c:formatCode>
                <c:ptCount val="12"/>
                <c:pt idx="0">
                  <c:v>27.46</c:v>
                </c:pt>
                <c:pt idx="1">
                  <c:v>29.79</c:v>
                </c:pt>
                <c:pt idx="2">
                  <c:v>26.62</c:v>
                </c:pt>
                <c:pt idx="3">
                  <c:v>0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大连凯丹!$F$42</c:f>
              <c:strCache>
                <c:ptCount val="1"/>
                <c:pt idx="0">
                  <c:v>经营活动净现金流</c:v>
                </c:pt>
              </c:strCache>
            </c:strRef>
          </c:tx>
          <c:spPr>
            <a:ln w="31750" cap="rnd" cmpd="sng" algn="ctr">
              <a:solidFill>
                <a:schemeClr val="accent3"/>
              </a:solidFill>
              <a:prstDash val="solid"/>
              <a:round/>
            </a:ln>
          </c:spPr>
          <c:marker>
            <c:symbol val="circle"/>
            <c:size val="7"/>
            <c:spPr>
              <a:solidFill>
                <a:schemeClr val="accent3"/>
              </a:solidFill>
              <a:ln w="28575" cap="flat" cmpd="sng" algn="ctr">
                <a:noFill/>
                <a:prstDash val="solid"/>
                <a:round/>
              </a:ln>
            </c:spPr>
          </c:marker>
          <c:dLbls>
            <c:delete val="1"/>
          </c:dLbls>
          <c:cat>
            <c:strRef>
              <c:f>大连凯丹!$G$39:$R$39</c:f>
              <c:strCache>
                <c:ptCount val="12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</c:strCache>
            </c:strRef>
          </c:cat>
          <c:val>
            <c:numRef>
              <c:f>大连凯丹!$G$42:$R$42</c:f>
              <c:numCache>
                <c:formatCode>_ * #,##0.00_ ;_ * \-#,##0.00_ ;_ * "-"??_ ;_ @_ </c:formatCode>
                <c:ptCount val="12"/>
                <c:pt idx="0">
                  <c:v>142.94</c:v>
                </c:pt>
                <c:pt idx="1">
                  <c:v>51.65</c:v>
                </c:pt>
                <c:pt idx="2">
                  <c:v>63.12</c:v>
                </c:pt>
                <c:pt idx="3">
                  <c:v>0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大连凯丹!$F$43</c:f>
              <c:strCache>
                <c:ptCount val="1"/>
                <c:pt idx="0">
                  <c:v>经营支出小计</c:v>
                </c:pt>
              </c:strCache>
            </c:strRef>
          </c:tx>
          <c:spPr>
            <a:ln w="31750" cap="rnd" cmpd="sng" algn="ctr">
              <a:solidFill>
                <a:schemeClr val="accent4"/>
              </a:solidFill>
              <a:prstDash val="solid"/>
              <a:round/>
            </a:ln>
          </c:spPr>
          <c:marker>
            <c:symbol val="circle"/>
            <c:size val="7"/>
            <c:spPr>
              <a:solidFill>
                <a:schemeClr val="accent4"/>
              </a:solidFill>
              <a:ln w="28575" cap="flat" cmpd="sng" algn="ctr">
                <a:noFill/>
                <a:prstDash val="solid"/>
                <a:round/>
              </a:ln>
            </c:spPr>
          </c:marker>
          <c:dLbls>
            <c:delete val="1"/>
          </c:dLbls>
          <c:cat>
            <c:strRef>
              <c:f>大连凯丹!$G$39:$R$39</c:f>
              <c:strCache>
                <c:ptCount val="12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</c:strCache>
            </c:strRef>
          </c:cat>
          <c:val>
            <c:numRef>
              <c:f>大连凯丹!$G$43:$R$43</c:f>
              <c:numCache>
                <c:formatCode>_ * #,##0.00_ ;_ * \-#,##0.00_ ;_ * "-"??_ ;_ @_ </c:formatCode>
                <c:ptCount val="12"/>
                <c:pt idx="0">
                  <c:v>10.86</c:v>
                </c:pt>
                <c:pt idx="1">
                  <c:v>8.8</c:v>
                </c:pt>
                <c:pt idx="2">
                  <c:v>10.79</c:v>
                </c:pt>
                <c:pt idx="3">
                  <c:v>0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89973188"/>
        <c:axId val="837818298"/>
      </c:lineChart>
      <c:catAx>
        <c:axId val="589973188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low"/>
        <c:spPr>
          <a:noFill/>
          <a:ln w="6350" cap="flat" cmpd="sng" algn="ctr">
            <a:noFill/>
            <a:prstDash val="solid"/>
            <a:round/>
          </a:ln>
        </c:spPr>
        <c:txPr>
          <a:bodyPr rot="-60000000" spcFirstLastPara="0" vertOverflow="ellipsis" vert="horz" wrap="square" anchor="ctr" anchorCtr="1" forceAA="0"/>
          <a:lstStyle/>
          <a:p>
            <a:pPr>
              <a:defRPr lang="zh-CN" sz="800" b="0" i="0" u="none" strike="noStrike" kern="1200" baseline="0">
                <a:solidFill>
                  <a:schemeClr val="tx2"/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</a:p>
        </c:txPr>
        <c:crossAx val="837818298"/>
        <c:crosses val="autoZero"/>
        <c:auto val="1"/>
        <c:lblAlgn val="ctr"/>
        <c:lblOffset val="100"/>
        <c:noMultiLvlLbl val="0"/>
      </c:catAx>
      <c:valAx>
        <c:axId val="83781829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90000"/>
                </a:schemeClr>
              </a:solidFill>
              <a:prstDash val="solid"/>
              <a:round/>
            </a:ln>
          </c:spPr>
        </c:majorGridlines>
        <c:numFmt formatCode="_ * #,##0.00_ ;_ * \-#,##0.00_ ;_ * &quot;-&quot;??_ ;_ @_ " sourceLinked="1"/>
        <c:majorTickMark val="none"/>
        <c:minorTickMark val="in"/>
        <c:tickLblPos val="low"/>
        <c:spPr>
          <a:noFill/>
          <a:ln w="6350" cap="flat" cmpd="sng" algn="ctr">
            <a:noFill/>
            <a:prstDash val="solid"/>
            <a:round/>
          </a:ln>
        </c:spPr>
        <c:txPr>
          <a:bodyPr rot="-60000000" spcFirstLastPara="0" vertOverflow="ellipsis" vert="horz" wrap="square" anchor="ctr" anchorCtr="1" forceAA="0"/>
          <a:lstStyle/>
          <a:p>
            <a:pPr>
              <a:defRPr lang="zh-CN" sz="800" b="0" i="0" u="none" strike="noStrike" kern="1200" baseline="0">
                <a:solidFill>
                  <a:schemeClr val="tx2"/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</a:p>
        </c:txPr>
        <c:crossAx val="589973188"/>
        <c:crosses val="autoZero"/>
        <c:crossBetween val="between"/>
      </c:valAx>
      <c:spPr>
        <a:noFill/>
      </c:spPr>
    </c:plotArea>
    <c:legend>
      <c:legendPos val="r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2"/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</a:p>
        </c:txPr>
      </c:legendEntry>
      <c:legendEntry>
        <c:idx val="1"/>
        <c:txPr>
          <a:bodyPr rot="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2"/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</a:p>
        </c:txPr>
      </c:legendEntry>
      <c:legendEntry>
        <c:idx val="2"/>
        <c:txPr>
          <a:bodyPr rot="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2"/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</a:p>
        </c:txPr>
      </c:legendEntry>
      <c:legendEntry>
        <c:idx val="3"/>
        <c:txPr>
          <a:bodyPr rot="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2"/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</a:p>
        </c:txPr>
      </c:legendEntry>
      <c:layout>
        <c:manualLayout>
          <c:xMode val="edge"/>
          <c:yMode val="edge"/>
          <c:x val="0.0055"/>
          <c:y val="0.08625"/>
          <c:w val="0.98675"/>
          <c:h val="0.10225"/>
        </c:manualLayout>
      </c:layout>
      <c:overlay val="0"/>
      <c:txPr>
        <a:bodyPr rot="0" spcFirstLastPara="0" vertOverflow="ellipsis" vert="horz" wrap="square" anchor="ctr" anchorCtr="1"/>
        <a:lstStyle/>
        <a:p>
          <a:pPr>
            <a:defRPr lang="zh-CN" sz="700" b="0" i="0" u="none" strike="noStrike" kern="1200" baseline="0">
              <a:solidFill>
                <a:schemeClr val="tx2"/>
              </a:solidFill>
              <a:latin typeface="微软雅黑" panose="020B0503020204020204" charset="-122"/>
              <a:ea typeface="微软雅黑" panose="020B0503020204020204" charset="-122"/>
              <a:cs typeface="微软雅黑" panose="020B0503020204020204" charset="-122"/>
              <a:sym typeface="微软雅黑" panose="020B0503020204020204" charset="-122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585ad89a-d421-48cf-9f2b-2943f32851d9}"/>
      </c:ext>
    </c:extLst>
  </c:chart>
  <c:spPr>
    <a:solidFill>
      <a:schemeClr val="bg1"/>
    </a:solidFill>
    <a:ln w="6350" cap="flat" cmpd="sng" algn="ctr">
      <a:solidFill>
        <a:schemeClr val="tx1">
          <a:lumMod val="50000"/>
          <a:lumOff val="50000"/>
          <a:alpha val="25000"/>
        </a:schemeClr>
      </a:solidFill>
      <a:prstDash val="solid"/>
      <a:round/>
    </a:ln>
    <a:effectLst>
      <a:outerShdw blurRad="50800" dist="38100" dir="13500000" algn="br" rotWithShape="0">
        <a:prstClr val="black">
          <a:alpha val="40000"/>
        </a:prstClr>
      </a:outerShdw>
    </a:effectLst>
  </c:spPr>
  <c:txPr>
    <a:bodyPr wrap="square"/>
    <a:lstStyle/>
    <a:p>
      <a:pPr>
        <a:defRPr lang="zh-CN" sz="1000" b="0">
          <a:solidFill>
            <a:schemeClr val="tx2"/>
          </a:solidFill>
          <a:latin typeface="微软雅黑" panose="020B0503020204020204" charset="-122"/>
          <a:ea typeface="微软雅黑" panose="020B0503020204020204" charset="-122"/>
          <a:cs typeface="微软雅黑" panose="020B0503020204020204" charset="-122"/>
          <a:sym typeface="微软雅黑" panose="020B0503020204020204" charset="-122"/>
        </a:defRPr>
      </a:pPr>
    </a:p>
  </c:txPr>
  <c:printSettings>
    <c:headerFooter/>
    <c:pageMargins b="0.75" l="0.7" r="0.7" t="0.75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000" b="1" i="0" u="none" strike="noStrike" kern="1200" baseline="0">
                <a:solidFill>
                  <a:schemeClr val="tx2"/>
                </a:solidFill>
                <a:latin typeface="+mn-ea"/>
                <a:ea typeface="+mn-ea"/>
                <a:cs typeface="+mn-ea"/>
                <a:sym typeface="+mn-ea"/>
              </a:defRPr>
            </a:pPr>
            <a:r>
              <a:rPr lang="zh-CN" altLang="en-US" sz="1000">
                <a:solidFill>
                  <a:schemeClr val="tx2"/>
                </a:solidFill>
                <a:latin typeface="+mn-ea"/>
                <a:ea typeface="+mn-ea"/>
                <a:cs typeface="+mn-ea"/>
                <a:sym typeface="+mn-ea"/>
              </a:rPr>
              <a:t>任务进度</a:t>
            </a:r>
            <a:endParaRPr lang="zh-CN" altLang="en-US" sz="1000" b="1" i="0" u="none" strike="noStrike" baseline="0">
              <a:solidFill>
                <a:schemeClr val="tx2"/>
              </a:solidFill>
              <a:latin typeface="+mn-ea"/>
              <a:ea typeface="+mn-ea"/>
              <a:cs typeface="+mn-ea"/>
              <a:sym typeface="+mn-ea"/>
            </a:endParaRPr>
          </a:p>
        </c:rich>
      </c:tx>
      <c:layout>
        <c:manualLayout>
          <c:xMode val="edge"/>
          <c:yMode val="edge"/>
          <c:x val="0.445"/>
          <c:y val="0.00694605232692753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0958939421837599"/>
          <c:y val="0.188821752265861"/>
          <c:w val="0.791824709998159"/>
          <c:h val="0.69688589356263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福建钱隆!$D$1</c:f>
              <c:strCache>
                <c:ptCount val="1"/>
                <c:pt idx="0">
                  <c:v>年度目标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福建钱隆!$C$2:$C$5</c:f>
              <c:strCache>
                <c:ptCount val="4"/>
                <c:pt idx="0">
                  <c:v>营业收入</c:v>
                </c:pt>
                <c:pt idx="1">
                  <c:v>EBITDA</c:v>
                </c:pt>
                <c:pt idx="2">
                  <c:v>经营活动净现金流</c:v>
                </c:pt>
                <c:pt idx="3">
                  <c:v>经营支出</c:v>
                </c:pt>
              </c:strCache>
            </c:strRef>
          </c:cat>
          <c:val>
            <c:numRef>
              <c:f>福建钱隆!$D$2:$D$5</c:f>
              <c:numCache>
                <c:formatCode>_ * #,##0.00_ ;[Red]_ * \-#,##0.00_ ;_ * "-"??_ ;_ @_ </c:formatCode>
                <c:ptCount val="4"/>
                <c:pt idx="0">
                  <c:v>6392.8</c:v>
                </c:pt>
                <c:pt idx="1">
                  <c:v>4789.05</c:v>
                </c:pt>
                <c:pt idx="2">
                  <c:v>4232.71</c:v>
                </c:pt>
                <c:pt idx="3">
                  <c:v>823.59</c:v>
                </c:pt>
              </c:numCache>
            </c:numRef>
          </c:val>
        </c:ser>
        <c:ser>
          <c:idx val="1"/>
          <c:order val="1"/>
          <c:tx>
            <c:strRef>
              <c:f>福建钱隆!$E$1</c:f>
              <c:strCache>
                <c:ptCount val="1"/>
                <c:pt idx="0">
                  <c:v>实际达成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福建钱隆!$C$2:$C$5</c:f>
              <c:strCache>
                <c:ptCount val="4"/>
                <c:pt idx="0">
                  <c:v>营业收入</c:v>
                </c:pt>
                <c:pt idx="1">
                  <c:v>EBITDA</c:v>
                </c:pt>
                <c:pt idx="2">
                  <c:v>经营活动净现金流</c:v>
                </c:pt>
                <c:pt idx="3">
                  <c:v>经营支出</c:v>
                </c:pt>
              </c:strCache>
            </c:strRef>
          </c:cat>
          <c:val>
            <c:numRef>
              <c:f>福建钱隆!$E$2:$E$5</c:f>
              <c:numCache>
                <c:formatCode>_ * #,##0.00_ ;[Red]_ * \-#,##0.00_ ;_ * "-"??_ ;_ @_ </c:formatCode>
                <c:ptCount val="4"/>
                <c:pt idx="0">
                  <c:v>1569.409395</c:v>
                </c:pt>
                <c:pt idx="1">
                  <c:v>1194.001886</c:v>
                </c:pt>
                <c:pt idx="2">
                  <c:v>1765.458083</c:v>
                </c:pt>
                <c:pt idx="3">
                  <c:v>104.566819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09980152"/>
        <c:axId val="531999572"/>
      </c:barChart>
      <c:lineChart>
        <c:grouping val="standard"/>
        <c:varyColors val="0"/>
        <c:ser>
          <c:idx val="2"/>
          <c:order val="2"/>
          <c:tx>
            <c:strRef>
              <c:f>福建钱隆!$F$1</c:f>
              <c:strCache>
                <c:ptCount val="1"/>
                <c:pt idx="0">
                  <c:v>年度目标达成率</c:v>
                </c:pt>
              </c:strCache>
            </c:strRef>
          </c:tx>
          <c:spPr>
            <a:ln w="28575" cap="rnd" cmpd="sng" algn="ctr">
              <a:solidFill>
                <a:schemeClr val="accent3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 cap="flat" cmpd="sng" algn="ctr">
                <a:solidFill>
                  <a:schemeClr val="accent3"/>
                </a:solidFill>
                <a:prstDash val="solid"/>
                <a:round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700" b="0" i="0" u="none" strike="noStrike" kern="1200" baseline="0">
                    <a:solidFill>
                      <a:schemeClr val="tx2"/>
                    </a:solidFill>
                    <a:latin typeface="+mn-ea"/>
                    <a:ea typeface="+mn-ea"/>
                    <a:cs typeface="+mn-ea"/>
                    <a:sym typeface="+mn-ea"/>
                  </a:defRPr>
                </a:pPr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cat>
            <c:strRef>
              <c:f>福建钱隆!$C$2:$C$5</c:f>
              <c:strCache>
                <c:ptCount val="4"/>
                <c:pt idx="0">
                  <c:v>营业收入</c:v>
                </c:pt>
                <c:pt idx="1">
                  <c:v>EBITDA</c:v>
                </c:pt>
                <c:pt idx="2">
                  <c:v>经营活动净现金流</c:v>
                </c:pt>
                <c:pt idx="3">
                  <c:v>经营支出</c:v>
                </c:pt>
              </c:strCache>
            </c:strRef>
          </c:cat>
          <c:val>
            <c:numRef>
              <c:f>福建钱隆!$F$2:$F$5</c:f>
              <c:numCache>
                <c:formatCode>_ * #,##0.00%_ ;[Red]_ * \-#,##0.00%_ ;_ * "-"??_ ;_ @_ </c:formatCode>
                <c:ptCount val="4"/>
                <c:pt idx="0">
                  <c:v>0.245496401420348</c:v>
                </c:pt>
                <c:pt idx="1">
                  <c:v>0.249319152232698</c:v>
                </c:pt>
                <c:pt idx="2">
                  <c:v>0.417098757769845</c:v>
                </c:pt>
                <c:pt idx="3">
                  <c:v>0.126964653529062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54515579"/>
        <c:axId val="331163702"/>
      </c:lineChart>
      <c:catAx>
        <c:axId val="5099801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  <a:effectLst/>
        </c:spPr>
        <c:txPr>
          <a:bodyPr rot="42000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2"/>
                </a:solidFill>
                <a:latin typeface="+mn-ea"/>
                <a:ea typeface="+mn-ea"/>
                <a:cs typeface="+mn-ea"/>
                <a:sym typeface="+mn-ea"/>
              </a:defRPr>
            </a:pPr>
          </a:p>
        </c:txPr>
        <c:crossAx val="531999572"/>
        <c:crosses val="autoZero"/>
        <c:auto val="1"/>
        <c:lblAlgn val="ctr"/>
        <c:lblOffset val="100"/>
        <c:noMultiLvlLbl val="0"/>
      </c:catAx>
      <c:valAx>
        <c:axId val="5319995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prstDash val="solid"/>
              <a:round/>
            </a:ln>
            <a:effectLst/>
          </c:spPr>
        </c:majorGridlines>
        <c:numFmt formatCode="#,##0_);[Red]\(#,##0\)" sourceLinked="0"/>
        <c:majorTickMark val="none"/>
        <c:minorTickMark val="none"/>
        <c:tickLblPos val="nextTo"/>
        <c:spPr>
          <a:noFill/>
          <a:ln w="12700" cap="flat" cmpd="sng" algn="ctr">
            <a:noFill/>
            <a:prstDash val="solid"/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2"/>
                </a:solidFill>
                <a:latin typeface="+mn-ea"/>
                <a:ea typeface="+mn-ea"/>
                <a:cs typeface="+mn-ea"/>
                <a:sym typeface="+mn-ea"/>
              </a:defRPr>
            </a:pPr>
          </a:p>
        </c:txPr>
        <c:crossAx val="509980152"/>
        <c:crosses val="autoZero"/>
        <c:crossBetween val="between"/>
      </c:valAx>
      <c:catAx>
        <c:axId val="654515579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2"/>
                </a:solidFill>
                <a:latin typeface="+mn-ea"/>
                <a:ea typeface="+mn-ea"/>
                <a:cs typeface="+mn-ea"/>
                <a:sym typeface="+mn-ea"/>
              </a:defRPr>
            </a:pPr>
          </a:p>
        </c:txPr>
        <c:crossAx val="331163702"/>
        <c:crosses val="autoZero"/>
        <c:auto val="1"/>
        <c:lblAlgn val="ctr"/>
        <c:lblOffset val="100"/>
        <c:noMultiLvlLbl val="0"/>
      </c:catAx>
      <c:valAx>
        <c:axId val="331163702"/>
        <c:scaling>
          <c:orientation val="minMax"/>
        </c:scaling>
        <c:delete val="0"/>
        <c:axPos val="r"/>
        <c:numFmt formatCode="0%" sourceLinked="0"/>
        <c:majorTickMark val="out"/>
        <c:minorTickMark val="none"/>
        <c:tickLblPos val="nextTo"/>
        <c:spPr>
          <a:noFill/>
          <a:ln w="12700" cap="flat" cmpd="sng" algn="ctr">
            <a:noFill/>
            <a:prstDash val="solid"/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2"/>
                </a:solidFill>
                <a:latin typeface="+mn-ea"/>
                <a:ea typeface="+mn-ea"/>
                <a:cs typeface="+mn-ea"/>
                <a:sym typeface="+mn-ea"/>
              </a:defRPr>
            </a:pPr>
          </a:p>
        </c:txPr>
        <c:crossAx val="654515579"/>
        <c:crosses val="max"/>
        <c:crossBetween val="between"/>
      </c:valAx>
      <c:spPr>
        <a:noFill/>
        <a:ln>
          <a:noFill/>
        </a:ln>
        <a:effectLst/>
      </c:spPr>
    </c:plotArea>
    <c:legend>
      <c:legendPos val="r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2"/>
                </a:solidFill>
                <a:latin typeface="+mn-ea"/>
                <a:ea typeface="+mn-ea"/>
                <a:cs typeface="+mn-ea"/>
                <a:sym typeface="+mn-ea"/>
              </a:defRPr>
            </a:pPr>
          </a:p>
        </c:txPr>
      </c:legendEntry>
      <c:legendEntry>
        <c:idx val="1"/>
        <c:txPr>
          <a:bodyPr rot="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2"/>
                </a:solidFill>
                <a:latin typeface="+mn-ea"/>
                <a:ea typeface="+mn-ea"/>
                <a:cs typeface="+mn-ea"/>
                <a:sym typeface="+mn-ea"/>
              </a:defRPr>
            </a:pPr>
          </a:p>
        </c:txPr>
      </c:legendEntry>
      <c:legendEntry>
        <c:idx val="2"/>
        <c:txPr>
          <a:bodyPr rot="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2"/>
                </a:solidFill>
                <a:latin typeface="+mn-ea"/>
                <a:ea typeface="+mn-ea"/>
                <a:cs typeface="+mn-ea"/>
                <a:sym typeface="+mn-ea"/>
              </a:defRPr>
            </a:pPr>
          </a:p>
        </c:txPr>
      </c:legendEntry>
      <c:layout>
        <c:manualLayout>
          <c:xMode val="edge"/>
          <c:yMode val="edge"/>
          <c:x val="0.0055"/>
          <c:y val="0.07925"/>
          <c:w val="0.98675"/>
          <c:h val="0.10225"/>
        </c:manualLayout>
      </c:layout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700" b="0" i="0" u="none" strike="noStrike" kern="1200" baseline="0">
              <a:solidFill>
                <a:schemeClr val="tx2"/>
              </a:solidFill>
              <a:latin typeface="+mn-ea"/>
              <a:ea typeface="+mn-ea"/>
              <a:cs typeface="+mn-ea"/>
              <a:sym typeface="+mn-ea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d5f324cf-334c-4fcf-b2bd-306ed4633b54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  <a:effectLst>
      <a:outerShdw blurRad="50800" dist="38100" dir="13500000" algn="br" rotWithShape="0">
        <a:prstClr val="black">
          <a:alpha val="40000"/>
        </a:prstClr>
      </a:outerShdw>
    </a:effectLst>
  </c:spPr>
  <c:txPr>
    <a:bodyPr wrap="square"/>
    <a:lstStyle/>
    <a:p>
      <a:pPr>
        <a:defRPr lang="zh-CN" sz="700">
          <a:solidFill>
            <a:schemeClr val="tx2"/>
          </a:solidFill>
          <a:latin typeface="+mn-ea"/>
          <a:ea typeface="+mn-ea"/>
          <a:cs typeface="+mn-ea"/>
          <a:sym typeface="+mn-ea"/>
        </a:defRPr>
      </a:pPr>
    </a:p>
  </c:txPr>
  <c:printSettings>
    <c:headerFooter/>
    <c:pageMargins b="0.75" l="0.7" r="0.7" t="0.75" header="0.3" footer="0.3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000" b="1" i="0" u="none" strike="noStrike" kern="1200" baseline="0">
                <a:solidFill>
                  <a:schemeClr val="tx2"/>
                </a:solidFill>
                <a:latin typeface="+mn-ea"/>
                <a:ea typeface="+mn-ea"/>
                <a:cs typeface="+mn-ea"/>
                <a:sym typeface="+mn-ea"/>
              </a:defRPr>
            </a:pPr>
            <a:r>
              <a:rPr lang="zh-CN" altLang="en-US" sz="1000">
                <a:solidFill>
                  <a:schemeClr val="tx2"/>
                </a:solidFill>
                <a:latin typeface="+mn-ea"/>
                <a:ea typeface="+mn-ea"/>
                <a:cs typeface="+mn-ea"/>
                <a:sym typeface="+mn-ea"/>
              </a:rPr>
              <a:t>营收比较</a:t>
            </a:r>
            <a:endParaRPr lang="zh-CN" altLang="en-US" sz="1000" b="1" i="0" u="none" strike="noStrike" baseline="0">
              <a:solidFill>
                <a:schemeClr val="tx2"/>
              </a:solidFill>
              <a:latin typeface="+mn-ea"/>
              <a:ea typeface="+mn-ea"/>
              <a:cs typeface="+mn-ea"/>
              <a:sym typeface="+mn-ea"/>
            </a:endParaRPr>
          </a:p>
        </c:rich>
      </c:tx>
      <c:layout>
        <c:manualLayout>
          <c:xMode val="edge"/>
          <c:yMode val="edge"/>
          <c:x val="0.457999545333275"/>
          <c:y val="0.00653879686137751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0936844043454244"/>
          <c:y val="0.188705554264467"/>
          <c:w val="0.900791751058737"/>
          <c:h val="0.732558679990704"/>
        </c:manualLayout>
      </c:layout>
      <c:barChart>
        <c:barDir val="col"/>
        <c:grouping val="clustered"/>
        <c:varyColors val="0"/>
        <c:ser>
          <c:idx val="1"/>
          <c:order val="1"/>
          <c:tx>
            <c:strRef>
              <c:f>福建钱隆!$F$35</c:f>
              <c:strCache>
                <c:ptCount val="1"/>
                <c:pt idx="0">
                  <c:v>同期营收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福建钱隆!$G$33:$R$33</c:f>
              <c:strCache>
                <c:ptCount val="12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</c:strCache>
            </c:strRef>
          </c:cat>
          <c:val>
            <c:numRef>
              <c:f>福建钱隆!$G$35:$R$35</c:f>
              <c:numCache>
                <c:formatCode>_ * #,##0.00_ ;[Red]_ * \-#,##0.00_ ;_ * "-"??_ ;_ @_ </c:formatCode>
                <c:ptCount val="12"/>
                <c:pt idx="0">
                  <c:v>572.837086</c:v>
                </c:pt>
                <c:pt idx="1">
                  <c:v>565.304031</c:v>
                </c:pt>
                <c:pt idx="2">
                  <c:v>575.663609</c:v>
                </c:pt>
                <c:pt idx="3">
                  <c:v>577.571872</c:v>
                </c:pt>
                <c:pt idx="4">
                  <c:v>580.973935</c:v>
                </c:pt>
                <c:pt idx="5">
                  <c:v>593.948499</c:v>
                </c:pt>
                <c:pt idx="6">
                  <c:v>552.751057</c:v>
                </c:pt>
                <c:pt idx="7">
                  <c:v>564.042367</c:v>
                </c:pt>
                <c:pt idx="8">
                  <c:v>577.223151</c:v>
                </c:pt>
                <c:pt idx="9">
                  <c:v>533.705821</c:v>
                </c:pt>
                <c:pt idx="10">
                  <c:v>555.615577</c:v>
                </c:pt>
                <c:pt idx="11">
                  <c:v>561.607211</c:v>
                </c:pt>
              </c:numCache>
            </c:numRef>
          </c:val>
        </c:ser>
        <c:ser>
          <c:idx val="2"/>
          <c:order val="2"/>
          <c:tx>
            <c:strRef>
              <c:f>福建钱隆!$F$36</c:f>
              <c:strCache>
                <c:ptCount val="1"/>
                <c:pt idx="0">
                  <c:v>营收分解计划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福建钱隆!$G$33:$R$33</c:f>
              <c:strCache>
                <c:ptCount val="12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</c:strCache>
            </c:strRef>
          </c:cat>
          <c:val>
            <c:numRef>
              <c:f>福建钱隆!$G$36:$R$36</c:f>
              <c:numCache>
                <c:formatCode>_ * #,##0.00_ ;[Red]_ * \-#,##0.00_ ;_ * "-"??_ ;_ @_ </c:formatCode>
                <c:ptCount val="12"/>
                <c:pt idx="0">
                  <c:v>518.42</c:v>
                </c:pt>
                <c:pt idx="1">
                  <c:v>511.28</c:v>
                </c:pt>
                <c:pt idx="2">
                  <c:v>515.08</c:v>
                </c:pt>
                <c:pt idx="3">
                  <c:v>522.17</c:v>
                </c:pt>
                <c:pt idx="4">
                  <c:v>527.6</c:v>
                </c:pt>
                <c:pt idx="5">
                  <c:v>556.15</c:v>
                </c:pt>
                <c:pt idx="6">
                  <c:v>539.7</c:v>
                </c:pt>
                <c:pt idx="7">
                  <c:v>540.24</c:v>
                </c:pt>
                <c:pt idx="8">
                  <c:v>538.77</c:v>
                </c:pt>
                <c:pt idx="9">
                  <c:v>544.29</c:v>
                </c:pt>
                <c:pt idx="10">
                  <c:v>536.67</c:v>
                </c:pt>
                <c:pt idx="11">
                  <c:v>542.43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44409337"/>
        <c:axId val="506953157"/>
      </c:barChart>
      <c:scatterChart>
        <c:scatterStyle val="smoothMarker"/>
        <c:varyColors val="0"/>
        <c:ser>
          <c:idx val="0"/>
          <c:order val="0"/>
          <c:tx>
            <c:strRef>
              <c:f>福建钱隆!$F$34</c:f>
              <c:strCache>
                <c:ptCount val="1"/>
                <c:pt idx="0">
                  <c:v>营业收入</c:v>
                </c:pt>
              </c:strCache>
            </c:strRef>
          </c:tx>
          <c:spPr>
            <a:ln w="28575" cap="rnd" cmpd="sng" algn="ctr">
              <a:solidFill>
                <a:schemeClr val="accent1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 cap="flat" cmpd="sng" algn="ctr">
                <a:solidFill>
                  <a:schemeClr val="accent1"/>
                </a:solidFill>
                <a:prstDash val="solid"/>
                <a:round/>
              </a:ln>
              <a:effectLst/>
            </c:spPr>
          </c:marker>
          <c:dLbls>
            <c:delete val="1"/>
          </c:dLbls>
          <c:xVal>
            <c:strRef>
              <c:f>福建钱隆!$G$33:$R$33</c:f>
              <c:strCache>
                <c:ptCount val="12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</c:strCache>
            </c:strRef>
          </c:xVal>
          <c:yVal>
            <c:numRef>
              <c:f>福建钱隆!$G$34:$R$34</c:f>
              <c:numCache>
                <c:formatCode>_ * #,##0.00_ ;[Red]_ * \-#,##0.00_ ;_ * "-"??_ ;_ @_ </c:formatCode>
                <c:ptCount val="12"/>
                <c:pt idx="0">
                  <c:v>519.185934</c:v>
                </c:pt>
                <c:pt idx="1">
                  <c:v>532.971536</c:v>
                </c:pt>
                <c:pt idx="2">
                  <c:v>517.251925</c:v>
                </c:pt>
                <c:pt idx="3">
                  <c:v>0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4409337"/>
        <c:axId val="506953157"/>
      </c:scatterChart>
      <c:catAx>
        <c:axId val="144409337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2"/>
                </a:solidFill>
                <a:latin typeface="OPPO Sans 4.0" panose="00000500000000000000" charset="-122"/>
                <a:ea typeface="OPPO Sans 4.0" panose="00000500000000000000" charset="-122"/>
                <a:cs typeface="OPPO Sans 4.0" panose="00000500000000000000" charset="-122"/>
                <a:sym typeface="OPPO Sans 4.0" panose="00000500000000000000" charset="-122"/>
              </a:defRPr>
            </a:pPr>
          </a:p>
        </c:txPr>
        <c:crossAx val="506953157"/>
        <c:crosses val="autoZero"/>
        <c:auto val="1"/>
        <c:lblAlgn val="ctr"/>
        <c:lblOffset val="100"/>
        <c:noMultiLvlLbl val="0"/>
      </c:catAx>
      <c:valAx>
        <c:axId val="50695315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prstDash val="solid"/>
              <a:round/>
            </a:ln>
            <a:effectLst/>
          </c:spPr>
        </c:majorGridlines>
        <c:numFmt formatCode="#,##0_);[Red]\(#,##0\)" sourceLinked="0"/>
        <c:majorTickMark val="none"/>
        <c:minorTickMark val="none"/>
        <c:tickLblPos val="nextTo"/>
        <c:spPr>
          <a:noFill/>
          <a:ln w="12700" cap="flat" cmpd="sng" algn="ctr">
            <a:noFill/>
            <a:prstDash val="solid"/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2"/>
                </a:solidFill>
                <a:latin typeface="OPPO Sans 4.0" panose="00000500000000000000" charset="-122"/>
                <a:ea typeface="OPPO Sans 4.0" panose="00000500000000000000" charset="-122"/>
                <a:cs typeface="OPPO Sans 4.0" panose="00000500000000000000" charset="-122"/>
                <a:sym typeface="OPPO Sans 4.0" panose="00000500000000000000" charset="-122"/>
              </a:defRPr>
            </a:pPr>
          </a:p>
        </c:txPr>
        <c:crossAx val="14440933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2"/>
                </a:solidFill>
                <a:latin typeface="OPPO Sans 4.0" panose="00000500000000000000" charset="-122"/>
                <a:ea typeface="OPPO Sans 4.0" panose="00000500000000000000" charset="-122"/>
                <a:cs typeface="OPPO Sans 4.0" panose="00000500000000000000" charset="-122"/>
                <a:sym typeface="OPPO Sans 4.0" panose="00000500000000000000" charset="-122"/>
              </a:defRPr>
            </a:pPr>
          </a:p>
        </c:txPr>
      </c:legendEntry>
      <c:legendEntry>
        <c:idx val="1"/>
        <c:txPr>
          <a:bodyPr rot="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2"/>
                </a:solidFill>
                <a:latin typeface="OPPO Sans 4.0" panose="00000500000000000000" charset="-122"/>
                <a:ea typeface="OPPO Sans 4.0" panose="00000500000000000000" charset="-122"/>
                <a:cs typeface="OPPO Sans 4.0" panose="00000500000000000000" charset="-122"/>
                <a:sym typeface="OPPO Sans 4.0" panose="00000500000000000000" charset="-122"/>
              </a:defRPr>
            </a:pPr>
          </a:p>
        </c:txPr>
      </c:legendEntry>
      <c:legendEntry>
        <c:idx val="2"/>
        <c:txPr>
          <a:bodyPr rot="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2"/>
                </a:solidFill>
                <a:latin typeface="OPPO Sans 4.0" panose="00000500000000000000" charset="-122"/>
                <a:ea typeface="OPPO Sans 4.0" panose="00000500000000000000" charset="-122"/>
                <a:cs typeface="OPPO Sans 4.0" panose="00000500000000000000" charset="-122"/>
                <a:sym typeface="OPPO Sans 4.0" panose="00000500000000000000" charset="-122"/>
              </a:defRPr>
            </a:pPr>
          </a:p>
        </c:txPr>
      </c:legendEntry>
      <c:layout>
        <c:manualLayout>
          <c:xMode val="edge"/>
          <c:yMode val="edge"/>
          <c:x val="0.0055"/>
          <c:y val="0.08175"/>
          <c:w val="0.98675"/>
          <c:h val="0.10675"/>
        </c:manualLayout>
      </c:layout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700" b="0" i="0" u="none" strike="noStrike" kern="1200" baseline="0">
              <a:solidFill>
                <a:schemeClr val="tx2"/>
              </a:solidFill>
              <a:latin typeface="OPPO Sans 4.0" panose="00000500000000000000" charset="-122"/>
              <a:ea typeface="OPPO Sans 4.0" panose="00000500000000000000" charset="-122"/>
              <a:cs typeface="OPPO Sans 4.0" panose="00000500000000000000" charset="-122"/>
              <a:sym typeface="OPPO Sans 4.0" panose="00000500000000000000" charset="-122"/>
            </a:defRPr>
          </a:pPr>
        </a:p>
      </c:txPr>
    </c:legend>
    <c:plotVisOnly val="0"/>
    <c:dispBlanksAs val="gap"/>
    <c:showDLblsOverMax val="0"/>
    <c:extLst>
      <c:ext uri="{0b15fc19-7d7d-44ad-8c2d-2c3a37ce22c3}">
        <chartProps xmlns="https://web.wps.cn/et/2018/main" chartId="{7281e8f2-48a5-4fa6-989e-c8cbf2b9369b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  <a:effectLst>
      <a:outerShdw blurRad="50800" dist="38100" dir="13500000" algn="br" rotWithShape="0">
        <a:prstClr val="black">
          <a:alpha val="40000"/>
        </a:prstClr>
      </a:outerShdw>
    </a:effectLst>
  </c:spPr>
  <c:txPr>
    <a:bodyPr wrap="square"/>
    <a:lstStyle/>
    <a:p>
      <a:pPr>
        <a:defRPr lang="zh-CN" sz="700">
          <a:solidFill>
            <a:schemeClr val="tx2"/>
          </a:solidFill>
          <a:latin typeface="OPPO Sans 4.0" panose="00000500000000000000" charset="-122"/>
          <a:ea typeface="OPPO Sans 4.0" panose="00000500000000000000" charset="-122"/>
          <a:cs typeface="OPPO Sans 4.0" panose="00000500000000000000" charset="-122"/>
          <a:sym typeface="OPPO Sans 4.0" panose="00000500000000000000" charset="-122"/>
        </a:defRPr>
      </a:pPr>
    </a:p>
  </c:txPr>
  <c:printSettings>
    <c:headerFooter/>
    <c:pageMargins b="0.75" l="0.7" r="0.7" t="0.75" header="0.3" footer="0.3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 forceAA="0"/>
          <a:lstStyle/>
          <a:p>
            <a:pPr>
              <a:defRPr lang="zh-CN" sz="1000" b="1" i="0" u="none" strike="noStrike" kern="1200" baseline="0">
                <a:solidFill>
                  <a:schemeClr val="tx2"/>
                </a:solidFill>
                <a:latin typeface="+mn-ea"/>
                <a:ea typeface="+mn-ea"/>
                <a:cs typeface="+mn-ea"/>
                <a:sym typeface="+mn-ea"/>
              </a:defRPr>
            </a:pPr>
            <a:r>
              <a:rPr lang="zh-CN" altLang="en-US" sz="1000" b="1">
                <a:solidFill>
                  <a:schemeClr val="tx2"/>
                </a:solidFill>
                <a:latin typeface="+mn-ea"/>
                <a:ea typeface="+mn-ea"/>
                <a:cs typeface="+mn-ea"/>
                <a:sym typeface="+mn-ea"/>
              </a:rPr>
              <a:t>指标趋势</a:t>
            </a:r>
            <a:endParaRPr lang="zh-CN" altLang="en-US" sz="1000" b="1" i="0" u="none" strike="noStrike" baseline="0">
              <a:solidFill>
                <a:schemeClr val="tx2"/>
              </a:solidFill>
              <a:latin typeface="+mn-ea"/>
              <a:ea typeface="+mn-ea"/>
              <a:cs typeface="+mn-ea"/>
              <a:sym typeface="+mn-ea"/>
            </a:endParaRPr>
          </a:p>
        </c:rich>
      </c:tx>
      <c:layout>
        <c:manualLayout>
          <c:xMode val="edge"/>
          <c:yMode val="edge"/>
          <c:x val="0.417274939172749"/>
          <c:y val="0.00524292205522545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63542625667465"/>
          <c:y val="0.188705554264467"/>
          <c:w val="0.830933529736697"/>
          <c:h val="0.722240297466884"/>
        </c:manualLayout>
      </c:layout>
      <c:lineChart>
        <c:grouping val="standard"/>
        <c:varyColors val="0"/>
        <c:ser>
          <c:idx val="0"/>
          <c:order val="0"/>
          <c:tx>
            <c:strRef>
              <c:f>福建钱隆!$F$40</c:f>
              <c:strCache>
                <c:ptCount val="1"/>
                <c:pt idx="0">
                  <c:v>营业收入</c:v>
                </c:pt>
              </c:strCache>
            </c:strRef>
          </c:tx>
          <c:spPr>
            <a:ln w="31750" cap="rnd" cmpd="sng" algn="ctr">
              <a:solidFill>
                <a:schemeClr val="accent1"/>
              </a:solidFill>
              <a:prstDash val="solid"/>
              <a:round/>
            </a:ln>
            <a:effectLst/>
          </c:spPr>
          <c:marker>
            <c:symbol val="circle"/>
            <c:size val="7"/>
            <c:spPr>
              <a:solidFill>
                <a:schemeClr val="accent1"/>
              </a:solidFill>
              <a:ln w="28575" cap="flat" cmpd="sng" algn="ctr">
                <a:noFill/>
                <a:prstDash val="solid"/>
                <a:round/>
              </a:ln>
            </c:spPr>
          </c:marker>
          <c:dLbls>
            <c:delete val="1"/>
          </c:dLbls>
          <c:cat>
            <c:strRef>
              <c:f>福建钱隆!$G$39:$R$39</c:f>
              <c:strCache>
                <c:ptCount val="12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</c:strCache>
            </c:strRef>
          </c:cat>
          <c:val>
            <c:numRef>
              <c:f>福建钱隆!$G$40:$R$40</c:f>
              <c:numCache>
                <c:formatCode>_ * #,##0.00_ ;_ * \-#,##0.00_ ;_ * "-"??_ ;_ @_ </c:formatCode>
                <c:ptCount val="12"/>
                <c:pt idx="0">
                  <c:v>519.185934</c:v>
                </c:pt>
                <c:pt idx="1">
                  <c:v>532.971536</c:v>
                </c:pt>
                <c:pt idx="2">
                  <c:v>517.251925</c:v>
                </c:pt>
                <c:pt idx="3">
                  <c:v>0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福建钱隆!$F$41</c:f>
              <c:strCache>
                <c:ptCount val="1"/>
                <c:pt idx="0">
                  <c:v>EBITDA</c:v>
                </c:pt>
              </c:strCache>
            </c:strRef>
          </c:tx>
          <c:spPr>
            <a:ln w="31750" cap="rnd" cmpd="sng" algn="ctr">
              <a:solidFill>
                <a:schemeClr val="accent2"/>
              </a:solidFill>
              <a:prstDash val="solid"/>
              <a:round/>
            </a:ln>
          </c:spPr>
          <c:marker>
            <c:symbol val="circle"/>
            <c:size val="7"/>
            <c:spPr>
              <a:solidFill>
                <a:schemeClr val="accent2"/>
              </a:solidFill>
              <a:ln w="28575" cap="flat" cmpd="sng" algn="ctr">
                <a:noFill/>
                <a:prstDash val="solid"/>
                <a:round/>
              </a:ln>
            </c:spPr>
          </c:marker>
          <c:dLbls>
            <c:delete val="1"/>
          </c:dLbls>
          <c:cat>
            <c:strRef>
              <c:f>福建钱隆!$G$39:$R$39</c:f>
              <c:strCache>
                <c:ptCount val="12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</c:strCache>
            </c:strRef>
          </c:cat>
          <c:val>
            <c:numRef>
              <c:f>福建钱隆!$G$41:$R$41</c:f>
              <c:numCache>
                <c:formatCode>_ * #,##0.00_ ;_ * \-#,##0.00_ ;_ * "-"??_ ;_ @_ </c:formatCode>
                <c:ptCount val="12"/>
                <c:pt idx="0">
                  <c:v>390.207468</c:v>
                </c:pt>
                <c:pt idx="1">
                  <c:v>411.250726</c:v>
                </c:pt>
                <c:pt idx="2">
                  <c:v>392.543692</c:v>
                </c:pt>
                <c:pt idx="3">
                  <c:v>0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福建钱隆!$F$42</c:f>
              <c:strCache>
                <c:ptCount val="1"/>
                <c:pt idx="0">
                  <c:v>经营活动净现金流</c:v>
                </c:pt>
              </c:strCache>
            </c:strRef>
          </c:tx>
          <c:spPr>
            <a:ln w="31750" cap="rnd" cmpd="sng" algn="ctr">
              <a:solidFill>
                <a:schemeClr val="accent3"/>
              </a:solidFill>
              <a:prstDash val="solid"/>
              <a:round/>
            </a:ln>
          </c:spPr>
          <c:marker>
            <c:symbol val="circle"/>
            <c:size val="7"/>
            <c:spPr>
              <a:solidFill>
                <a:schemeClr val="accent3"/>
              </a:solidFill>
              <a:ln w="28575" cap="flat" cmpd="sng" algn="ctr">
                <a:noFill/>
                <a:prstDash val="solid"/>
                <a:round/>
              </a:ln>
            </c:spPr>
          </c:marker>
          <c:dLbls>
            <c:delete val="1"/>
          </c:dLbls>
          <c:cat>
            <c:strRef>
              <c:f>福建钱隆!$G$39:$R$39</c:f>
              <c:strCache>
                <c:ptCount val="12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</c:strCache>
            </c:strRef>
          </c:cat>
          <c:val>
            <c:numRef>
              <c:f>福建钱隆!$G$42:$R$42</c:f>
              <c:numCache>
                <c:formatCode>_ * #,##0.00_ ;_ * \-#,##0.00_ ;_ * "-"??_ ;_ @_ </c:formatCode>
                <c:ptCount val="12"/>
                <c:pt idx="0">
                  <c:v>501.215726</c:v>
                </c:pt>
                <c:pt idx="1">
                  <c:v>344.23802</c:v>
                </c:pt>
                <c:pt idx="2">
                  <c:v>920.004337</c:v>
                </c:pt>
                <c:pt idx="3">
                  <c:v>0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福建钱隆!$F$43</c:f>
              <c:strCache>
                <c:ptCount val="1"/>
                <c:pt idx="0">
                  <c:v>经营支出小计</c:v>
                </c:pt>
              </c:strCache>
            </c:strRef>
          </c:tx>
          <c:spPr>
            <a:ln w="31750" cap="rnd" cmpd="sng" algn="ctr">
              <a:solidFill>
                <a:schemeClr val="accent4"/>
              </a:solidFill>
              <a:prstDash val="solid"/>
              <a:round/>
            </a:ln>
          </c:spPr>
          <c:marker>
            <c:symbol val="circle"/>
            <c:size val="7"/>
            <c:spPr>
              <a:solidFill>
                <a:schemeClr val="accent4"/>
              </a:solidFill>
              <a:ln w="28575" cap="flat" cmpd="sng" algn="ctr">
                <a:noFill/>
                <a:prstDash val="solid"/>
                <a:round/>
              </a:ln>
            </c:spPr>
          </c:marker>
          <c:dLbls>
            <c:delete val="1"/>
          </c:dLbls>
          <c:cat>
            <c:strRef>
              <c:f>福建钱隆!$G$39:$R$39</c:f>
              <c:strCache>
                <c:ptCount val="12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</c:strCache>
            </c:strRef>
          </c:cat>
          <c:val>
            <c:numRef>
              <c:f>福建钱隆!$G$43:$R$43</c:f>
              <c:numCache>
                <c:formatCode>_ * #,##0.00_ ;_ * \-#,##0.00_ ;_ * "-"??_ ;_ @_ </c:formatCode>
                <c:ptCount val="12"/>
                <c:pt idx="0">
                  <c:v>36.843094</c:v>
                </c:pt>
                <c:pt idx="1">
                  <c:v>30.590467</c:v>
                </c:pt>
                <c:pt idx="2">
                  <c:v>37.133258</c:v>
                </c:pt>
                <c:pt idx="3">
                  <c:v>0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92552443"/>
        <c:axId val="412671298"/>
      </c:lineChart>
      <c:catAx>
        <c:axId val="392552443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low"/>
        <c:spPr>
          <a:noFill/>
          <a:ln w="6350" cap="flat" cmpd="sng" algn="ctr">
            <a:noFill/>
            <a:prstDash val="solid"/>
            <a:round/>
          </a:ln>
        </c:spPr>
        <c:txPr>
          <a:bodyPr rot="-60000000" spcFirstLastPara="0" vertOverflow="ellipsis" vert="horz" wrap="square" anchor="ctr" anchorCtr="1" forceAA="0"/>
          <a:lstStyle/>
          <a:p>
            <a:pPr>
              <a:defRPr lang="zh-CN" sz="800" b="0" i="0" u="none" strike="noStrike" kern="1200" baseline="0">
                <a:solidFill>
                  <a:schemeClr val="tx2"/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</a:p>
        </c:txPr>
        <c:crossAx val="412671298"/>
        <c:crosses val="autoZero"/>
        <c:auto val="1"/>
        <c:lblAlgn val="ctr"/>
        <c:lblOffset val="100"/>
        <c:noMultiLvlLbl val="0"/>
      </c:catAx>
      <c:valAx>
        <c:axId val="41267129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90000"/>
                </a:schemeClr>
              </a:solidFill>
              <a:prstDash val="solid"/>
              <a:round/>
            </a:ln>
          </c:spPr>
        </c:majorGridlines>
        <c:numFmt formatCode="_ * #,##0.00_ ;_ * \-#,##0.00_ ;_ * &quot;-&quot;??_ ;_ @_ " sourceLinked="1"/>
        <c:majorTickMark val="none"/>
        <c:minorTickMark val="in"/>
        <c:tickLblPos val="low"/>
        <c:spPr>
          <a:noFill/>
          <a:ln w="6350" cap="flat" cmpd="sng" algn="ctr">
            <a:noFill/>
            <a:prstDash val="solid"/>
            <a:round/>
          </a:ln>
        </c:spPr>
        <c:txPr>
          <a:bodyPr rot="-60000000" spcFirstLastPara="0" vertOverflow="ellipsis" vert="horz" wrap="square" anchor="ctr" anchorCtr="1" forceAA="0"/>
          <a:lstStyle/>
          <a:p>
            <a:pPr>
              <a:defRPr lang="zh-CN" sz="800" b="0" i="0" u="none" strike="noStrike" kern="1200" baseline="0">
                <a:solidFill>
                  <a:schemeClr val="tx2"/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</a:p>
        </c:txPr>
        <c:crossAx val="392552443"/>
        <c:crosses val="autoZero"/>
        <c:crossBetween val="between"/>
      </c:valAx>
      <c:spPr>
        <a:noFill/>
      </c:spPr>
    </c:plotArea>
    <c:legend>
      <c:legendPos val="r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2"/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</a:p>
        </c:txPr>
      </c:legendEntry>
      <c:legendEntry>
        <c:idx val="1"/>
        <c:txPr>
          <a:bodyPr rot="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2"/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</a:p>
        </c:txPr>
      </c:legendEntry>
      <c:legendEntry>
        <c:idx val="2"/>
        <c:txPr>
          <a:bodyPr rot="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2"/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</a:p>
        </c:txPr>
      </c:legendEntry>
      <c:legendEntry>
        <c:idx val="3"/>
        <c:txPr>
          <a:bodyPr rot="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2"/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</a:p>
        </c:txPr>
      </c:legendEntry>
      <c:layout>
        <c:manualLayout>
          <c:xMode val="edge"/>
          <c:yMode val="edge"/>
          <c:x val="0.0055"/>
          <c:y val="0.08625"/>
          <c:w val="0.98675"/>
          <c:h val="0.0975"/>
        </c:manualLayout>
      </c:layout>
      <c:overlay val="0"/>
      <c:txPr>
        <a:bodyPr rot="0" spcFirstLastPara="0" vertOverflow="ellipsis" vert="horz" wrap="square" anchor="ctr" anchorCtr="1"/>
        <a:lstStyle/>
        <a:p>
          <a:pPr>
            <a:defRPr lang="zh-CN" sz="700" b="0" i="0" u="none" strike="noStrike" kern="1200" baseline="0">
              <a:solidFill>
                <a:schemeClr val="tx2"/>
              </a:solidFill>
              <a:latin typeface="微软雅黑" panose="020B0503020204020204" charset="-122"/>
              <a:ea typeface="微软雅黑" panose="020B0503020204020204" charset="-122"/>
              <a:cs typeface="微软雅黑" panose="020B0503020204020204" charset="-122"/>
              <a:sym typeface="微软雅黑" panose="020B0503020204020204" charset="-122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5a9bb0bf-326e-421a-9ffb-303166069857}"/>
      </c:ext>
    </c:extLst>
  </c:chart>
  <c:spPr>
    <a:solidFill>
      <a:schemeClr val="bg1"/>
    </a:solidFill>
    <a:ln w="6350" cap="flat" cmpd="sng" algn="ctr">
      <a:solidFill>
        <a:schemeClr val="tx1">
          <a:lumMod val="50000"/>
          <a:lumOff val="50000"/>
          <a:alpha val="25000"/>
        </a:schemeClr>
      </a:solidFill>
      <a:prstDash val="solid"/>
      <a:round/>
    </a:ln>
    <a:effectLst>
      <a:outerShdw blurRad="50800" dist="38100" dir="13500000" algn="br" rotWithShape="0">
        <a:prstClr val="black">
          <a:alpha val="40000"/>
        </a:prstClr>
      </a:outerShdw>
    </a:effectLst>
  </c:spPr>
  <c:txPr>
    <a:bodyPr wrap="square"/>
    <a:lstStyle/>
    <a:p>
      <a:pPr>
        <a:defRPr lang="zh-CN" sz="1000" b="0">
          <a:solidFill>
            <a:schemeClr val="tx2"/>
          </a:solidFill>
          <a:latin typeface="微软雅黑" panose="020B0503020204020204" charset="-122"/>
          <a:ea typeface="微软雅黑" panose="020B0503020204020204" charset="-122"/>
          <a:cs typeface="微软雅黑" panose="020B0503020204020204" charset="-122"/>
          <a:sym typeface="微软雅黑" panose="020B0503020204020204" charset="-122"/>
        </a:defRPr>
      </a:pPr>
    </a:p>
  </c:txPr>
  <c:printSettings>
    <c:headerFooter/>
    <c:pageMargins b="0.75" l="0.7" r="0.7" t="0.75" header="0.3" footer="0.3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000" b="1" i="0" u="none" strike="noStrike" kern="1200" baseline="0">
                <a:solidFill>
                  <a:schemeClr val="tx2"/>
                </a:solidFill>
                <a:latin typeface="+mn-ea"/>
                <a:ea typeface="+mn-ea"/>
                <a:cs typeface="+mn-ea"/>
                <a:sym typeface="+mn-ea"/>
              </a:defRPr>
            </a:pPr>
            <a:r>
              <a:rPr lang="zh-CN" altLang="en-US" sz="1000">
                <a:solidFill>
                  <a:schemeClr val="tx2"/>
                </a:solidFill>
                <a:latin typeface="+mn-ea"/>
                <a:ea typeface="+mn-ea"/>
                <a:cs typeface="+mn-ea"/>
                <a:sym typeface="+mn-ea"/>
              </a:rPr>
              <a:t>任务进度</a:t>
            </a:r>
            <a:endParaRPr lang="zh-CN" altLang="en-US" sz="1000" b="1" i="0" u="none" strike="noStrike" baseline="0">
              <a:solidFill>
                <a:schemeClr val="tx2"/>
              </a:solidFill>
              <a:latin typeface="+mn-ea"/>
              <a:ea typeface="+mn-ea"/>
              <a:cs typeface="+mn-ea"/>
              <a:sym typeface="+mn-ea"/>
            </a:endParaRPr>
          </a:p>
        </c:rich>
      </c:tx>
      <c:layout>
        <c:manualLayout>
          <c:xMode val="edge"/>
          <c:yMode val="edge"/>
          <c:x val="0.445"/>
          <c:y val="0.00694605232692753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0958939421837599"/>
          <c:y val="0.188821752265861"/>
          <c:w val="0.791824709998159"/>
          <c:h val="0.69688589356263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春夏秋冬!$D$1</c:f>
              <c:strCache>
                <c:ptCount val="1"/>
                <c:pt idx="0">
                  <c:v>年度目标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春夏秋冬!$C$2:$C$5</c:f>
              <c:strCache>
                <c:ptCount val="4"/>
                <c:pt idx="0">
                  <c:v>营业收入</c:v>
                </c:pt>
                <c:pt idx="1">
                  <c:v>EBITDA</c:v>
                </c:pt>
                <c:pt idx="2">
                  <c:v>经营活动净现金流</c:v>
                </c:pt>
                <c:pt idx="3">
                  <c:v>经营支出</c:v>
                </c:pt>
              </c:strCache>
            </c:strRef>
          </c:cat>
          <c:val>
            <c:numRef>
              <c:f>春夏秋冬!$D$2:$D$5</c:f>
              <c:numCache>
                <c:formatCode>_ * #,##0.00_ ;[Red]_ * \-#,##0.00_ ;_ * "-"??_ ;_ @_ </c:formatCode>
                <c:ptCount val="4"/>
                <c:pt idx="0">
                  <c:v>1494.87619047619</c:v>
                </c:pt>
                <c:pt idx="1">
                  <c:v>903.57</c:v>
                </c:pt>
                <c:pt idx="2">
                  <c:v>664.10036025</c:v>
                </c:pt>
                <c:pt idx="3">
                  <c:v>835.1</c:v>
                </c:pt>
              </c:numCache>
            </c:numRef>
          </c:val>
        </c:ser>
        <c:ser>
          <c:idx val="1"/>
          <c:order val="1"/>
          <c:tx>
            <c:strRef>
              <c:f>春夏秋冬!$E$1</c:f>
              <c:strCache>
                <c:ptCount val="1"/>
                <c:pt idx="0">
                  <c:v>实际达成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春夏秋冬!$C$2:$C$5</c:f>
              <c:strCache>
                <c:ptCount val="4"/>
                <c:pt idx="0">
                  <c:v>营业收入</c:v>
                </c:pt>
                <c:pt idx="1">
                  <c:v>EBITDA</c:v>
                </c:pt>
                <c:pt idx="2">
                  <c:v>经营活动净现金流</c:v>
                </c:pt>
                <c:pt idx="3">
                  <c:v>经营支出</c:v>
                </c:pt>
              </c:strCache>
            </c:strRef>
          </c:cat>
          <c:val>
            <c:numRef>
              <c:f>春夏秋冬!$E$2:$E$5</c:f>
              <c:numCache>
                <c:formatCode>_ * #,##0.00_ ;[Red]_ * \-#,##0.00_ ;_ * "-"??_ ;_ @_ </c:formatCode>
                <c:ptCount val="4"/>
                <c:pt idx="0">
                  <c:v>310.7</c:v>
                </c:pt>
                <c:pt idx="1">
                  <c:v>162.39</c:v>
                </c:pt>
                <c:pt idx="2">
                  <c:v>67.26</c:v>
                </c:pt>
                <c:pt idx="3">
                  <c:v>74.5193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65991979"/>
        <c:axId val="576964097"/>
      </c:barChart>
      <c:lineChart>
        <c:grouping val="standard"/>
        <c:varyColors val="0"/>
        <c:ser>
          <c:idx val="2"/>
          <c:order val="2"/>
          <c:tx>
            <c:strRef>
              <c:f>春夏秋冬!$F$1</c:f>
              <c:strCache>
                <c:ptCount val="1"/>
                <c:pt idx="0">
                  <c:v>年度目标达成率</c:v>
                </c:pt>
              </c:strCache>
            </c:strRef>
          </c:tx>
          <c:spPr>
            <a:ln w="28575" cap="rnd" cmpd="sng" algn="ctr">
              <a:solidFill>
                <a:schemeClr val="accent3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 cap="flat" cmpd="sng" algn="ctr">
                <a:solidFill>
                  <a:schemeClr val="accent3"/>
                </a:solidFill>
                <a:prstDash val="solid"/>
                <a:round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700" b="0" i="0" u="none" strike="noStrike" kern="1200" baseline="0">
                    <a:solidFill>
                      <a:schemeClr val="tx2"/>
                    </a:solidFill>
                    <a:latin typeface="+mn-ea"/>
                    <a:ea typeface="+mn-ea"/>
                    <a:cs typeface="+mn-ea"/>
                    <a:sym typeface="+mn-ea"/>
                  </a:defRPr>
                </a:pPr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cat>
            <c:strRef>
              <c:f>春夏秋冬!$C$2:$C$5</c:f>
              <c:strCache>
                <c:ptCount val="4"/>
                <c:pt idx="0">
                  <c:v>营业收入</c:v>
                </c:pt>
                <c:pt idx="1">
                  <c:v>EBITDA</c:v>
                </c:pt>
                <c:pt idx="2">
                  <c:v>经营活动净现金流</c:v>
                </c:pt>
                <c:pt idx="3">
                  <c:v>经营支出</c:v>
                </c:pt>
              </c:strCache>
            </c:strRef>
          </c:cat>
          <c:val>
            <c:numRef>
              <c:f>春夏秋冬!$F$2:$F$5</c:f>
              <c:numCache>
                <c:formatCode>_ * #,##0.00%_ ;[Red]_ * \-#,##0.00%_ ;_ * "-"??_ ;_ @_ </c:formatCode>
                <c:ptCount val="4"/>
                <c:pt idx="0">
                  <c:v>0.207843299652145</c:v>
                </c:pt>
                <c:pt idx="1">
                  <c:v>0.179720442245758</c:v>
                </c:pt>
                <c:pt idx="2">
                  <c:v>0.101279872781096</c:v>
                </c:pt>
                <c:pt idx="3">
                  <c:v>0.0892339839540175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42134562"/>
        <c:axId val="557656910"/>
      </c:lineChart>
      <c:catAx>
        <c:axId val="265991979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  <a:effectLst/>
        </c:spPr>
        <c:txPr>
          <a:bodyPr rot="42000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2"/>
                </a:solidFill>
                <a:latin typeface="+mn-ea"/>
                <a:ea typeface="+mn-ea"/>
                <a:cs typeface="+mn-ea"/>
                <a:sym typeface="+mn-ea"/>
              </a:defRPr>
            </a:pPr>
          </a:p>
        </c:txPr>
        <c:crossAx val="576964097"/>
        <c:crosses val="autoZero"/>
        <c:auto val="1"/>
        <c:lblAlgn val="ctr"/>
        <c:lblOffset val="100"/>
        <c:noMultiLvlLbl val="0"/>
      </c:catAx>
      <c:valAx>
        <c:axId val="57696409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prstDash val="solid"/>
              <a:round/>
            </a:ln>
            <a:effectLst/>
          </c:spPr>
        </c:majorGridlines>
        <c:numFmt formatCode="#,##0_);[Red]\(#,##0\)" sourceLinked="0"/>
        <c:majorTickMark val="none"/>
        <c:minorTickMark val="none"/>
        <c:tickLblPos val="nextTo"/>
        <c:spPr>
          <a:noFill/>
          <a:ln w="12700" cap="flat" cmpd="sng" algn="ctr">
            <a:noFill/>
            <a:prstDash val="solid"/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2"/>
                </a:solidFill>
                <a:latin typeface="+mn-ea"/>
                <a:ea typeface="+mn-ea"/>
                <a:cs typeface="+mn-ea"/>
                <a:sym typeface="+mn-ea"/>
              </a:defRPr>
            </a:pPr>
          </a:p>
        </c:txPr>
        <c:crossAx val="265991979"/>
        <c:crosses val="autoZero"/>
        <c:crossBetween val="between"/>
      </c:valAx>
      <c:catAx>
        <c:axId val="24213456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2"/>
                </a:solidFill>
                <a:latin typeface="+mn-ea"/>
                <a:ea typeface="+mn-ea"/>
                <a:cs typeface="+mn-ea"/>
                <a:sym typeface="+mn-ea"/>
              </a:defRPr>
            </a:pPr>
          </a:p>
        </c:txPr>
        <c:crossAx val="557656910"/>
        <c:crosses val="autoZero"/>
        <c:auto val="1"/>
        <c:lblAlgn val="ctr"/>
        <c:lblOffset val="100"/>
        <c:noMultiLvlLbl val="0"/>
      </c:catAx>
      <c:valAx>
        <c:axId val="557656910"/>
        <c:scaling>
          <c:orientation val="minMax"/>
        </c:scaling>
        <c:delete val="0"/>
        <c:axPos val="r"/>
        <c:numFmt formatCode="0%" sourceLinked="0"/>
        <c:majorTickMark val="out"/>
        <c:minorTickMark val="none"/>
        <c:tickLblPos val="nextTo"/>
        <c:spPr>
          <a:noFill/>
          <a:ln w="12700" cap="flat" cmpd="sng" algn="ctr">
            <a:noFill/>
            <a:prstDash val="solid"/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2"/>
                </a:solidFill>
                <a:latin typeface="+mn-ea"/>
                <a:ea typeface="+mn-ea"/>
                <a:cs typeface="+mn-ea"/>
                <a:sym typeface="+mn-ea"/>
              </a:defRPr>
            </a:pPr>
          </a:p>
        </c:txPr>
        <c:crossAx val="242134562"/>
        <c:crosses val="max"/>
        <c:crossBetween val="between"/>
      </c:valAx>
      <c:spPr>
        <a:noFill/>
        <a:ln>
          <a:noFill/>
        </a:ln>
        <a:effectLst/>
      </c:spPr>
    </c:plotArea>
    <c:legend>
      <c:legendPos val="r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2"/>
                </a:solidFill>
                <a:latin typeface="+mn-ea"/>
                <a:ea typeface="+mn-ea"/>
                <a:cs typeface="+mn-ea"/>
                <a:sym typeface="+mn-ea"/>
              </a:defRPr>
            </a:pPr>
          </a:p>
        </c:txPr>
      </c:legendEntry>
      <c:legendEntry>
        <c:idx val="1"/>
        <c:txPr>
          <a:bodyPr rot="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2"/>
                </a:solidFill>
                <a:latin typeface="+mn-ea"/>
                <a:ea typeface="+mn-ea"/>
                <a:cs typeface="+mn-ea"/>
                <a:sym typeface="+mn-ea"/>
              </a:defRPr>
            </a:pPr>
          </a:p>
        </c:txPr>
      </c:legendEntry>
      <c:legendEntry>
        <c:idx val="2"/>
        <c:txPr>
          <a:bodyPr rot="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2"/>
                </a:solidFill>
                <a:latin typeface="+mn-ea"/>
                <a:ea typeface="+mn-ea"/>
                <a:cs typeface="+mn-ea"/>
                <a:sym typeface="+mn-ea"/>
              </a:defRPr>
            </a:pPr>
          </a:p>
        </c:txPr>
      </c:legendEntry>
      <c:layout>
        <c:manualLayout>
          <c:xMode val="edge"/>
          <c:yMode val="edge"/>
          <c:x val="0.0055"/>
          <c:y val="0.07925"/>
          <c:w val="0.98675"/>
          <c:h val="0.102"/>
        </c:manualLayout>
      </c:layout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700" b="0" i="0" u="none" strike="noStrike" kern="1200" baseline="0">
              <a:solidFill>
                <a:schemeClr val="tx2"/>
              </a:solidFill>
              <a:latin typeface="+mn-ea"/>
              <a:ea typeface="+mn-ea"/>
              <a:cs typeface="+mn-ea"/>
              <a:sym typeface="+mn-ea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f307d10d-5ec5-4267-8db4-96ba10f179b8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  <a:effectLst>
      <a:outerShdw blurRad="50800" dist="38100" dir="13500000" algn="br" rotWithShape="0">
        <a:prstClr val="black">
          <a:alpha val="40000"/>
        </a:prstClr>
      </a:outerShdw>
    </a:effectLst>
  </c:spPr>
  <c:txPr>
    <a:bodyPr wrap="square"/>
    <a:lstStyle/>
    <a:p>
      <a:pPr>
        <a:defRPr lang="zh-CN" sz="700">
          <a:solidFill>
            <a:schemeClr val="tx2"/>
          </a:solidFill>
          <a:latin typeface="+mn-ea"/>
          <a:ea typeface="+mn-ea"/>
          <a:cs typeface="+mn-ea"/>
          <a:sym typeface="+mn-ea"/>
        </a:defRPr>
      </a:pPr>
    </a:p>
  </c:txPr>
  <c:printSettings>
    <c:headerFooter/>
    <c:pageMargins b="0.75" l="0.7" r="0.7" t="0.75" header="0.3" footer="0.3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000" b="1" i="0" u="none" strike="noStrike" kern="1200" baseline="0">
                <a:solidFill>
                  <a:schemeClr val="tx2"/>
                </a:solidFill>
                <a:latin typeface="+mn-ea"/>
                <a:ea typeface="+mn-ea"/>
                <a:cs typeface="+mn-ea"/>
                <a:sym typeface="+mn-ea"/>
              </a:defRPr>
            </a:pPr>
            <a:r>
              <a:rPr lang="zh-CN" altLang="en-US" sz="1000">
                <a:solidFill>
                  <a:schemeClr val="tx2"/>
                </a:solidFill>
                <a:latin typeface="+mn-ea"/>
                <a:ea typeface="+mn-ea"/>
                <a:cs typeface="+mn-ea"/>
                <a:sym typeface="+mn-ea"/>
              </a:rPr>
              <a:t>营收比较</a:t>
            </a:r>
            <a:endParaRPr lang="zh-CN" altLang="en-US" sz="1000" b="1" i="0" u="none" strike="noStrike" baseline="0">
              <a:solidFill>
                <a:schemeClr val="tx2"/>
              </a:solidFill>
              <a:latin typeface="+mn-ea"/>
              <a:ea typeface="+mn-ea"/>
              <a:cs typeface="+mn-ea"/>
              <a:sym typeface="+mn-ea"/>
            </a:endParaRPr>
          </a:p>
        </c:rich>
      </c:tx>
      <c:layout>
        <c:manualLayout>
          <c:xMode val="edge"/>
          <c:yMode val="edge"/>
          <c:x val="0.457999545333275"/>
          <c:y val="0.00653879686137751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0936844043454244"/>
          <c:y val="0.188705554264467"/>
          <c:w val="0.900791751058737"/>
          <c:h val="0.732558679990704"/>
        </c:manualLayout>
      </c:layout>
      <c:barChart>
        <c:barDir val="col"/>
        <c:grouping val="clustered"/>
        <c:varyColors val="0"/>
        <c:ser>
          <c:idx val="1"/>
          <c:order val="1"/>
          <c:tx>
            <c:strRef>
              <c:f>春夏秋冬!$F$35</c:f>
              <c:strCache>
                <c:ptCount val="1"/>
                <c:pt idx="0">
                  <c:v>同期营收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春夏秋冬!$G$33:$R$33</c:f>
              <c:strCache>
                <c:ptCount val="12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</c:strCache>
            </c:strRef>
          </c:cat>
          <c:val>
            <c:numRef>
              <c:f>春夏秋冬!$G$35:$R$35</c:f>
              <c:numCache>
                <c:formatCode>_ * #,##0.00_ ;[Red]_ * \-#,##0.00_ ;_ * "-"??_ ;_ @_ </c:formatCode>
                <c:ptCount val="12"/>
                <c:pt idx="0">
                  <c:v>111.6</c:v>
                </c:pt>
                <c:pt idx="1">
                  <c:v>120.92</c:v>
                </c:pt>
                <c:pt idx="2">
                  <c:v>113.45</c:v>
                </c:pt>
                <c:pt idx="3">
                  <c:v>120.32</c:v>
                </c:pt>
                <c:pt idx="4">
                  <c:v>111.4</c:v>
                </c:pt>
                <c:pt idx="5">
                  <c:v>106.45</c:v>
                </c:pt>
                <c:pt idx="6">
                  <c:v>110.76</c:v>
                </c:pt>
                <c:pt idx="7">
                  <c:v>103.39</c:v>
                </c:pt>
                <c:pt idx="8">
                  <c:v>119.5</c:v>
                </c:pt>
                <c:pt idx="9">
                  <c:v>126.5</c:v>
                </c:pt>
                <c:pt idx="10">
                  <c:v>118.9</c:v>
                </c:pt>
                <c:pt idx="11">
                  <c:v>109.64</c:v>
                </c:pt>
              </c:numCache>
            </c:numRef>
          </c:val>
        </c:ser>
        <c:ser>
          <c:idx val="2"/>
          <c:order val="2"/>
          <c:tx>
            <c:strRef>
              <c:f>春夏秋冬!$F$36</c:f>
              <c:strCache>
                <c:ptCount val="1"/>
                <c:pt idx="0">
                  <c:v>营收分解计划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春夏秋冬!$G$33:$R$33</c:f>
              <c:strCache>
                <c:ptCount val="12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</c:strCache>
            </c:strRef>
          </c:cat>
          <c:val>
            <c:numRef>
              <c:f>春夏秋冬!$G$36:$R$36</c:f>
              <c:numCache>
                <c:formatCode>_ * #,##0.00_ ;[Red]_ * \-#,##0.00_ ;_ * "-"??_ ;_ @_ </c:formatCode>
                <c:ptCount val="12"/>
                <c:pt idx="0">
                  <c:v>111.471428571429</c:v>
                </c:pt>
                <c:pt idx="1">
                  <c:v>104.851428571429</c:v>
                </c:pt>
                <c:pt idx="2">
                  <c:v>119.391428571429</c:v>
                </c:pt>
                <c:pt idx="3">
                  <c:v>121.311428571429</c:v>
                </c:pt>
                <c:pt idx="4">
                  <c:v>123.641428571429</c:v>
                </c:pt>
                <c:pt idx="5">
                  <c:v>125.651428571429</c:v>
                </c:pt>
                <c:pt idx="6">
                  <c:v>129.101428571429</c:v>
                </c:pt>
                <c:pt idx="7">
                  <c:v>132.819047619048</c:v>
                </c:pt>
                <c:pt idx="8">
                  <c:v>131.57</c:v>
                </c:pt>
                <c:pt idx="9">
                  <c:v>130.409047619048</c:v>
                </c:pt>
                <c:pt idx="10">
                  <c:v>131.899047619048</c:v>
                </c:pt>
                <c:pt idx="11">
                  <c:v>132.759047619048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63682630"/>
        <c:axId val="583880856"/>
      </c:barChart>
      <c:scatterChart>
        <c:scatterStyle val="smoothMarker"/>
        <c:varyColors val="0"/>
        <c:ser>
          <c:idx val="0"/>
          <c:order val="0"/>
          <c:tx>
            <c:strRef>
              <c:f>春夏秋冬!$F$34</c:f>
              <c:strCache>
                <c:ptCount val="1"/>
                <c:pt idx="0">
                  <c:v>营业收入</c:v>
                </c:pt>
              </c:strCache>
            </c:strRef>
          </c:tx>
          <c:spPr>
            <a:ln w="28575" cap="rnd" cmpd="sng" algn="ctr">
              <a:solidFill>
                <a:schemeClr val="accent1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 cap="flat" cmpd="sng" algn="ctr">
                <a:solidFill>
                  <a:schemeClr val="accent1"/>
                </a:solidFill>
                <a:prstDash val="solid"/>
                <a:round/>
              </a:ln>
              <a:effectLst/>
            </c:spPr>
          </c:marker>
          <c:dLbls>
            <c:delete val="1"/>
          </c:dLbls>
          <c:xVal>
            <c:strRef>
              <c:f>春夏秋冬!$G$33:$R$33</c:f>
              <c:strCache>
                <c:ptCount val="12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</c:strCache>
            </c:strRef>
          </c:xVal>
          <c:yVal>
            <c:numRef>
              <c:f>春夏秋冬!$G$34:$R$34</c:f>
              <c:numCache>
                <c:formatCode>_ * #,##0.00_ ;[Red]_ * \-#,##0.00_ ;_ * "-"??_ ;_ @_ </c:formatCode>
                <c:ptCount val="12"/>
                <c:pt idx="0">
                  <c:v>115.23</c:v>
                </c:pt>
                <c:pt idx="1">
                  <c:v>97.66</c:v>
                </c:pt>
                <c:pt idx="2">
                  <c:v>97.81</c:v>
                </c:pt>
                <c:pt idx="3">
                  <c:v>0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63682630"/>
        <c:axId val="583880856"/>
      </c:scatterChart>
      <c:catAx>
        <c:axId val="86368263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2"/>
                </a:solidFill>
                <a:latin typeface="OPPO Sans 4.0" panose="00000500000000000000" charset="-122"/>
                <a:ea typeface="OPPO Sans 4.0" panose="00000500000000000000" charset="-122"/>
                <a:cs typeface="OPPO Sans 4.0" panose="00000500000000000000" charset="-122"/>
                <a:sym typeface="OPPO Sans 4.0" panose="00000500000000000000" charset="-122"/>
              </a:defRPr>
            </a:pPr>
          </a:p>
        </c:txPr>
        <c:crossAx val="583880856"/>
        <c:crosses val="autoZero"/>
        <c:auto val="1"/>
        <c:lblAlgn val="ctr"/>
        <c:lblOffset val="100"/>
        <c:noMultiLvlLbl val="0"/>
      </c:catAx>
      <c:valAx>
        <c:axId val="5838808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prstDash val="solid"/>
              <a:round/>
            </a:ln>
            <a:effectLst/>
          </c:spPr>
        </c:majorGridlines>
        <c:numFmt formatCode="#,##0_);[Red]\(#,##0\)" sourceLinked="0"/>
        <c:majorTickMark val="none"/>
        <c:minorTickMark val="none"/>
        <c:tickLblPos val="nextTo"/>
        <c:spPr>
          <a:noFill/>
          <a:ln w="12700" cap="flat" cmpd="sng" algn="ctr">
            <a:noFill/>
            <a:prstDash val="solid"/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2"/>
                </a:solidFill>
                <a:latin typeface="OPPO Sans 4.0" panose="00000500000000000000" charset="-122"/>
                <a:ea typeface="OPPO Sans 4.0" panose="00000500000000000000" charset="-122"/>
                <a:cs typeface="OPPO Sans 4.0" panose="00000500000000000000" charset="-122"/>
                <a:sym typeface="OPPO Sans 4.0" panose="00000500000000000000" charset="-122"/>
              </a:defRPr>
            </a:pPr>
          </a:p>
        </c:txPr>
        <c:crossAx val="86368263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2"/>
                </a:solidFill>
                <a:latin typeface="OPPO Sans 4.0" panose="00000500000000000000" charset="-122"/>
                <a:ea typeface="OPPO Sans 4.0" panose="00000500000000000000" charset="-122"/>
                <a:cs typeface="OPPO Sans 4.0" panose="00000500000000000000" charset="-122"/>
                <a:sym typeface="OPPO Sans 4.0" panose="00000500000000000000" charset="-122"/>
              </a:defRPr>
            </a:pPr>
          </a:p>
        </c:txPr>
      </c:legendEntry>
      <c:legendEntry>
        <c:idx val="1"/>
        <c:txPr>
          <a:bodyPr rot="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2"/>
                </a:solidFill>
                <a:latin typeface="OPPO Sans 4.0" panose="00000500000000000000" charset="-122"/>
                <a:ea typeface="OPPO Sans 4.0" panose="00000500000000000000" charset="-122"/>
                <a:cs typeface="OPPO Sans 4.0" panose="00000500000000000000" charset="-122"/>
                <a:sym typeface="OPPO Sans 4.0" panose="00000500000000000000" charset="-122"/>
              </a:defRPr>
            </a:pPr>
          </a:p>
        </c:txPr>
      </c:legendEntry>
      <c:legendEntry>
        <c:idx val="2"/>
        <c:txPr>
          <a:bodyPr rot="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2"/>
                </a:solidFill>
                <a:latin typeface="OPPO Sans 4.0" panose="00000500000000000000" charset="-122"/>
                <a:ea typeface="OPPO Sans 4.0" panose="00000500000000000000" charset="-122"/>
                <a:cs typeface="OPPO Sans 4.0" panose="00000500000000000000" charset="-122"/>
                <a:sym typeface="OPPO Sans 4.0" panose="00000500000000000000" charset="-122"/>
              </a:defRPr>
            </a:pPr>
          </a:p>
        </c:txPr>
      </c:legendEntry>
      <c:layout>
        <c:manualLayout>
          <c:xMode val="edge"/>
          <c:yMode val="edge"/>
          <c:x val="0.0055"/>
          <c:y val="0.08175"/>
          <c:w val="0.98675"/>
          <c:h val="0.10675"/>
        </c:manualLayout>
      </c:layout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700" b="0" i="0" u="none" strike="noStrike" kern="1200" baseline="0">
              <a:solidFill>
                <a:schemeClr val="tx2"/>
              </a:solidFill>
              <a:latin typeface="OPPO Sans 4.0" panose="00000500000000000000" charset="-122"/>
              <a:ea typeface="OPPO Sans 4.0" panose="00000500000000000000" charset="-122"/>
              <a:cs typeface="OPPO Sans 4.0" panose="00000500000000000000" charset="-122"/>
              <a:sym typeface="OPPO Sans 4.0" panose="00000500000000000000" charset="-122"/>
            </a:defRPr>
          </a:pPr>
        </a:p>
      </c:txPr>
    </c:legend>
    <c:plotVisOnly val="0"/>
    <c:dispBlanksAs val="gap"/>
    <c:showDLblsOverMax val="0"/>
    <c:extLst>
      <c:ext uri="{0b15fc19-7d7d-44ad-8c2d-2c3a37ce22c3}">
        <chartProps xmlns="https://web.wps.cn/et/2018/main" chartId="{dd4e8c1e-5eaa-4ea6-bd4c-0dd603a8286e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  <a:effectLst>
      <a:outerShdw blurRad="50800" dist="38100" dir="13500000" algn="br" rotWithShape="0">
        <a:prstClr val="black">
          <a:alpha val="40000"/>
        </a:prstClr>
      </a:outerShdw>
    </a:effectLst>
  </c:spPr>
  <c:txPr>
    <a:bodyPr wrap="square"/>
    <a:lstStyle/>
    <a:p>
      <a:pPr>
        <a:defRPr lang="zh-CN" sz="700">
          <a:solidFill>
            <a:schemeClr val="tx2"/>
          </a:solidFill>
          <a:latin typeface="OPPO Sans 4.0" panose="00000500000000000000" charset="-122"/>
          <a:ea typeface="OPPO Sans 4.0" panose="00000500000000000000" charset="-122"/>
          <a:cs typeface="OPPO Sans 4.0" panose="00000500000000000000" charset="-122"/>
          <a:sym typeface="OPPO Sans 4.0" panose="00000500000000000000" charset="-122"/>
        </a:defRPr>
      </a:pPr>
    </a:p>
  </c:txPr>
  <c:printSettings>
    <c:headerFooter/>
    <c:pageMargins b="0.75" l="0.7" r="0.7" t="0.75" header="0.3" footer="0.3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 forceAA="0"/>
          <a:lstStyle/>
          <a:p>
            <a:pPr>
              <a:defRPr lang="zh-CN" sz="1000" b="1" i="0" u="none" strike="noStrike" kern="1200" baseline="0">
                <a:solidFill>
                  <a:schemeClr val="tx2"/>
                </a:solidFill>
                <a:latin typeface="+mn-ea"/>
                <a:ea typeface="+mn-ea"/>
                <a:cs typeface="+mn-ea"/>
                <a:sym typeface="+mn-ea"/>
              </a:defRPr>
            </a:pPr>
            <a:r>
              <a:rPr lang="zh-CN" altLang="en-US" sz="1000" b="1">
                <a:solidFill>
                  <a:schemeClr val="tx2"/>
                </a:solidFill>
                <a:latin typeface="+mn-ea"/>
                <a:ea typeface="+mn-ea"/>
                <a:cs typeface="+mn-ea"/>
                <a:sym typeface="+mn-ea"/>
              </a:rPr>
              <a:t>指标趋势</a:t>
            </a:r>
            <a:endParaRPr lang="zh-CN" altLang="en-US" sz="1000" b="1" i="0" u="none" strike="noStrike" baseline="0">
              <a:solidFill>
                <a:schemeClr val="tx2"/>
              </a:solidFill>
              <a:latin typeface="+mn-ea"/>
              <a:ea typeface="+mn-ea"/>
              <a:cs typeface="+mn-ea"/>
              <a:sym typeface="+mn-ea"/>
            </a:endParaRPr>
          </a:p>
        </c:rich>
      </c:tx>
      <c:layout>
        <c:manualLayout>
          <c:xMode val="edge"/>
          <c:yMode val="edge"/>
          <c:x val="0.417274939172749"/>
          <c:y val="0.00524292205522545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63542625667465"/>
          <c:y val="0.188705554264467"/>
          <c:w val="0.830933529736697"/>
          <c:h val="0.722240297466884"/>
        </c:manualLayout>
      </c:layout>
      <c:lineChart>
        <c:grouping val="standard"/>
        <c:varyColors val="0"/>
        <c:ser>
          <c:idx val="0"/>
          <c:order val="0"/>
          <c:tx>
            <c:strRef>
              <c:f>春夏秋冬!$F$40</c:f>
              <c:strCache>
                <c:ptCount val="1"/>
                <c:pt idx="0">
                  <c:v>营业收入</c:v>
                </c:pt>
              </c:strCache>
            </c:strRef>
          </c:tx>
          <c:spPr>
            <a:ln w="31750" cap="rnd" cmpd="sng" algn="ctr">
              <a:solidFill>
                <a:schemeClr val="accent1"/>
              </a:solidFill>
              <a:prstDash val="solid"/>
              <a:round/>
            </a:ln>
            <a:effectLst/>
          </c:spPr>
          <c:marker>
            <c:symbol val="circle"/>
            <c:size val="7"/>
            <c:spPr>
              <a:solidFill>
                <a:schemeClr val="accent1"/>
              </a:solidFill>
              <a:ln w="28575" cap="flat" cmpd="sng" algn="ctr">
                <a:noFill/>
                <a:prstDash val="solid"/>
                <a:round/>
              </a:ln>
            </c:spPr>
          </c:marker>
          <c:dLbls>
            <c:delete val="1"/>
          </c:dLbls>
          <c:cat>
            <c:strRef>
              <c:f>春夏秋冬!$G$39:$R$39</c:f>
              <c:strCache>
                <c:ptCount val="12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</c:strCache>
            </c:strRef>
          </c:cat>
          <c:val>
            <c:numRef>
              <c:f>春夏秋冬!$G$40:$R$40</c:f>
              <c:numCache>
                <c:formatCode>_ * #,##0.00_ ;_ * \-#,##0.00_ ;_ * "-"??_ ;_ @_ </c:formatCode>
                <c:ptCount val="12"/>
                <c:pt idx="0">
                  <c:v>115.23</c:v>
                </c:pt>
                <c:pt idx="1">
                  <c:v>97.66</c:v>
                </c:pt>
                <c:pt idx="2">
                  <c:v>97.81</c:v>
                </c:pt>
                <c:pt idx="3">
                  <c:v>0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春夏秋冬!$F$41</c:f>
              <c:strCache>
                <c:ptCount val="1"/>
                <c:pt idx="0">
                  <c:v>EBITDA</c:v>
                </c:pt>
              </c:strCache>
            </c:strRef>
          </c:tx>
          <c:spPr>
            <a:ln w="31750" cap="rnd" cmpd="sng" algn="ctr">
              <a:solidFill>
                <a:schemeClr val="accent2"/>
              </a:solidFill>
              <a:prstDash val="solid"/>
              <a:round/>
            </a:ln>
          </c:spPr>
          <c:marker>
            <c:symbol val="circle"/>
            <c:size val="7"/>
            <c:spPr>
              <a:solidFill>
                <a:schemeClr val="accent2"/>
              </a:solidFill>
              <a:ln w="28575" cap="flat" cmpd="sng" algn="ctr">
                <a:noFill/>
                <a:prstDash val="solid"/>
                <a:round/>
              </a:ln>
            </c:spPr>
          </c:marker>
          <c:dLbls>
            <c:delete val="1"/>
          </c:dLbls>
          <c:cat>
            <c:strRef>
              <c:f>春夏秋冬!$G$39:$R$39</c:f>
              <c:strCache>
                <c:ptCount val="12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</c:strCache>
            </c:strRef>
          </c:cat>
          <c:val>
            <c:numRef>
              <c:f>春夏秋冬!$G$41:$R$41</c:f>
              <c:numCache>
                <c:formatCode>_ * #,##0.00_ ;_ * \-#,##0.00_ ;_ * "-"??_ ;_ @_ </c:formatCode>
                <c:ptCount val="12"/>
                <c:pt idx="0">
                  <c:v>64.96</c:v>
                </c:pt>
                <c:pt idx="1">
                  <c:v>47.55</c:v>
                </c:pt>
                <c:pt idx="2">
                  <c:v>49.88</c:v>
                </c:pt>
                <c:pt idx="3">
                  <c:v>0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春夏秋冬!$F$42</c:f>
              <c:strCache>
                <c:ptCount val="1"/>
                <c:pt idx="0">
                  <c:v>经营活动净现金流</c:v>
                </c:pt>
              </c:strCache>
            </c:strRef>
          </c:tx>
          <c:spPr>
            <a:ln w="31750" cap="rnd" cmpd="sng" algn="ctr">
              <a:solidFill>
                <a:schemeClr val="accent3"/>
              </a:solidFill>
              <a:prstDash val="solid"/>
              <a:round/>
            </a:ln>
          </c:spPr>
          <c:marker>
            <c:symbol val="circle"/>
            <c:size val="7"/>
            <c:spPr>
              <a:solidFill>
                <a:schemeClr val="accent3"/>
              </a:solidFill>
              <a:ln w="28575" cap="flat" cmpd="sng" algn="ctr">
                <a:noFill/>
                <a:prstDash val="solid"/>
                <a:round/>
              </a:ln>
            </c:spPr>
          </c:marker>
          <c:dLbls>
            <c:delete val="1"/>
          </c:dLbls>
          <c:cat>
            <c:strRef>
              <c:f>春夏秋冬!$G$39:$R$39</c:f>
              <c:strCache>
                <c:ptCount val="12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</c:strCache>
            </c:strRef>
          </c:cat>
          <c:val>
            <c:numRef>
              <c:f>春夏秋冬!$G$42:$R$42</c:f>
              <c:numCache>
                <c:formatCode>_ * #,##0.00_ ;_ * \-#,##0.00_ ;_ * "-"??_ ;_ @_ </c:formatCode>
                <c:ptCount val="12"/>
                <c:pt idx="0">
                  <c:v>-11.16</c:v>
                </c:pt>
                <c:pt idx="1">
                  <c:v>-8.45</c:v>
                </c:pt>
                <c:pt idx="2">
                  <c:v>86.87</c:v>
                </c:pt>
                <c:pt idx="3">
                  <c:v>0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春夏秋冬!$F$43</c:f>
              <c:strCache>
                <c:ptCount val="1"/>
                <c:pt idx="0">
                  <c:v>经营支出小计</c:v>
                </c:pt>
              </c:strCache>
            </c:strRef>
          </c:tx>
          <c:spPr>
            <a:ln w="31750" cap="rnd" cmpd="sng" algn="ctr">
              <a:solidFill>
                <a:schemeClr val="accent4"/>
              </a:solidFill>
              <a:prstDash val="solid"/>
              <a:round/>
            </a:ln>
          </c:spPr>
          <c:marker>
            <c:symbol val="circle"/>
            <c:size val="7"/>
            <c:spPr>
              <a:solidFill>
                <a:schemeClr val="accent4"/>
              </a:solidFill>
              <a:ln w="28575" cap="flat" cmpd="sng" algn="ctr">
                <a:noFill/>
                <a:prstDash val="solid"/>
                <a:round/>
              </a:ln>
            </c:spPr>
          </c:marker>
          <c:dLbls>
            <c:delete val="1"/>
          </c:dLbls>
          <c:cat>
            <c:strRef>
              <c:f>春夏秋冬!$G$39:$R$39</c:f>
              <c:strCache>
                <c:ptCount val="12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</c:strCache>
            </c:strRef>
          </c:cat>
          <c:val>
            <c:numRef>
              <c:f>春夏秋冬!$G$43:$R$43</c:f>
              <c:numCache>
                <c:formatCode>_ * #,##0.00_ ;_ * \-#,##0.00_ ;_ * "-"??_ ;_ @_ </c:formatCode>
                <c:ptCount val="12"/>
                <c:pt idx="0">
                  <c:v>25.4393</c:v>
                </c:pt>
                <c:pt idx="1">
                  <c:v>25.42</c:v>
                </c:pt>
                <c:pt idx="2">
                  <c:v>23.66</c:v>
                </c:pt>
                <c:pt idx="3">
                  <c:v>0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67020697"/>
        <c:axId val="388011528"/>
      </c:lineChart>
      <c:catAx>
        <c:axId val="367020697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low"/>
        <c:spPr>
          <a:noFill/>
          <a:ln w="6350" cap="flat" cmpd="sng" algn="ctr">
            <a:noFill/>
            <a:prstDash val="solid"/>
            <a:round/>
          </a:ln>
        </c:spPr>
        <c:txPr>
          <a:bodyPr rot="-60000000" spcFirstLastPara="0" vertOverflow="ellipsis" vert="horz" wrap="square" anchor="ctr" anchorCtr="1" forceAA="0"/>
          <a:lstStyle/>
          <a:p>
            <a:pPr>
              <a:defRPr lang="zh-CN" sz="800" b="0" i="0" u="none" strike="noStrike" kern="1200" baseline="0">
                <a:solidFill>
                  <a:schemeClr val="tx2"/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</a:p>
        </c:txPr>
        <c:crossAx val="388011528"/>
        <c:crosses val="autoZero"/>
        <c:auto val="1"/>
        <c:lblAlgn val="ctr"/>
        <c:lblOffset val="100"/>
        <c:noMultiLvlLbl val="0"/>
      </c:catAx>
      <c:valAx>
        <c:axId val="3880115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90000"/>
                </a:schemeClr>
              </a:solidFill>
              <a:prstDash val="solid"/>
              <a:round/>
            </a:ln>
          </c:spPr>
        </c:majorGridlines>
        <c:numFmt formatCode="_ * #,##0.00_ ;_ * \-#,##0.00_ ;_ * &quot;-&quot;??_ ;_ @_ " sourceLinked="1"/>
        <c:majorTickMark val="none"/>
        <c:minorTickMark val="in"/>
        <c:tickLblPos val="low"/>
        <c:spPr>
          <a:noFill/>
          <a:ln w="6350" cap="flat" cmpd="sng" algn="ctr">
            <a:noFill/>
            <a:prstDash val="solid"/>
            <a:round/>
          </a:ln>
        </c:spPr>
        <c:txPr>
          <a:bodyPr rot="-60000000" spcFirstLastPara="0" vertOverflow="ellipsis" vert="horz" wrap="square" anchor="ctr" anchorCtr="1" forceAA="0"/>
          <a:lstStyle/>
          <a:p>
            <a:pPr>
              <a:defRPr lang="zh-CN" sz="800" b="0" i="0" u="none" strike="noStrike" kern="1200" baseline="0">
                <a:solidFill>
                  <a:schemeClr val="tx2"/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</a:p>
        </c:txPr>
        <c:crossAx val="367020697"/>
        <c:crosses val="autoZero"/>
        <c:crossBetween val="between"/>
      </c:valAx>
      <c:spPr>
        <a:noFill/>
      </c:spPr>
    </c:plotArea>
    <c:legend>
      <c:legendPos val="r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2"/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</a:p>
        </c:txPr>
      </c:legendEntry>
      <c:legendEntry>
        <c:idx val="1"/>
        <c:txPr>
          <a:bodyPr rot="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2"/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</a:p>
        </c:txPr>
      </c:legendEntry>
      <c:legendEntry>
        <c:idx val="2"/>
        <c:txPr>
          <a:bodyPr rot="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2"/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</a:p>
        </c:txPr>
      </c:legendEntry>
      <c:legendEntry>
        <c:idx val="3"/>
        <c:txPr>
          <a:bodyPr rot="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2"/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</a:p>
        </c:txPr>
      </c:legendEntry>
      <c:layout>
        <c:manualLayout>
          <c:xMode val="edge"/>
          <c:yMode val="edge"/>
          <c:x val="0.0055"/>
          <c:y val="0.08625"/>
          <c:w val="0.987"/>
          <c:h val="0.102"/>
        </c:manualLayout>
      </c:layout>
      <c:overlay val="0"/>
      <c:txPr>
        <a:bodyPr rot="0" spcFirstLastPara="0" vertOverflow="ellipsis" vert="horz" wrap="square" anchor="ctr" anchorCtr="1"/>
        <a:lstStyle/>
        <a:p>
          <a:pPr>
            <a:defRPr lang="zh-CN" sz="700" b="0" i="0" u="none" strike="noStrike" kern="1200" baseline="0">
              <a:solidFill>
                <a:schemeClr val="tx2"/>
              </a:solidFill>
              <a:latin typeface="微软雅黑" panose="020B0503020204020204" charset="-122"/>
              <a:ea typeface="微软雅黑" panose="020B0503020204020204" charset="-122"/>
              <a:cs typeface="微软雅黑" panose="020B0503020204020204" charset="-122"/>
              <a:sym typeface="微软雅黑" panose="020B0503020204020204" charset="-122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0858c18d-f75c-4cb8-ac5a-e2fe10eba2ca}"/>
      </c:ext>
    </c:extLst>
  </c:chart>
  <c:spPr>
    <a:solidFill>
      <a:schemeClr val="bg1"/>
    </a:solidFill>
    <a:ln w="6350" cap="flat" cmpd="sng" algn="ctr">
      <a:solidFill>
        <a:schemeClr val="tx1">
          <a:lumMod val="50000"/>
          <a:lumOff val="50000"/>
          <a:alpha val="25000"/>
        </a:schemeClr>
      </a:solidFill>
      <a:prstDash val="solid"/>
      <a:round/>
    </a:ln>
    <a:effectLst>
      <a:outerShdw blurRad="50800" dist="38100" dir="13500000" algn="br" rotWithShape="0">
        <a:prstClr val="black">
          <a:alpha val="40000"/>
        </a:prstClr>
      </a:outerShdw>
    </a:effectLst>
  </c:spPr>
  <c:txPr>
    <a:bodyPr wrap="square"/>
    <a:lstStyle/>
    <a:p>
      <a:pPr>
        <a:defRPr lang="zh-CN" sz="1000" b="0">
          <a:solidFill>
            <a:schemeClr val="tx2"/>
          </a:solidFill>
          <a:latin typeface="微软雅黑" panose="020B0503020204020204" charset="-122"/>
          <a:ea typeface="微软雅黑" panose="020B0503020204020204" charset="-122"/>
          <a:cs typeface="微软雅黑" panose="020B0503020204020204" charset="-122"/>
          <a:sym typeface="微软雅黑" panose="020B0503020204020204" charset="-122"/>
        </a:defRPr>
      </a:pPr>
    </a:p>
  </c:txPr>
  <c:printSettings>
    <c:headerFooter/>
    <c:pageMargins b="0.75" l="0.7" r="0.7" t="0.75" header="0.3" footer="0.3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000" b="1" i="0" u="none" strike="noStrike" kern="1200" baseline="0">
                <a:solidFill>
                  <a:schemeClr val="tx2"/>
                </a:solidFill>
                <a:latin typeface="+mn-ea"/>
                <a:ea typeface="+mn-ea"/>
                <a:cs typeface="+mn-ea"/>
                <a:sym typeface="+mn-ea"/>
              </a:defRPr>
            </a:pPr>
            <a:r>
              <a:rPr lang="zh-CN" altLang="en-US" sz="1000">
                <a:solidFill>
                  <a:schemeClr val="tx2"/>
                </a:solidFill>
                <a:latin typeface="+mn-ea"/>
                <a:ea typeface="+mn-ea"/>
                <a:cs typeface="+mn-ea"/>
                <a:sym typeface="+mn-ea"/>
              </a:rPr>
              <a:t>任务进度</a:t>
            </a:r>
            <a:endParaRPr lang="zh-CN" altLang="en-US" sz="1000" b="1" i="0" u="none" strike="noStrike" baseline="0">
              <a:solidFill>
                <a:schemeClr val="tx2"/>
              </a:solidFill>
              <a:latin typeface="+mn-ea"/>
              <a:ea typeface="+mn-ea"/>
              <a:cs typeface="+mn-ea"/>
              <a:sym typeface="+mn-ea"/>
            </a:endParaRPr>
          </a:p>
        </c:rich>
      </c:tx>
      <c:layout>
        <c:manualLayout>
          <c:xMode val="edge"/>
          <c:yMode val="edge"/>
          <c:x val="0.445"/>
          <c:y val="0.00694605232692753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0958939421837599"/>
          <c:y val="0.188821752265861"/>
          <c:w val="0.791824709998159"/>
          <c:h val="0.69688589356263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重庆宜新!$D$1</c:f>
              <c:strCache>
                <c:ptCount val="1"/>
                <c:pt idx="0">
                  <c:v>年度目标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重庆宜新!$C$2:$C$5</c:f>
              <c:strCache>
                <c:ptCount val="4"/>
                <c:pt idx="0">
                  <c:v>营业收入</c:v>
                </c:pt>
                <c:pt idx="1">
                  <c:v>EBITDA</c:v>
                </c:pt>
                <c:pt idx="2">
                  <c:v>经营活动净现金流</c:v>
                </c:pt>
                <c:pt idx="3">
                  <c:v>经营支出</c:v>
                </c:pt>
              </c:strCache>
            </c:strRef>
          </c:cat>
          <c:val>
            <c:numRef>
              <c:f>重庆宜新!$D$2:$D$5</c:f>
              <c:numCache>
                <c:formatCode>_ * #,##0.00_ ;[Red]_ * \-#,##0.00_ ;_ * "-"??_ ;_ @_ </c:formatCode>
                <c:ptCount val="4"/>
                <c:pt idx="0">
                  <c:v>709.51635684571</c:v>
                </c:pt>
                <c:pt idx="1">
                  <c:v>190.720375834931</c:v>
                </c:pt>
                <c:pt idx="2">
                  <c:v>259.62622280893</c:v>
                </c:pt>
                <c:pt idx="3">
                  <c:v>268.663688</c:v>
                </c:pt>
              </c:numCache>
            </c:numRef>
          </c:val>
        </c:ser>
        <c:ser>
          <c:idx val="1"/>
          <c:order val="1"/>
          <c:tx>
            <c:strRef>
              <c:f>重庆宜新!$E$1</c:f>
              <c:strCache>
                <c:ptCount val="1"/>
                <c:pt idx="0">
                  <c:v>实际达成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重庆宜新!$C$2:$C$5</c:f>
              <c:strCache>
                <c:ptCount val="4"/>
                <c:pt idx="0">
                  <c:v>营业收入</c:v>
                </c:pt>
                <c:pt idx="1">
                  <c:v>EBITDA</c:v>
                </c:pt>
                <c:pt idx="2">
                  <c:v>经营活动净现金流</c:v>
                </c:pt>
                <c:pt idx="3">
                  <c:v>经营支出</c:v>
                </c:pt>
              </c:strCache>
            </c:strRef>
          </c:cat>
          <c:val>
            <c:numRef>
              <c:f>重庆宜新!$E$2:$E$5</c:f>
              <c:numCache>
                <c:formatCode>_ * #,##0.00_ ;[Red]_ * \-#,##0.00_ ;_ * "-"??_ ;_ @_ </c:formatCode>
                <c:ptCount val="4"/>
                <c:pt idx="0">
                  <c:v>130.577645</c:v>
                </c:pt>
                <c:pt idx="1">
                  <c:v>72.239256</c:v>
                </c:pt>
                <c:pt idx="2">
                  <c:v>106.367335</c:v>
                </c:pt>
                <c:pt idx="3">
                  <c:v>57.46165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82736111"/>
        <c:axId val="771742908"/>
      </c:barChart>
      <c:lineChart>
        <c:grouping val="standard"/>
        <c:varyColors val="0"/>
        <c:ser>
          <c:idx val="2"/>
          <c:order val="2"/>
          <c:tx>
            <c:strRef>
              <c:f>重庆宜新!$F$1</c:f>
              <c:strCache>
                <c:ptCount val="1"/>
                <c:pt idx="0">
                  <c:v>年度目标达成率</c:v>
                </c:pt>
              </c:strCache>
            </c:strRef>
          </c:tx>
          <c:spPr>
            <a:ln w="28575" cap="rnd" cmpd="sng" algn="ctr">
              <a:solidFill>
                <a:schemeClr val="accent3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 cap="flat" cmpd="sng" algn="ctr">
                <a:solidFill>
                  <a:schemeClr val="accent3"/>
                </a:solidFill>
                <a:prstDash val="solid"/>
                <a:round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700" b="0" i="0" u="none" strike="noStrike" kern="1200" baseline="0">
                    <a:solidFill>
                      <a:schemeClr val="tx2"/>
                    </a:solidFill>
                    <a:latin typeface="+mn-ea"/>
                    <a:ea typeface="+mn-ea"/>
                    <a:cs typeface="+mn-ea"/>
                    <a:sym typeface="+mn-ea"/>
                  </a:defRPr>
                </a:pPr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cat>
            <c:strRef>
              <c:f>重庆宜新!$C$2:$C$5</c:f>
              <c:strCache>
                <c:ptCount val="4"/>
                <c:pt idx="0">
                  <c:v>营业收入</c:v>
                </c:pt>
                <c:pt idx="1">
                  <c:v>EBITDA</c:v>
                </c:pt>
                <c:pt idx="2">
                  <c:v>经营活动净现金流</c:v>
                </c:pt>
                <c:pt idx="3">
                  <c:v>经营支出</c:v>
                </c:pt>
              </c:strCache>
            </c:strRef>
          </c:cat>
          <c:val>
            <c:numRef>
              <c:f>重庆宜新!$F$2:$F$5</c:f>
              <c:numCache>
                <c:formatCode>_ * #,##0.00%_ ;[Red]_ * \-#,##0.00%_ ;_ * "-"??_ ;_ @_ </c:formatCode>
                <c:ptCount val="4"/>
                <c:pt idx="0">
                  <c:v>0.184037540135801</c:v>
                </c:pt>
                <c:pt idx="1">
                  <c:v>0.378770520369167</c:v>
                </c:pt>
                <c:pt idx="2">
                  <c:v>0.409694112748697</c:v>
                </c:pt>
                <c:pt idx="3">
                  <c:v>0.213879480430567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83529630"/>
        <c:axId val="476951308"/>
      </c:lineChart>
      <c:catAx>
        <c:axId val="782736111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  <a:effectLst/>
        </c:spPr>
        <c:txPr>
          <a:bodyPr rot="42000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2"/>
                </a:solidFill>
                <a:latin typeface="+mn-ea"/>
                <a:ea typeface="+mn-ea"/>
                <a:cs typeface="+mn-ea"/>
                <a:sym typeface="+mn-ea"/>
              </a:defRPr>
            </a:pPr>
          </a:p>
        </c:txPr>
        <c:crossAx val="771742908"/>
        <c:crosses val="autoZero"/>
        <c:auto val="1"/>
        <c:lblAlgn val="ctr"/>
        <c:lblOffset val="100"/>
        <c:noMultiLvlLbl val="0"/>
      </c:catAx>
      <c:valAx>
        <c:axId val="7717429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prstDash val="solid"/>
              <a:round/>
            </a:ln>
            <a:effectLst/>
          </c:spPr>
        </c:majorGridlines>
        <c:numFmt formatCode="#,##0_);[Red]\(#,##0\)" sourceLinked="0"/>
        <c:majorTickMark val="none"/>
        <c:minorTickMark val="none"/>
        <c:tickLblPos val="nextTo"/>
        <c:spPr>
          <a:noFill/>
          <a:ln w="12700" cap="flat" cmpd="sng" algn="ctr">
            <a:noFill/>
            <a:prstDash val="solid"/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2"/>
                </a:solidFill>
                <a:latin typeface="+mn-ea"/>
                <a:ea typeface="+mn-ea"/>
                <a:cs typeface="+mn-ea"/>
                <a:sym typeface="+mn-ea"/>
              </a:defRPr>
            </a:pPr>
          </a:p>
        </c:txPr>
        <c:crossAx val="782736111"/>
        <c:crosses val="autoZero"/>
        <c:crossBetween val="between"/>
      </c:valAx>
      <c:catAx>
        <c:axId val="48352963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2"/>
                </a:solidFill>
                <a:latin typeface="+mn-ea"/>
                <a:ea typeface="+mn-ea"/>
                <a:cs typeface="+mn-ea"/>
                <a:sym typeface="+mn-ea"/>
              </a:defRPr>
            </a:pPr>
          </a:p>
        </c:txPr>
        <c:crossAx val="476951308"/>
        <c:crosses val="autoZero"/>
        <c:auto val="1"/>
        <c:lblAlgn val="ctr"/>
        <c:lblOffset val="100"/>
        <c:noMultiLvlLbl val="0"/>
      </c:catAx>
      <c:valAx>
        <c:axId val="476951308"/>
        <c:scaling>
          <c:orientation val="minMax"/>
        </c:scaling>
        <c:delete val="0"/>
        <c:axPos val="r"/>
        <c:numFmt formatCode="0%" sourceLinked="0"/>
        <c:majorTickMark val="out"/>
        <c:minorTickMark val="none"/>
        <c:tickLblPos val="nextTo"/>
        <c:spPr>
          <a:noFill/>
          <a:ln w="12700" cap="flat" cmpd="sng" algn="ctr">
            <a:noFill/>
            <a:prstDash val="solid"/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2"/>
                </a:solidFill>
                <a:latin typeface="+mn-ea"/>
                <a:ea typeface="+mn-ea"/>
                <a:cs typeface="+mn-ea"/>
                <a:sym typeface="+mn-ea"/>
              </a:defRPr>
            </a:pPr>
          </a:p>
        </c:txPr>
        <c:crossAx val="483529630"/>
        <c:crosses val="max"/>
        <c:crossBetween val="between"/>
      </c:valAx>
      <c:spPr>
        <a:noFill/>
        <a:ln>
          <a:noFill/>
        </a:ln>
        <a:effectLst/>
      </c:spPr>
    </c:plotArea>
    <c:legend>
      <c:legendPos val="r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2"/>
                </a:solidFill>
                <a:latin typeface="+mn-ea"/>
                <a:ea typeface="+mn-ea"/>
                <a:cs typeface="+mn-ea"/>
                <a:sym typeface="+mn-ea"/>
              </a:defRPr>
            </a:pPr>
          </a:p>
        </c:txPr>
      </c:legendEntry>
      <c:legendEntry>
        <c:idx val="1"/>
        <c:txPr>
          <a:bodyPr rot="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2"/>
                </a:solidFill>
                <a:latin typeface="+mn-ea"/>
                <a:ea typeface="+mn-ea"/>
                <a:cs typeface="+mn-ea"/>
                <a:sym typeface="+mn-ea"/>
              </a:defRPr>
            </a:pPr>
          </a:p>
        </c:txPr>
      </c:legendEntry>
      <c:legendEntry>
        <c:idx val="2"/>
        <c:txPr>
          <a:bodyPr rot="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2"/>
                </a:solidFill>
                <a:latin typeface="+mn-ea"/>
                <a:ea typeface="+mn-ea"/>
                <a:cs typeface="+mn-ea"/>
                <a:sym typeface="+mn-ea"/>
              </a:defRPr>
            </a:pPr>
          </a:p>
        </c:txPr>
      </c:legendEntry>
      <c:layout>
        <c:manualLayout>
          <c:xMode val="edge"/>
          <c:yMode val="edge"/>
          <c:x val="0.0055"/>
          <c:y val="0.07925"/>
          <c:w val="0.98675"/>
          <c:h val="0.102"/>
        </c:manualLayout>
      </c:layout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700" b="0" i="0" u="none" strike="noStrike" kern="1200" baseline="0">
              <a:solidFill>
                <a:schemeClr val="tx2"/>
              </a:solidFill>
              <a:latin typeface="+mn-ea"/>
              <a:ea typeface="+mn-ea"/>
              <a:cs typeface="+mn-ea"/>
              <a:sym typeface="+mn-ea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f8097fe5-d6c7-4cdd-856c-3144d0371b93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  <a:effectLst>
      <a:outerShdw blurRad="50800" dist="38100" dir="13500000" algn="br" rotWithShape="0">
        <a:prstClr val="black">
          <a:alpha val="40000"/>
        </a:prstClr>
      </a:outerShdw>
    </a:effectLst>
  </c:spPr>
  <c:txPr>
    <a:bodyPr wrap="square"/>
    <a:lstStyle/>
    <a:p>
      <a:pPr>
        <a:defRPr lang="zh-CN" sz="700">
          <a:solidFill>
            <a:schemeClr val="tx2"/>
          </a:solidFill>
          <a:latin typeface="+mn-ea"/>
          <a:ea typeface="+mn-ea"/>
          <a:cs typeface="+mn-ea"/>
          <a:sym typeface="+mn-ea"/>
        </a:defRPr>
      </a:pPr>
    </a:p>
  </c:txPr>
  <c:printSettings>
    <c:headerFooter/>
    <c:pageMargins b="0.75" l="0.7" r="0.7" t="0.75" header="0.3" footer="0.3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000" b="1" i="0" u="none" strike="noStrike" kern="1200" baseline="0">
                <a:solidFill>
                  <a:schemeClr val="tx2"/>
                </a:solidFill>
                <a:latin typeface="+mn-ea"/>
                <a:ea typeface="+mn-ea"/>
                <a:cs typeface="+mn-ea"/>
                <a:sym typeface="+mn-ea"/>
              </a:defRPr>
            </a:pPr>
            <a:r>
              <a:rPr lang="zh-CN" altLang="en-US" sz="1000">
                <a:solidFill>
                  <a:schemeClr val="tx2"/>
                </a:solidFill>
                <a:latin typeface="+mn-ea"/>
                <a:ea typeface="+mn-ea"/>
                <a:cs typeface="+mn-ea"/>
                <a:sym typeface="+mn-ea"/>
              </a:rPr>
              <a:t>营收比较</a:t>
            </a:r>
            <a:endParaRPr lang="zh-CN" altLang="en-US" sz="1000" b="1" i="0" u="none" strike="noStrike" baseline="0">
              <a:solidFill>
                <a:schemeClr val="tx2"/>
              </a:solidFill>
              <a:latin typeface="+mn-ea"/>
              <a:ea typeface="+mn-ea"/>
              <a:cs typeface="+mn-ea"/>
              <a:sym typeface="+mn-ea"/>
            </a:endParaRPr>
          </a:p>
        </c:rich>
      </c:tx>
      <c:layout>
        <c:manualLayout>
          <c:xMode val="edge"/>
          <c:yMode val="edge"/>
          <c:x val="0.457999545333275"/>
          <c:y val="0.00653879686137751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0936844043454244"/>
          <c:y val="0.188705554264467"/>
          <c:w val="0.900791751058737"/>
          <c:h val="0.732558679990704"/>
        </c:manualLayout>
      </c:layout>
      <c:barChart>
        <c:barDir val="col"/>
        <c:grouping val="clustered"/>
        <c:varyColors val="0"/>
        <c:ser>
          <c:idx val="1"/>
          <c:order val="1"/>
          <c:tx>
            <c:strRef>
              <c:f>重庆宜新!$F$35</c:f>
              <c:strCache>
                <c:ptCount val="1"/>
                <c:pt idx="0">
                  <c:v>同期营收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重庆宜新!$G$33:$R$33</c:f>
              <c:strCache>
                <c:ptCount val="12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</c:strCache>
            </c:strRef>
          </c:cat>
          <c:val>
            <c:numRef>
              <c:f>重庆宜新!$G$35:$R$35</c:f>
              <c:numCache>
                <c:formatCode>_ * #,##0.00_ ;[Red]_ * \-#,##0.00_ ;_ * "-"??_ ;_ @_ </c:formatCode>
                <c:ptCount val="12"/>
                <c:pt idx="0">
                  <c:v>60.893351</c:v>
                </c:pt>
                <c:pt idx="1">
                  <c:v>61.44702</c:v>
                </c:pt>
                <c:pt idx="2">
                  <c:v>62.937243</c:v>
                </c:pt>
                <c:pt idx="3">
                  <c:v>58.140368</c:v>
                </c:pt>
                <c:pt idx="4">
                  <c:v>54.59992</c:v>
                </c:pt>
                <c:pt idx="5">
                  <c:v>57.112126</c:v>
                </c:pt>
                <c:pt idx="6">
                  <c:v>57.107671</c:v>
                </c:pt>
                <c:pt idx="7">
                  <c:v>57.864961</c:v>
                </c:pt>
                <c:pt idx="8">
                  <c:v>58.017674</c:v>
                </c:pt>
                <c:pt idx="9">
                  <c:v>58.010279</c:v>
                </c:pt>
                <c:pt idx="10">
                  <c:v>59.447189</c:v>
                </c:pt>
                <c:pt idx="11">
                  <c:v>62.761423</c:v>
                </c:pt>
              </c:numCache>
            </c:numRef>
          </c:val>
        </c:ser>
        <c:ser>
          <c:idx val="2"/>
          <c:order val="2"/>
          <c:tx>
            <c:strRef>
              <c:f>重庆宜新!$F$36</c:f>
              <c:strCache>
                <c:ptCount val="1"/>
                <c:pt idx="0">
                  <c:v>营收分解计划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重庆宜新!$G$33:$R$33</c:f>
              <c:strCache>
                <c:ptCount val="12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</c:strCache>
            </c:strRef>
          </c:cat>
          <c:val>
            <c:numRef>
              <c:f>重庆宜新!$G$36:$R$36</c:f>
              <c:numCache>
                <c:formatCode>_ * #,##0.00_ ;[Red]_ * \-#,##0.00_ ;_ * "-"??_ ;_ @_ </c:formatCode>
                <c:ptCount val="12"/>
                <c:pt idx="0">
                  <c:v>35.6760064220184</c:v>
                </c:pt>
                <c:pt idx="1">
                  <c:v>30.6972352007633</c:v>
                </c:pt>
                <c:pt idx="2">
                  <c:v>30.8110792374605</c:v>
                </c:pt>
                <c:pt idx="3">
                  <c:v>47.0911205218642</c:v>
                </c:pt>
                <c:pt idx="4">
                  <c:v>58.2745333659009</c:v>
                </c:pt>
                <c:pt idx="5">
                  <c:v>61.5253584749211</c:v>
                </c:pt>
                <c:pt idx="6">
                  <c:v>71.7276589724771</c:v>
                </c:pt>
                <c:pt idx="7">
                  <c:v>74.0033941732404</c:v>
                </c:pt>
                <c:pt idx="8">
                  <c:v>78.4652338715596</c:v>
                </c:pt>
                <c:pt idx="9">
                  <c:v>73.8255824954128</c:v>
                </c:pt>
                <c:pt idx="10">
                  <c:v>73.7095770550459</c:v>
                </c:pt>
                <c:pt idx="11">
                  <c:v>73.7095770550459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4071460"/>
        <c:axId val="375645159"/>
      </c:barChart>
      <c:scatterChart>
        <c:scatterStyle val="smoothMarker"/>
        <c:varyColors val="0"/>
        <c:ser>
          <c:idx val="0"/>
          <c:order val="0"/>
          <c:tx>
            <c:strRef>
              <c:f>重庆宜新!$F$34</c:f>
              <c:strCache>
                <c:ptCount val="1"/>
                <c:pt idx="0">
                  <c:v>营业收入</c:v>
                </c:pt>
              </c:strCache>
            </c:strRef>
          </c:tx>
          <c:spPr>
            <a:ln w="28575" cap="rnd" cmpd="sng" algn="ctr">
              <a:solidFill>
                <a:schemeClr val="accent1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 cap="flat" cmpd="sng" algn="ctr">
                <a:solidFill>
                  <a:schemeClr val="accent1"/>
                </a:solidFill>
                <a:prstDash val="solid"/>
                <a:round/>
              </a:ln>
              <a:effectLst/>
            </c:spPr>
          </c:marker>
          <c:dLbls>
            <c:delete val="1"/>
          </c:dLbls>
          <c:xVal>
            <c:strRef>
              <c:f>重庆宜新!$G$33:$R$33</c:f>
              <c:strCache>
                <c:ptCount val="12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</c:strCache>
            </c:strRef>
          </c:xVal>
          <c:yVal>
            <c:numRef>
              <c:f>重庆宜新!$G$34:$R$34</c:f>
              <c:numCache>
                <c:formatCode>_ * #,##0.00_ ;[Red]_ * \-#,##0.00_ ;_ * "-"??_ ;_ @_ </c:formatCode>
                <c:ptCount val="12"/>
                <c:pt idx="0">
                  <c:v>51.121052</c:v>
                </c:pt>
                <c:pt idx="1">
                  <c:v>28.623522</c:v>
                </c:pt>
                <c:pt idx="2">
                  <c:v>50.833071</c:v>
                </c:pt>
                <c:pt idx="3">
                  <c:v>0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4071460"/>
        <c:axId val="375645159"/>
      </c:scatterChart>
      <c:catAx>
        <c:axId val="13407146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2"/>
                </a:solidFill>
                <a:latin typeface="OPPO Sans 4.0" panose="00000500000000000000" charset="-122"/>
                <a:ea typeface="OPPO Sans 4.0" panose="00000500000000000000" charset="-122"/>
                <a:cs typeface="OPPO Sans 4.0" panose="00000500000000000000" charset="-122"/>
                <a:sym typeface="OPPO Sans 4.0" panose="00000500000000000000" charset="-122"/>
              </a:defRPr>
            </a:pPr>
          </a:p>
        </c:txPr>
        <c:crossAx val="375645159"/>
        <c:crosses val="autoZero"/>
        <c:auto val="1"/>
        <c:lblAlgn val="ctr"/>
        <c:lblOffset val="100"/>
        <c:noMultiLvlLbl val="0"/>
      </c:catAx>
      <c:valAx>
        <c:axId val="3756451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prstDash val="solid"/>
              <a:round/>
            </a:ln>
            <a:effectLst/>
          </c:spPr>
        </c:majorGridlines>
        <c:numFmt formatCode="#,##0_);[Red]\(#,##0\)" sourceLinked="0"/>
        <c:majorTickMark val="none"/>
        <c:minorTickMark val="none"/>
        <c:tickLblPos val="nextTo"/>
        <c:spPr>
          <a:noFill/>
          <a:ln w="12700" cap="flat" cmpd="sng" algn="ctr">
            <a:noFill/>
            <a:prstDash val="solid"/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2"/>
                </a:solidFill>
                <a:latin typeface="OPPO Sans 4.0" panose="00000500000000000000" charset="-122"/>
                <a:ea typeface="OPPO Sans 4.0" panose="00000500000000000000" charset="-122"/>
                <a:cs typeface="OPPO Sans 4.0" panose="00000500000000000000" charset="-122"/>
                <a:sym typeface="OPPO Sans 4.0" panose="00000500000000000000" charset="-122"/>
              </a:defRPr>
            </a:pPr>
          </a:p>
        </c:txPr>
        <c:crossAx val="1340714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2"/>
                </a:solidFill>
                <a:latin typeface="OPPO Sans 4.0" panose="00000500000000000000" charset="-122"/>
                <a:ea typeface="OPPO Sans 4.0" panose="00000500000000000000" charset="-122"/>
                <a:cs typeface="OPPO Sans 4.0" panose="00000500000000000000" charset="-122"/>
                <a:sym typeface="OPPO Sans 4.0" panose="00000500000000000000" charset="-122"/>
              </a:defRPr>
            </a:pPr>
          </a:p>
        </c:txPr>
      </c:legendEntry>
      <c:legendEntry>
        <c:idx val="1"/>
        <c:txPr>
          <a:bodyPr rot="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2"/>
                </a:solidFill>
                <a:latin typeface="OPPO Sans 4.0" panose="00000500000000000000" charset="-122"/>
                <a:ea typeface="OPPO Sans 4.0" panose="00000500000000000000" charset="-122"/>
                <a:cs typeface="OPPO Sans 4.0" panose="00000500000000000000" charset="-122"/>
                <a:sym typeface="OPPO Sans 4.0" panose="00000500000000000000" charset="-122"/>
              </a:defRPr>
            </a:pPr>
          </a:p>
        </c:txPr>
      </c:legendEntry>
      <c:legendEntry>
        <c:idx val="2"/>
        <c:txPr>
          <a:bodyPr rot="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2"/>
                </a:solidFill>
                <a:latin typeface="OPPO Sans 4.0" panose="00000500000000000000" charset="-122"/>
                <a:ea typeface="OPPO Sans 4.0" panose="00000500000000000000" charset="-122"/>
                <a:cs typeface="OPPO Sans 4.0" panose="00000500000000000000" charset="-122"/>
                <a:sym typeface="OPPO Sans 4.0" panose="00000500000000000000" charset="-122"/>
              </a:defRPr>
            </a:pPr>
          </a:p>
        </c:txPr>
      </c:legendEntry>
      <c:layout>
        <c:manualLayout>
          <c:xMode val="edge"/>
          <c:yMode val="edge"/>
          <c:x val="0.0055"/>
          <c:y val="0.08175"/>
          <c:w val="0.98675"/>
          <c:h val="0.10675"/>
        </c:manualLayout>
      </c:layout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700" b="0" i="0" u="none" strike="noStrike" kern="1200" baseline="0">
              <a:solidFill>
                <a:schemeClr val="tx2"/>
              </a:solidFill>
              <a:latin typeface="OPPO Sans 4.0" panose="00000500000000000000" charset="-122"/>
              <a:ea typeface="OPPO Sans 4.0" panose="00000500000000000000" charset="-122"/>
              <a:cs typeface="OPPO Sans 4.0" panose="00000500000000000000" charset="-122"/>
              <a:sym typeface="OPPO Sans 4.0" panose="00000500000000000000" charset="-122"/>
            </a:defRPr>
          </a:pPr>
        </a:p>
      </c:txPr>
    </c:legend>
    <c:plotVisOnly val="0"/>
    <c:dispBlanksAs val="gap"/>
    <c:showDLblsOverMax val="0"/>
    <c:extLst>
      <c:ext uri="{0b15fc19-7d7d-44ad-8c2d-2c3a37ce22c3}">
        <chartProps xmlns="https://web.wps.cn/et/2018/main" chartId="{09f16c44-fed7-4969-b2bc-fcdcce02bfd4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  <a:effectLst>
      <a:outerShdw blurRad="50800" dist="38100" dir="13500000" algn="br" rotWithShape="0">
        <a:prstClr val="black">
          <a:alpha val="40000"/>
        </a:prstClr>
      </a:outerShdw>
    </a:effectLst>
  </c:spPr>
  <c:txPr>
    <a:bodyPr wrap="square"/>
    <a:lstStyle/>
    <a:p>
      <a:pPr>
        <a:defRPr lang="zh-CN" sz="700">
          <a:solidFill>
            <a:schemeClr val="tx2"/>
          </a:solidFill>
          <a:latin typeface="OPPO Sans 4.0" panose="00000500000000000000" charset="-122"/>
          <a:ea typeface="OPPO Sans 4.0" panose="00000500000000000000" charset="-122"/>
          <a:cs typeface="OPPO Sans 4.0" panose="00000500000000000000" charset="-122"/>
          <a:sym typeface="OPPO Sans 4.0" panose="00000500000000000000" charset="-122"/>
        </a:defRPr>
      </a:pPr>
    </a:p>
  </c:txPr>
  <c:printSettings>
    <c:headerFooter/>
    <c:pageMargins b="0.75" l="0.7" r="0.7" t="0.75" header="0.3" footer="0.3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 forceAA="0"/>
          <a:lstStyle/>
          <a:p>
            <a:pPr>
              <a:defRPr lang="zh-CN" sz="1000" b="1" i="0" u="none" strike="noStrike" kern="1200" baseline="0">
                <a:solidFill>
                  <a:schemeClr val="tx2"/>
                </a:solidFill>
                <a:latin typeface="+mn-ea"/>
                <a:ea typeface="+mn-ea"/>
                <a:cs typeface="+mn-ea"/>
                <a:sym typeface="+mn-ea"/>
              </a:defRPr>
            </a:pPr>
            <a:r>
              <a:rPr lang="zh-CN" altLang="en-US" sz="1000" b="1">
                <a:solidFill>
                  <a:schemeClr val="tx2"/>
                </a:solidFill>
                <a:latin typeface="+mn-ea"/>
                <a:ea typeface="+mn-ea"/>
                <a:cs typeface="+mn-ea"/>
                <a:sym typeface="+mn-ea"/>
              </a:rPr>
              <a:t>指标趋势</a:t>
            </a:r>
            <a:endParaRPr lang="zh-CN" altLang="en-US" sz="1000" b="1" i="0" u="none" strike="noStrike" baseline="0">
              <a:solidFill>
                <a:schemeClr val="tx2"/>
              </a:solidFill>
              <a:latin typeface="+mn-ea"/>
              <a:ea typeface="+mn-ea"/>
              <a:cs typeface="+mn-ea"/>
              <a:sym typeface="+mn-ea"/>
            </a:endParaRPr>
          </a:p>
        </c:rich>
      </c:tx>
      <c:layout>
        <c:manualLayout>
          <c:xMode val="edge"/>
          <c:yMode val="edge"/>
          <c:x val="0.417274939172749"/>
          <c:y val="0.00524292205522545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63542625667465"/>
          <c:y val="0.188705554264467"/>
          <c:w val="0.830933529736697"/>
          <c:h val="0.722240297466884"/>
        </c:manualLayout>
      </c:layout>
      <c:lineChart>
        <c:grouping val="standard"/>
        <c:varyColors val="0"/>
        <c:ser>
          <c:idx val="0"/>
          <c:order val="0"/>
          <c:tx>
            <c:strRef>
              <c:f>重庆宜新!$F$40</c:f>
              <c:strCache>
                <c:ptCount val="1"/>
                <c:pt idx="0">
                  <c:v>营业收入</c:v>
                </c:pt>
              </c:strCache>
            </c:strRef>
          </c:tx>
          <c:spPr>
            <a:ln w="31750" cap="rnd" cmpd="sng" algn="ctr">
              <a:solidFill>
                <a:schemeClr val="accent1"/>
              </a:solidFill>
              <a:prstDash val="solid"/>
              <a:round/>
            </a:ln>
            <a:effectLst/>
          </c:spPr>
          <c:marker>
            <c:symbol val="circle"/>
            <c:size val="7"/>
            <c:spPr>
              <a:solidFill>
                <a:schemeClr val="accent1"/>
              </a:solidFill>
              <a:ln w="28575" cap="flat" cmpd="sng" algn="ctr">
                <a:noFill/>
                <a:prstDash val="solid"/>
                <a:round/>
              </a:ln>
            </c:spPr>
          </c:marker>
          <c:dLbls>
            <c:delete val="1"/>
          </c:dLbls>
          <c:cat>
            <c:strRef>
              <c:f>重庆宜新!$G$39:$R$39</c:f>
              <c:strCache>
                <c:ptCount val="12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</c:strCache>
            </c:strRef>
          </c:cat>
          <c:val>
            <c:numRef>
              <c:f>重庆宜新!$G$40:$R$40</c:f>
              <c:numCache>
                <c:formatCode>_ * #,##0.00_ ;_ * \-#,##0.00_ ;_ * "-"??_ ;_ @_ </c:formatCode>
                <c:ptCount val="12"/>
                <c:pt idx="0">
                  <c:v>51.121052</c:v>
                </c:pt>
                <c:pt idx="1">
                  <c:v>28.623522</c:v>
                </c:pt>
                <c:pt idx="2">
                  <c:v>50.833071</c:v>
                </c:pt>
                <c:pt idx="3">
                  <c:v>0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重庆宜新!$F$41</c:f>
              <c:strCache>
                <c:ptCount val="1"/>
                <c:pt idx="0">
                  <c:v>EBITDA</c:v>
                </c:pt>
              </c:strCache>
            </c:strRef>
          </c:tx>
          <c:spPr>
            <a:ln w="31750" cap="rnd" cmpd="sng" algn="ctr">
              <a:solidFill>
                <a:schemeClr val="accent2"/>
              </a:solidFill>
              <a:prstDash val="solid"/>
              <a:round/>
            </a:ln>
          </c:spPr>
          <c:marker>
            <c:symbol val="circle"/>
            <c:size val="7"/>
            <c:spPr>
              <a:solidFill>
                <a:schemeClr val="accent2"/>
              </a:solidFill>
              <a:ln w="28575" cap="flat" cmpd="sng" algn="ctr">
                <a:noFill/>
                <a:prstDash val="solid"/>
                <a:round/>
              </a:ln>
            </c:spPr>
          </c:marker>
          <c:dLbls>
            <c:delete val="1"/>
          </c:dLbls>
          <c:cat>
            <c:strRef>
              <c:f>重庆宜新!$G$39:$R$39</c:f>
              <c:strCache>
                <c:ptCount val="12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</c:strCache>
            </c:strRef>
          </c:cat>
          <c:val>
            <c:numRef>
              <c:f>重庆宜新!$G$41:$R$41</c:f>
              <c:numCache>
                <c:formatCode>_ * #,##0.00_ ;_ * \-#,##0.00_ ;_ * "-"??_ ;_ @_ </c:formatCode>
                <c:ptCount val="12"/>
                <c:pt idx="0">
                  <c:v>45.562446</c:v>
                </c:pt>
                <c:pt idx="1">
                  <c:v>23.283589</c:v>
                </c:pt>
                <c:pt idx="2">
                  <c:v>3.393221</c:v>
                </c:pt>
                <c:pt idx="3">
                  <c:v>0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重庆宜新!$F$42</c:f>
              <c:strCache>
                <c:ptCount val="1"/>
                <c:pt idx="0">
                  <c:v>经营活动净现金流</c:v>
                </c:pt>
              </c:strCache>
            </c:strRef>
          </c:tx>
          <c:spPr>
            <a:ln w="31750" cap="rnd" cmpd="sng" algn="ctr">
              <a:solidFill>
                <a:schemeClr val="accent3"/>
              </a:solidFill>
              <a:prstDash val="solid"/>
              <a:round/>
            </a:ln>
          </c:spPr>
          <c:marker>
            <c:symbol val="circle"/>
            <c:size val="7"/>
            <c:spPr>
              <a:solidFill>
                <a:schemeClr val="accent3"/>
              </a:solidFill>
              <a:ln w="28575" cap="flat" cmpd="sng" algn="ctr">
                <a:noFill/>
                <a:prstDash val="solid"/>
                <a:round/>
              </a:ln>
            </c:spPr>
          </c:marker>
          <c:dLbls>
            <c:delete val="1"/>
          </c:dLbls>
          <c:cat>
            <c:strRef>
              <c:f>重庆宜新!$G$39:$R$39</c:f>
              <c:strCache>
                <c:ptCount val="12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</c:strCache>
            </c:strRef>
          </c:cat>
          <c:val>
            <c:numRef>
              <c:f>重庆宜新!$G$42:$R$42</c:f>
              <c:numCache>
                <c:formatCode>_ * #,##0.00_ ;_ * \-#,##0.00_ ;_ * "-"??_ ;_ @_ </c:formatCode>
                <c:ptCount val="12"/>
                <c:pt idx="0">
                  <c:v>27.423488</c:v>
                </c:pt>
                <c:pt idx="1">
                  <c:v>11.955679</c:v>
                </c:pt>
                <c:pt idx="2">
                  <c:v>66.988168</c:v>
                </c:pt>
                <c:pt idx="3">
                  <c:v>0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重庆宜新!$F$43</c:f>
              <c:strCache>
                <c:ptCount val="1"/>
                <c:pt idx="0">
                  <c:v>经营支出小计</c:v>
                </c:pt>
              </c:strCache>
            </c:strRef>
          </c:tx>
          <c:spPr>
            <a:ln w="31750" cap="rnd" cmpd="sng" algn="ctr">
              <a:solidFill>
                <a:schemeClr val="accent4"/>
              </a:solidFill>
              <a:prstDash val="solid"/>
              <a:round/>
            </a:ln>
          </c:spPr>
          <c:marker>
            <c:symbol val="circle"/>
            <c:size val="7"/>
            <c:spPr>
              <a:solidFill>
                <a:schemeClr val="accent4"/>
              </a:solidFill>
              <a:ln w="28575" cap="flat" cmpd="sng" algn="ctr">
                <a:noFill/>
                <a:prstDash val="solid"/>
                <a:round/>
              </a:ln>
            </c:spPr>
          </c:marker>
          <c:dLbls>
            <c:delete val="1"/>
          </c:dLbls>
          <c:cat>
            <c:strRef>
              <c:f>重庆宜新!$G$39:$R$39</c:f>
              <c:strCache>
                <c:ptCount val="12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</c:strCache>
            </c:strRef>
          </c:cat>
          <c:val>
            <c:numRef>
              <c:f>重庆宜新!$G$43:$R$43</c:f>
              <c:numCache>
                <c:formatCode>_ * #,##0.00_ ;_ * \-#,##0.00_ ;_ * "-"??_ ;_ @_ </c:formatCode>
                <c:ptCount val="12"/>
                <c:pt idx="0">
                  <c:v>5.135138</c:v>
                </c:pt>
                <c:pt idx="1">
                  <c:v>5.14162</c:v>
                </c:pt>
                <c:pt idx="2">
                  <c:v>47.184892</c:v>
                </c:pt>
                <c:pt idx="3">
                  <c:v>0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31275372"/>
        <c:axId val="511446834"/>
      </c:lineChart>
      <c:catAx>
        <c:axId val="531275372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low"/>
        <c:spPr>
          <a:noFill/>
          <a:ln w="6350" cap="flat" cmpd="sng" algn="ctr">
            <a:noFill/>
            <a:prstDash val="solid"/>
            <a:round/>
          </a:ln>
        </c:spPr>
        <c:txPr>
          <a:bodyPr rot="-60000000" spcFirstLastPara="0" vertOverflow="ellipsis" vert="horz" wrap="square" anchor="ctr" anchorCtr="1" forceAA="0"/>
          <a:lstStyle/>
          <a:p>
            <a:pPr>
              <a:defRPr lang="zh-CN" sz="800" b="0" i="0" u="none" strike="noStrike" kern="1200" baseline="0">
                <a:solidFill>
                  <a:schemeClr val="tx2"/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</a:p>
        </c:txPr>
        <c:crossAx val="511446834"/>
        <c:crosses val="autoZero"/>
        <c:auto val="1"/>
        <c:lblAlgn val="ctr"/>
        <c:lblOffset val="100"/>
        <c:noMultiLvlLbl val="0"/>
      </c:catAx>
      <c:valAx>
        <c:axId val="51144683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90000"/>
                </a:schemeClr>
              </a:solidFill>
              <a:prstDash val="solid"/>
              <a:round/>
            </a:ln>
          </c:spPr>
        </c:majorGridlines>
        <c:numFmt formatCode="_ * #,##0.00_ ;_ * \-#,##0.00_ ;_ * &quot;-&quot;??_ ;_ @_ " sourceLinked="1"/>
        <c:majorTickMark val="none"/>
        <c:minorTickMark val="in"/>
        <c:tickLblPos val="low"/>
        <c:spPr>
          <a:noFill/>
          <a:ln w="6350" cap="flat" cmpd="sng" algn="ctr">
            <a:noFill/>
            <a:prstDash val="solid"/>
            <a:round/>
          </a:ln>
        </c:spPr>
        <c:txPr>
          <a:bodyPr rot="-60000000" spcFirstLastPara="0" vertOverflow="ellipsis" vert="horz" wrap="square" anchor="ctr" anchorCtr="1" forceAA="0"/>
          <a:lstStyle/>
          <a:p>
            <a:pPr>
              <a:defRPr lang="zh-CN" sz="800" b="0" i="0" u="none" strike="noStrike" kern="1200" baseline="0">
                <a:solidFill>
                  <a:schemeClr val="tx2"/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</a:p>
        </c:txPr>
        <c:crossAx val="531275372"/>
        <c:crosses val="autoZero"/>
        <c:crossBetween val="between"/>
      </c:valAx>
      <c:spPr>
        <a:noFill/>
      </c:spPr>
    </c:plotArea>
    <c:legend>
      <c:legendPos val="r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2"/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</a:p>
        </c:txPr>
      </c:legendEntry>
      <c:legendEntry>
        <c:idx val="1"/>
        <c:txPr>
          <a:bodyPr rot="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2"/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</a:p>
        </c:txPr>
      </c:legendEntry>
      <c:legendEntry>
        <c:idx val="2"/>
        <c:txPr>
          <a:bodyPr rot="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2"/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</a:p>
        </c:txPr>
      </c:legendEntry>
      <c:legendEntry>
        <c:idx val="3"/>
        <c:txPr>
          <a:bodyPr rot="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2"/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</a:p>
        </c:txPr>
      </c:legendEntry>
      <c:layout>
        <c:manualLayout>
          <c:xMode val="edge"/>
          <c:yMode val="edge"/>
          <c:x val="0.0055"/>
          <c:y val="0.08625"/>
          <c:w val="0.987"/>
          <c:h val="0.102"/>
        </c:manualLayout>
      </c:layout>
      <c:overlay val="0"/>
      <c:txPr>
        <a:bodyPr rot="0" spcFirstLastPara="0" vertOverflow="ellipsis" vert="horz" wrap="square" anchor="ctr" anchorCtr="1"/>
        <a:lstStyle/>
        <a:p>
          <a:pPr>
            <a:defRPr lang="zh-CN" sz="700" b="0" i="0" u="none" strike="noStrike" kern="1200" baseline="0">
              <a:solidFill>
                <a:schemeClr val="tx2"/>
              </a:solidFill>
              <a:latin typeface="微软雅黑" panose="020B0503020204020204" charset="-122"/>
              <a:ea typeface="微软雅黑" panose="020B0503020204020204" charset="-122"/>
              <a:cs typeface="微软雅黑" panose="020B0503020204020204" charset="-122"/>
              <a:sym typeface="微软雅黑" panose="020B0503020204020204" charset="-122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d7e23c34-0314-4917-94a5-c6e2b3927af5}"/>
      </c:ext>
    </c:extLst>
  </c:chart>
  <c:spPr>
    <a:solidFill>
      <a:schemeClr val="bg1"/>
    </a:solidFill>
    <a:ln w="6350" cap="flat" cmpd="sng" algn="ctr">
      <a:solidFill>
        <a:schemeClr val="tx1">
          <a:lumMod val="50000"/>
          <a:lumOff val="50000"/>
          <a:alpha val="25000"/>
        </a:schemeClr>
      </a:solidFill>
      <a:prstDash val="solid"/>
      <a:round/>
    </a:ln>
    <a:effectLst>
      <a:outerShdw blurRad="50800" dist="38100" dir="13500000" algn="br" rotWithShape="0">
        <a:prstClr val="black">
          <a:alpha val="40000"/>
        </a:prstClr>
      </a:outerShdw>
    </a:effectLst>
  </c:spPr>
  <c:txPr>
    <a:bodyPr wrap="square"/>
    <a:lstStyle/>
    <a:p>
      <a:pPr>
        <a:defRPr lang="zh-CN" sz="1000" b="0">
          <a:solidFill>
            <a:schemeClr val="tx2"/>
          </a:solidFill>
          <a:latin typeface="微软雅黑" panose="020B0503020204020204" charset="-122"/>
          <a:ea typeface="微软雅黑" panose="020B0503020204020204" charset="-122"/>
          <a:cs typeface="微软雅黑" panose="020B0503020204020204" charset="-122"/>
          <a:sym typeface="微软雅黑" panose="020B0503020204020204" charset="-122"/>
        </a:defRPr>
      </a:pPr>
    </a:p>
  </c:txPr>
  <c:printSettings>
    <c:headerFooter/>
    <c:pageMargins b="0.75" l="0.7" r="0.7" t="0.75" header="0.3" footer="0.3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000" b="1" i="0" u="none" strike="noStrike" kern="1200" baseline="0">
                <a:solidFill>
                  <a:schemeClr val="tx2"/>
                </a:solidFill>
                <a:latin typeface="+mn-ea"/>
                <a:ea typeface="+mn-ea"/>
                <a:cs typeface="+mn-ea"/>
                <a:sym typeface="+mn-ea"/>
              </a:defRPr>
            </a:pPr>
            <a:r>
              <a:rPr lang="zh-CN" altLang="en-US" sz="1000">
                <a:solidFill>
                  <a:schemeClr val="tx2"/>
                </a:solidFill>
                <a:latin typeface="+mn-ea"/>
                <a:ea typeface="+mn-ea"/>
                <a:cs typeface="+mn-ea"/>
                <a:sym typeface="+mn-ea"/>
              </a:rPr>
              <a:t>任务进度</a:t>
            </a:r>
            <a:endParaRPr lang="zh-CN" altLang="en-US" sz="1000" b="1" i="0" u="none" strike="noStrike" baseline="0">
              <a:solidFill>
                <a:schemeClr val="tx2"/>
              </a:solidFill>
              <a:latin typeface="+mn-ea"/>
              <a:ea typeface="+mn-ea"/>
              <a:cs typeface="+mn-ea"/>
              <a:sym typeface="+mn-ea"/>
            </a:endParaRPr>
          </a:p>
        </c:rich>
      </c:tx>
      <c:layout>
        <c:manualLayout>
          <c:xMode val="edge"/>
          <c:yMode val="edge"/>
          <c:x val="0.445"/>
          <c:y val="0.00694605232692753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0958939421837599"/>
          <c:y val="0.188821752265861"/>
          <c:w val="0.791824709998159"/>
          <c:h val="0.69688589356263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伯豪瑞廷!$D$1</c:f>
              <c:strCache>
                <c:ptCount val="1"/>
                <c:pt idx="0">
                  <c:v>年度目标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伯豪瑞廷!$C$2:$C$5</c:f>
              <c:strCache>
                <c:ptCount val="4"/>
                <c:pt idx="0">
                  <c:v>营业收入</c:v>
                </c:pt>
                <c:pt idx="1">
                  <c:v>GOP</c:v>
                </c:pt>
                <c:pt idx="2">
                  <c:v>经营活动净现金流</c:v>
                </c:pt>
                <c:pt idx="3">
                  <c:v>经营支出</c:v>
                </c:pt>
              </c:strCache>
            </c:strRef>
          </c:cat>
          <c:val>
            <c:numRef>
              <c:f>伯豪瑞廷!$D$2:$D$5</c:f>
              <c:numCache>
                <c:formatCode>_ * #,##0.00_ ;[Red]_ * \-#,##0.00_ ;_ * "-"??_ ;_ @_ </c:formatCode>
                <c:ptCount val="4"/>
                <c:pt idx="0">
                  <c:v>7640.86</c:v>
                </c:pt>
                <c:pt idx="1">
                  <c:v>3208.89</c:v>
                </c:pt>
                <c:pt idx="2">
                  <c:v>2140.79</c:v>
                </c:pt>
                <c:pt idx="3">
                  <c:v>4751.02</c:v>
                </c:pt>
              </c:numCache>
            </c:numRef>
          </c:val>
        </c:ser>
        <c:ser>
          <c:idx val="1"/>
          <c:order val="1"/>
          <c:tx>
            <c:strRef>
              <c:f>伯豪瑞廷!$E$1</c:f>
              <c:strCache>
                <c:ptCount val="1"/>
                <c:pt idx="0">
                  <c:v>实际达成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伯豪瑞廷!$C$2:$C$5</c:f>
              <c:strCache>
                <c:ptCount val="4"/>
                <c:pt idx="0">
                  <c:v>营业收入</c:v>
                </c:pt>
                <c:pt idx="1">
                  <c:v>GOP</c:v>
                </c:pt>
                <c:pt idx="2">
                  <c:v>经营活动净现金流</c:v>
                </c:pt>
                <c:pt idx="3">
                  <c:v>经营支出</c:v>
                </c:pt>
              </c:strCache>
            </c:strRef>
          </c:cat>
          <c:val>
            <c:numRef>
              <c:f>伯豪瑞廷!$E$2:$E$5</c:f>
              <c:numCache>
                <c:formatCode>_ * #,##0.00_ ;[Red]_ * \-#,##0.00_ ;_ * "-"??_ ;_ @_ </c:formatCode>
                <c:ptCount val="4"/>
                <c:pt idx="0">
                  <c:v>1487.36</c:v>
                </c:pt>
                <c:pt idx="1">
                  <c:v>467.7514</c:v>
                </c:pt>
                <c:pt idx="2">
                  <c:v>250.57</c:v>
                </c:pt>
                <c:pt idx="3">
                  <c:v>1028.7186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62374389"/>
        <c:axId val="49022524"/>
      </c:barChart>
      <c:lineChart>
        <c:grouping val="standard"/>
        <c:varyColors val="0"/>
        <c:ser>
          <c:idx val="2"/>
          <c:order val="2"/>
          <c:tx>
            <c:strRef>
              <c:f>伯豪瑞廷!$F$1</c:f>
              <c:strCache>
                <c:ptCount val="1"/>
                <c:pt idx="0">
                  <c:v>年度目标达成率</c:v>
                </c:pt>
              </c:strCache>
            </c:strRef>
          </c:tx>
          <c:spPr>
            <a:ln w="28575" cap="rnd" cmpd="sng" algn="ctr">
              <a:solidFill>
                <a:schemeClr val="accent3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 cap="flat" cmpd="sng" algn="ctr">
                <a:solidFill>
                  <a:schemeClr val="accent3"/>
                </a:solidFill>
                <a:prstDash val="solid"/>
                <a:round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700" b="0" i="0" u="none" strike="noStrike" kern="1200" baseline="0">
                    <a:solidFill>
                      <a:schemeClr val="tx2"/>
                    </a:solidFill>
                    <a:latin typeface="+mn-ea"/>
                    <a:ea typeface="+mn-ea"/>
                    <a:cs typeface="+mn-ea"/>
                    <a:sym typeface="+mn-ea"/>
                  </a:defRPr>
                </a:pPr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cat>
            <c:strRef>
              <c:f>伯豪瑞廷!$C$2:$C$5</c:f>
              <c:strCache>
                <c:ptCount val="4"/>
                <c:pt idx="0">
                  <c:v>营业收入</c:v>
                </c:pt>
                <c:pt idx="1">
                  <c:v>GOP</c:v>
                </c:pt>
                <c:pt idx="2">
                  <c:v>经营活动净现金流</c:v>
                </c:pt>
                <c:pt idx="3">
                  <c:v>经营支出</c:v>
                </c:pt>
              </c:strCache>
            </c:strRef>
          </c:cat>
          <c:val>
            <c:numRef>
              <c:f>伯豪瑞廷!$F$2:$F$5</c:f>
              <c:numCache>
                <c:formatCode>_ * #,##0.00%_ ;[Red]_ * \-#,##0.00%_ ;_ * "-"??_ ;_ @_ </c:formatCode>
                <c:ptCount val="4"/>
                <c:pt idx="0">
                  <c:v>0.194658716427208</c:v>
                </c:pt>
                <c:pt idx="1">
                  <c:v>0.145767352573631</c:v>
                </c:pt>
                <c:pt idx="2">
                  <c:v>0.117045576632925</c:v>
                </c:pt>
                <c:pt idx="3">
                  <c:v>0.216525840766825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7061542"/>
        <c:axId val="289383188"/>
      </c:lineChart>
      <c:catAx>
        <c:axId val="862374389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  <a:effectLst/>
        </c:spPr>
        <c:txPr>
          <a:bodyPr rot="42000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2"/>
                </a:solidFill>
                <a:latin typeface="+mn-ea"/>
                <a:ea typeface="+mn-ea"/>
                <a:cs typeface="+mn-ea"/>
                <a:sym typeface="+mn-ea"/>
              </a:defRPr>
            </a:pPr>
          </a:p>
        </c:txPr>
        <c:crossAx val="49022524"/>
        <c:crosses val="autoZero"/>
        <c:auto val="1"/>
        <c:lblAlgn val="ctr"/>
        <c:lblOffset val="100"/>
        <c:noMultiLvlLbl val="0"/>
      </c:catAx>
      <c:valAx>
        <c:axId val="490225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prstDash val="solid"/>
              <a:round/>
            </a:ln>
            <a:effectLst/>
          </c:spPr>
        </c:majorGridlines>
        <c:numFmt formatCode="#,##0_);[Red]\(#,##0\)" sourceLinked="0"/>
        <c:majorTickMark val="none"/>
        <c:minorTickMark val="none"/>
        <c:tickLblPos val="nextTo"/>
        <c:spPr>
          <a:noFill/>
          <a:ln w="12700" cap="flat" cmpd="sng" algn="ctr">
            <a:noFill/>
            <a:prstDash val="solid"/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2"/>
                </a:solidFill>
                <a:latin typeface="+mn-ea"/>
                <a:ea typeface="+mn-ea"/>
                <a:cs typeface="+mn-ea"/>
                <a:sym typeface="+mn-ea"/>
              </a:defRPr>
            </a:pPr>
          </a:p>
        </c:txPr>
        <c:crossAx val="862374389"/>
        <c:crosses val="autoZero"/>
        <c:crossBetween val="between"/>
      </c:valAx>
      <c:catAx>
        <c:axId val="9706154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2"/>
                </a:solidFill>
                <a:latin typeface="+mn-ea"/>
                <a:ea typeface="+mn-ea"/>
                <a:cs typeface="+mn-ea"/>
                <a:sym typeface="+mn-ea"/>
              </a:defRPr>
            </a:pPr>
          </a:p>
        </c:txPr>
        <c:crossAx val="289383188"/>
        <c:crosses val="autoZero"/>
        <c:auto val="1"/>
        <c:lblAlgn val="ctr"/>
        <c:lblOffset val="100"/>
        <c:noMultiLvlLbl val="0"/>
      </c:catAx>
      <c:valAx>
        <c:axId val="289383188"/>
        <c:scaling>
          <c:orientation val="minMax"/>
        </c:scaling>
        <c:delete val="0"/>
        <c:axPos val="r"/>
        <c:numFmt formatCode="0%" sourceLinked="0"/>
        <c:majorTickMark val="out"/>
        <c:minorTickMark val="none"/>
        <c:tickLblPos val="nextTo"/>
        <c:spPr>
          <a:noFill/>
          <a:ln w="12700" cap="flat" cmpd="sng" algn="ctr">
            <a:noFill/>
            <a:prstDash val="solid"/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2"/>
                </a:solidFill>
                <a:latin typeface="+mn-ea"/>
                <a:ea typeface="+mn-ea"/>
                <a:cs typeface="+mn-ea"/>
                <a:sym typeface="+mn-ea"/>
              </a:defRPr>
            </a:pPr>
          </a:p>
        </c:txPr>
        <c:crossAx val="97061542"/>
        <c:crosses val="max"/>
        <c:crossBetween val="between"/>
      </c:valAx>
      <c:spPr>
        <a:noFill/>
        <a:ln>
          <a:noFill/>
        </a:ln>
        <a:effectLst/>
      </c:spPr>
    </c:plotArea>
    <c:legend>
      <c:legendPos val="r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2"/>
                </a:solidFill>
                <a:latin typeface="+mn-ea"/>
                <a:ea typeface="+mn-ea"/>
                <a:cs typeface="+mn-ea"/>
                <a:sym typeface="+mn-ea"/>
              </a:defRPr>
            </a:pPr>
          </a:p>
        </c:txPr>
      </c:legendEntry>
      <c:legendEntry>
        <c:idx val="1"/>
        <c:txPr>
          <a:bodyPr rot="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2"/>
                </a:solidFill>
                <a:latin typeface="+mn-ea"/>
                <a:ea typeface="+mn-ea"/>
                <a:cs typeface="+mn-ea"/>
                <a:sym typeface="+mn-ea"/>
              </a:defRPr>
            </a:pPr>
          </a:p>
        </c:txPr>
      </c:legendEntry>
      <c:legendEntry>
        <c:idx val="2"/>
        <c:txPr>
          <a:bodyPr rot="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2"/>
                </a:solidFill>
                <a:latin typeface="+mn-ea"/>
                <a:ea typeface="+mn-ea"/>
                <a:cs typeface="+mn-ea"/>
                <a:sym typeface="+mn-ea"/>
              </a:defRPr>
            </a:pPr>
          </a:p>
        </c:txPr>
      </c:legendEntry>
      <c:layout>
        <c:manualLayout>
          <c:xMode val="edge"/>
          <c:yMode val="edge"/>
          <c:x val="0.0055"/>
          <c:y val="0.07925"/>
          <c:w val="0.98675"/>
          <c:h val="0.102"/>
        </c:manualLayout>
      </c:layout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700" b="0" i="0" u="none" strike="noStrike" kern="1200" baseline="0">
              <a:solidFill>
                <a:schemeClr val="tx2"/>
              </a:solidFill>
              <a:latin typeface="+mn-ea"/>
              <a:ea typeface="+mn-ea"/>
              <a:cs typeface="+mn-ea"/>
              <a:sym typeface="+mn-ea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728571f0-2748-4e79-ba28-ad3b2775ce15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  <a:effectLst>
      <a:outerShdw blurRad="50800" dist="38100" dir="13500000" algn="br" rotWithShape="0">
        <a:prstClr val="black">
          <a:alpha val="40000"/>
        </a:prstClr>
      </a:outerShdw>
    </a:effectLst>
  </c:spPr>
  <c:txPr>
    <a:bodyPr wrap="square"/>
    <a:lstStyle/>
    <a:p>
      <a:pPr>
        <a:defRPr lang="zh-CN" sz="700">
          <a:solidFill>
            <a:schemeClr val="tx2"/>
          </a:solidFill>
          <a:latin typeface="+mn-ea"/>
          <a:ea typeface="+mn-ea"/>
          <a:cs typeface="+mn-ea"/>
          <a:sym typeface="+mn-ea"/>
        </a:defRPr>
      </a:pPr>
    </a:p>
  </c:txPr>
  <c:printSettings>
    <c:headerFooter/>
    <c:pageMargins b="0.75" l="0.7" r="0.7" t="0.75" header="0.3" footer="0.3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000" b="1" i="0" u="none" strike="noStrike" kern="1200" baseline="0">
                <a:solidFill>
                  <a:schemeClr val="tx2"/>
                </a:solidFill>
                <a:latin typeface="+mn-ea"/>
                <a:ea typeface="+mn-ea"/>
                <a:cs typeface="+mn-ea"/>
                <a:sym typeface="+mn-ea"/>
              </a:defRPr>
            </a:pPr>
            <a:r>
              <a:rPr lang="zh-CN" altLang="en-US" sz="1000">
                <a:solidFill>
                  <a:schemeClr val="tx2"/>
                </a:solidFill>
                <a:latin typeface="+mn-ea"/>
                <a:ea typeface="+mn-ea"/>
                <a:cs typeface="+mn-ea"/>
                <a:sym typeface="+mn-ea"/>
              </a:rPr>
              <a:t>营收比较</a:t>
            </a:r>
            <a:endParaRPr lang="zh-CN" altLang="en-US" sz="1000" b="1" i="0" u="none" strike="noStrike" baseline="0">
              <a:solidFill>
                <a:schemeClr val="tx2"/>
              </a:solidFill>
              <a:latin typeface="+mn-ea"/>
              <a:ea typeface="+mn-ea"/>
              <a:cs typeface="+mn-ea"/>
              <a:sym typeface="+mn-ea"/>
            </a:endParaRPr>
          </a:p>
        </c:rich>
      </c:tx>
      <c:layout>
        <c:manualLayout>
          <c:xMode val="edge"/>
          <c:yMode val="edge"/>
          <c:x val="0.457999545333275"/>
          <c:y val="0.00653879686137751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0936844043454244"/>
          <c:y val="0.188705554264467"/>
          <c:w val="0.900791751058737"/>
          <c:h val="0.732558679990704"/>
        </c:manualLayout>
      </c:layout>
      <c:barChart>
        <c:barDir val="col"/>
        <c:grouping val="clustered"/>
        <c:varyColors val="0"/>
        <c:ser>
          <c:idx val="1"/>
          <c:order val="1"/>
          <c:tx>
            <c:strRef>
              <c:f>伯豪瑞廷!$F$35</c:f>
              <c:strCache>
                <c:ptCount val="1"/>
                <c:pt idx="0">
                  <c:v>同期营收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伯豪瑞廷!$G$33:$R$33</c:f>
              <c:strCache>
                <c:ptCount val="12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</c:strCache>
            </c:strRef>
          </c:cat>
          <c:val>
            <c:numRef>
              <c:f>伯豪瑞廷!$G$35:$R$35</c:f>
              <c:numCache>
                <c:formatCode>_ * #,##0.00_ ;[Red]_ * \-#,##0.00_ ;_ * "-"??_ ;_ @_ </c:formatCode>
                <c:ptCount val="12"/>
                <c:pt idx="0">
                  <c:v>638.59</c:v>
                </c:pt>
                <c:pt idx="1">
                  <c:v>508.88</c:v>
                </c:pt>
                <c:pt idx="2">
                  <c:v>583.66</c:v>
                </c:pt>
                <c:pt idx="3">
                  <c:v>632.44</c:v>
                </c:pt>
                <c:pt idx="4">
                  <c:v>669.89</c:v>
                </c:pt>
                <c:pt idx="5">
                  <c:v>654.76</c:v>
                </c:pt>
                <c:pt idx="6">
                  <c:v>751.06</c:v>
                </c:pt>
                <c:pt idx="7">
                  <c:v>672.56</c:v>
                </c:pt>
                <c:pt idx="8">
                  <c:v>585.23</c:v>
                </c:pt>
                <c:pt idx="9">
                  <c:v>673.95</c:v>
                </c:pt>
                <c:pt idx="10">
                  <c:v>623.86</c:v>
                </c:pt>
                <c:pt idx="11">
                  <c:v>554.4</c:v>
                </c:pt>
              </c:numCache>
            </c:numRef>
          </c:val>
        </c:ser>
        <c:ser>
          <c:idx val="2"/>
          <c:order val="2"/>
          <c:tx>
            <c:strRef>
              <c:f>伯豪瑞廷!$F$36</c:f>
              <c:strCache>
                <c:ptCount val="1"/>
                <c:pt idx="0">
                  <c:v>营收分解计划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伯豪瑞廷!$G$33:$R$33</c:f>
              <c:strCache>
                <c:ptCount val="12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</c:strCache>
            </c:strRef>
          </c:cat>
          <c:val>
            <c:numRef>
              <c:f>伯豪瑞廷!$G$36:$R$36</c:f>
              <c:numCache>
                <c:formatCode>_ * #,##0.00_ ;[Red]_ * \-#,##0.00_ ;_ * "-"??_ ;_ @_ </c:formatCode>
                <c:ptCount val="12"/>
                <c:pt idx="0">
                  <c:v>627.4</c:v>
                </c:pt>
                <c:pt idx="1">
                  <c:v>501.26</c:v>
                </c:pt>
                <c:pt idx="2">
                  <c:v>568.4</c:v>
                </c:pt>
                <c:pt idx="3">
                  <c:v>621.71</c:v>
                </c:pt>
                <c:pt idx="4">
                  <c:v>648.43</c:v>
                </c:pt>
                <c:pt idx="5">
                  <c:v>636.67</c:v>
                </c:pt>
                <c:pt idx="6">
                  <c:v>738.6</c:v>
                </c:pt>
                <c:pt idx="7">
                  <c:v>710.2</c:v>
                </c:pt>
                <c:pt idx="8">
                  <c:v>631.86</c:v>
                </c:pt>
                <c:pt idx="9">
                  <c:v>656.96</c:v>
                </c:pt>
                <c:pt idx="10">
                  <c:v>655.88</c:v>
                </c:pt>
                <c:pt idx="11">
                  <c:v>643.49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35709253"/>
        <c:axId val="563061227"/>
      </c:barChart>
      <c:scatterChart>
        <c:scatterStyle val="smoothMarker"/>
        <c:varyColors val="0"/>
        <c:ser>
          <c:idx val="0"/>
          <c:order val="0"/>
          <c:tx>
            <c:strRef>
              <c:f>伯豪瑞廷!$F$34</c:f>
              <c:strCache>
                <c:ptCount val="1"/>
                <c:pt idx="0">
                  <c:v>营业收入</c:v>
                </c:pt>
              </c:strCache>
            </c:strRef>
          </c:tx>
          <c:spPr>
            <a:ln w="28575" cap="rnd" cmpd="sng" algn="ctr">
              <a:solidFill>
                <a:schemeClr val="accent1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 cap="flat" cmpd="sng" algn="ctr">
                <a:solidFill>
                  <a:schemeClr val="accent1"/>
                </a:solidFill>
                <a:prstDash val="solid"/>
                <a:round/>
              </a:ln>
              <a:effectLst/>
            </c:spPr>
          </c:marker>
          <c:dLbls>
            <c:delete val="1"/>
          </c:dLbls>
          <c:xVal>
            <c:strRef>
              <c:f>伯豪瑞廷!$G$33:$R$33</c:f>
              <c:strCache>
                <c:ptCount val="12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</c:strCache>
            </c:strRef>
          </c:xVal>
          <c:yVal>
            <c:numRef>
              <c:f>伯豪瑞廷!$G$34:$R$34</c:f>
              <c:numCache>
                <c:formatCode>_ * #,##0.00_ ;[Red]_ * \-#,##0.00_ ;_ * "-"??_ ;_ @_ </c:formatCode>
                <c:ptCount val="12"/>
                <c:pt idx="0">
                  <c:v>557.51</c:v>
                </c:pt>
                <c:pt idx="1">
                  <c:v>405.76</c:v>
                </c:pt>
                <c:pt idx="2">
                  <c:v>524.09</c:v>
                </c:pt>
                <c:pt idx="3">
                  <c:v>0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35709253"/>
        <c:axId val="563061227"/>
      </c:scatterChart>
      <c:catAx>
        <c:axId val="435709253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2"/>
                </a:solidFill>
                <a:latin typeface="OPPO Sans 4.0" panose="00000500000000000000" charset="-122"/>
                <a:ea typeface="OPPO Sans 4.0" panose="00000500000000000000" charset="-122"/>
                <a:cs typeface="OPPO Sans 4.0" panose="00000500000000000000" charset="-122"/>
                <a:sym typeface="OPPO Sans 4.0" panose="00000500000000000000" charset="-122"/>
              </a:defRPr>
            </a:pPr>
          </a:p>
        </c:txPr>
        <c:crossAx val="563061227"/>
        <c:crosses val="autoZero"/>
        <c:auto val="1"/>
        <c:lblAlgn val="ctr"/>
        <c:lblOffset val="100"/>
        <c:noMultiLvlLbl val="0"/>
      </c:catAx>
      <c:valAx>
        <c:axId val="5630612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prstDash val="solid"/>
              <a:round/>
            </a:ln>
            <a:effectLst/>
          </c:spPr>
        </c:majorGridlines>
        <c:numFmt formatCode="#,##0_);[Red]\(#,##0\)" sourceLinked="0"/>
        <c:majorTickMark val="none"/>
        <c:minorTickMark val="none"/>
        <c:tickLblPos val="nextTo"/>
        <c:spPr>
          <a:noFill/>
          <a:ln w="12700" cap="flat" cmpd="sng" algn="ctr">
            <a:noFill/>
            <a:prstDash val="solid"/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2"/>
                </a:solidFill>
                <a:latin typeface="OPPO Sans 4.0" panose="00000500000000000000" charset="-122"/>
                <a:ea typeface="OPPO Sans 4.0" panose="00000500000000000000" charset="-122"/>
                <a:cs typeface="OPPO Sans 4.0" panose="00000500000000000000" charset="-122"/>
                <a:sym typeface="OPPO Sans 4.0" panose="00000500000000000000" charset="-122"/>
              </a:defRPr>
            </a:pPr>
          </a:p>
        </c:txPr>
        <c:crossAx val="43570925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2"/>
                </a:solidFill>
                <a:latin typeface="OPPO Sans 4.0" panose="00000500000000000000" charset="-122"/>
                <a:ea typeface="OPPO Sans 4.0" panose="00000500000000000000" charset="-122"/>
                <a:cs typeface="OPPO Sans 4.0" panose="00000500000000000000" charset="-122"/>
                <a:sym typeface="OPPO Sans 4.0" panose="00000500000000000000" charset="-122"/>
              </a:defRPr>
            </a:pPr>
          </a:p>
        </c:txPr>
      </c:legendEntry>
      <c:legendEntry>
        <c:idx val="1"/>
        <c:txPr>
          <a:bodyPr rot="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2"/>
                </a:solidFill>
                <a:latin typeface="OPPO Sans 4.0" panose="00000500000000000000" charset="-122"/>
                <a:ea typeface="OPPO Sans 4.0" panose="00000500000000000000" charset="-122"/>
                <a:cs typeface="OPPO Sans 4.0" panose="00000500000000000000" charset="-122"/>
                <a:sym typeface="OPPO Sans 4.0" panose="00000500000000000000" charset="-122"/>
              </a:defRPr>
            </a:pPr>
          </a:p>
        </c:txPr>
      </c:legendEntry>
      <c:legendEntry>
        <c:idx val="2"/>
        <c:txPr>
          <a:bodyPr rot="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2"/>
                </a:solidFill>
                <a:latin typeface="OPPO Sans 4.0" panose="00000500000000000000" charset="-122"/>
                <a:ea typeface="OPPO Sans 4.0" panose="00000500000000000000" charset="-122"/>
                <a:cs typeface="OPPO Sans 4.0" panose="00000500000000000000" charset="-122"/>
                <a:sym typeface="OPPO Sans 4.0" panose="00000500000000000000" charset="-122"/>
              </a:defRPr>
            </a:pPr>
          </a:p>
        </c:txPr>
      </c:legendEntry>
      <c:layout>
        <c:manualLayout>
          <c:xMode val="edge"/>
          <c:yMode val="edge"/>
          <c:x val="0.0055"/>
          <c:y val="0.08175"/>
          <c:w val="0.9905"/>
          <c:h val="0.10675"/>
        </c:manualLayout>
      </c:layout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700" b="0" i="0" u="none" strike="noStrike" kern="1200" baseline="0">
              <a:solidFill>
                <a:schemeClr val="tx2"/>
              </a:solidFill>
              <a:latin typeface="OPPO Sans 4.0" panose="00000500000000000000" charset="-122"/>
              <a:ea typeface="OPPO Sans 4.0" panose="00000500000000000000" charset="-122"/>
              <a:cs typeface="OPPO Sans 4.0" panose="00000500000000000000" charset="-122"/>
              <a:sym typeface="OPPO Sans 4.0" panose="00000500000000000000" charset="-122"/>
            </a:defRPr>
          </a:pPr>
        </a:p>
      </c:txPr>
    </c:legend>
    <c:plotVisOnly val="0"/>
    <c:dispBlanksAs val="gap"/>
    <c:showDLblsOverMax val="0"/>
    <c:extLst>
      <c:ext uri="{0b15fc19-7d7d-44ad-8c2d-2c3a37ce22c3}">
        <chartProps xmlns="https://web.wps.cn/et/2018/main" chartId="{3e036d18-7d35-47cc-928b-ecf758998359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  <a:effectLst>
      <a:outerShdw blurRad="50800" dist="38100" dir="13500000" algn="br" rotWithShape="0">
        <a:prstClr val="black">
          <a:alpha val="40000"/>
        </a:prstClr>
      </a:outerShdw>
    </a:effectLst>
  </c:spPr>
  <c:txPr>
    <a:bodyPr wrap="square"/>
    <a:lstStyle/>
    <a:p>
      <a:pPr>
        <a:defRPr lang="zh-CN" sz="700">
          <a:solidFill>
            <a:schemeClr val="tx2"/>
          </a:solidFill>
          <a:latin typeface="OPPO Sans 4.0" panose="00000500000000000000" charset="-122"/>
          <a:ea typeface="OPPO Sans 4.0" panose="00000500000000000000" charset="-122"/>
          <a:cs typeface="OPPO Sans 4.0" panose="00000500000000000000" charset="-122"/>
          <a:sym typeface="OPPO Sans 4.0" panose="00000500000000000000" charset="-122"/>
        </a:defRPr>
      </a:pPr>
    </a:p>
  </c:txPr>
  <c:printSettings>
    <c:headerFooter/>
    <c:pageMargins b="0.75" l="0.7" r="0.7" t="0.75" header="0.3" footer="0.3"/>
    <c:pageSetup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 forceAA="0"/>
          <a:lstStyle/>
          <a:p>
            <a:pPr>
              <a:defRPr lang="zh-CN" sz="1000" b="1" i="0" u="none" strike="noStrike" kern="1200" baseline="0">
                <a:solidFill>
                  <a:schemeClr val="tx2"/>
                </a:solidFill>
                <a:latin typeface="+mn-ea"/>
                <a:ea typeface="+mn-ea"/>
                <a:cs typeface="+mn-ea"/>
                <a:sym typeface="+mn-ea"/>
              </a:defRPr>
            </a:pPr>
            <a:r>
              <a:rPr lang="zh-CN" altLang="en-US" sz="1000" b="1">
                <a:solidFill>
                  <a:schemeClr val="tx2"/>
                </a:solidFill>
                <a:latin typeface="+mn-ea"/>
                <a:ea typeface="+mn-ea"/>
                <a:cs typeface="+mn-ea"/>
                <a:sym typeface="+mn-ea"/>
              </a:rPr>
              <a:t>指标趋势</a:t>
            </a:r>
            <a:endParaRPr lang="zh-CN" altLang="en-US" sz="1000" b="1" i="0" u="none" strike="noStrike" baseline="0">
              <a:solidFill>
                <a:schemeClr val="tx2"/>
              </a:solidFill>
              <a:latin typeface="+mn-ea"/>
              <a:ea typeface="+mn-ea"/>
              <a:cs typeface="+mn-ea"/>
              <a:sym typeface="+mn-ea"/>
            </a:endParaRPr>
          </a:p>
        </c:rich>
      </c:tx>
      <c:layout>
        <c:manualLayout>
          <c:xMode val="edge"/>
          <c:yMode val="edge"/>
          <c:x val="0.417274939172749"/>
          <c:y val="0.00524292205522545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63542625667465"/>
          <c:y val="0.188705554264467"/>
          <c:w val="0.830933529736697"/>
          <c:h val="0.722240297466884"/>
        </c:manualLayout>
      </c:layout>
      <c:lineChart>
        <c:grouping val="standard"/>
        <c:varyColors val="0"/>
        <c:ser>
          <c:idx val="0"/>
          <c:order val="0"/>
          <c:tx>
            <c:strRef>
              <c:f>伯豪瑞廷!$F$40</c:f>
              <c:strCache>
                <c:ptCount val="1"/>
                <c:pt idx="0">
                  <c:v>营业收入</c:v>
                </c:pt>
              </c:strCache>
            </c:strRef>
          </c:tx>
          <c:spPr>
            <a:ln w="31750" cap="rnd" cmpd="sng" algn="ctr">
              <a:solidFill>
                <a:schemeClr val="accent1"/>
              </a:solidFill>
              <a:prstDash val="solid"/>
              <a:round/>
            </a:ln>
            <a:effectLst/>
          </c:spPr>
          <c:marker>
            <c:symbol val="circle"/>
            <c:size val="7"/>
            <c:spPr>
              <a:solidFill>
                <a:schemeClr val="accent1"/>
              </a:solidFill>
              <a:ln w="28575" cap="flat" cmpd="sng" algn="ctr">
                <a:noFill/>
                <a:prstDash val="solid"/>
                <a:round/>
              </a:ln>
            </c:spPr>
          </c:marker>
          <c:dLbls>
            <c:delete val="1"/>
          </c:dLbls>
          <c:cat>
            <c:strRef>
              <c:f>伯豪瑞廷!$G$39:$R$39</c:f>
              <c:strCache>
                <c:ptCount val="12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</c:strCache>
            </c:strRef>
          </c:cat>
          <c:val>
            <c:numRef>
              <c:f>伯豪瑞廷!$G$40:$R$40</c:f>
              <c:numCache>
                <c:formatCode>_ * #,##0.00_ ;_ * \-#,##0.00_ ;_ * "-"??_ ;_ @_ </c:formatCode>
                <c:ptCount val="12"/>
                <c:pt idx="0">
                  <c:v>557.51</c:v>
                </c:pt>
                <c:pt idx="1">
                  <c:v>405.76</c:v>
                </c:pt>
                <c:pt idx="2">
                  <c:v>524.09</c:v>
                </c:pt>
                <c:pt idx="3">
                  <c:v>0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伯豪瑞廷!$F$41</c:f>
              <c:strCache>
                <c:ptCount val="1"/>
                <c:pt idx="0">
                  <c:v>GOP</c:v>
                </c:pt>
              </c:strCache>
            </c:strRef>
          </c:tx>
          <c:spPr>
            <a:ln w="31750" cap="rnd" cmpd="sng" algn="ctr">
              <a:solidFill>
                <a:schemeClr val="accent2"/>
              </a:solidFill>
              <a:prstDash val="solid"/>
              <a:round/>
            </a:ln>
          </c:spPr>
          <c:marker>
            <c:symbol val="circle"/>
            <c:size val="7"/>
            <c:spPr>
              <a:solidFill>
                <a:schemeClr val="accent2"/>
              </a:solidFill>
              <a:ln w="28575" cap="flat" cmpd="sng" algn="ctr">
                <a:noFill/>
                <a:prstDash val="solid"/>
                <a:round/>
              </a:ln>
            </c:spPr>
          </c:marker>
          <c:dLbls>
            <c:delete val="1"/>
          </c:dLbls>
          <c:cat>
            <c:strRef>
              <c:f>伯豪瑞廷!$G$39:$R$39</c:f>
              <c:strCache>
                <c:ptCount val="12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</c:strCache>
            </c:strRef>
          </c:cat>
          <c:val>
            <c:numRef>
              <c:f>伯豪瑞廷!$G$41:$R$41</c:f>
              <c:numCache>
                <c:formatCode>_ * #,##0.00_ ;_ * \-#,##0.00_ ;_ * "-"??_ ;_ @_ </c:formatCode>
                <c:ptCount val="12"/>
                <c:pt idx="0">
                  <c:v>200.8924</c:v>
                </c:pt>
                <c:pt idx="1">
                  <c:v>69.875</c:v>
                </c:pt>
                <c:pt idx="2">
                  <c:v>196.984</c:v>
                </c:pt>
                <c:pt idx="3">
                  <c:v>0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伯豪瑞廷!$F$42</c:f>
              <c:strCache>
                <c:ptCount val="1"/>
                <c:pt idx="0">
                  <c:v>经营活动净现金流</c:v>
                </c:pt>
              </c:strCache>
            </c:strRef>
          </c:tx>
          <c:spPr>
            <a:ln w="31750" cap="rnd" cmpd="sng" algn="ctr">
              <a:solidFill>
                <a:schemeClr val="accent3"/>
              </a:solidFill>
              <a:prstDash val="solid"/>
              <a:round/>
            </a:ln>
          </c:spPr>
          <c:marker>
            <c:symbol val="circle"/>
            <c:size val="7"/>
            <c:spPr>
              <a:solidFill>
                <a:schemeClr val="accent3"/>
              </a:solidFill>
              <a:ln w="28575" cap="flat" cmpd="sng" algn="ctr">
                <a:noFill/>
                <a:prstDash val="solid"/>
                <a:round/>
              </a:ln>
            </c:spPr>
          </c:marker>
          <c:dLbls>
            <c:delete val="1"/>
          </c:dLbls>
          <c:cat>
            <c:strRef>
              <c:f>伯豪瑞廷!$G$39:$R$39</c:f>
              <c:strCache>
                <c:ptCount val="12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</c:strCache>
            </c:strRef>
          </c:cat>
          <c:val>
            <c:numRef>
              <c:f>伯豪瑞廷!$G$42:$R$42</c:f>
              <c:numCache>
                <c:formatCode>_ * #,##0.00_ ;_ * \-#,##0.00_ ;_ * "-"??_ ;_ @_ </c:formatCode>
                <c:ptCount val="12"/>
                <c:pt idx="0">
                  <c:v>17.26</c:v>
                </c:pt>
                <c:pt idx="1">
                  <c:v>25.62</c:v>
                </c:pt>
                <c:pt idx="2">
                  <c:v>207.69</c:v>
                </c:pt>
                <c:pt idx="3">
                  <c:v>0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伯豪瑞廷!$F$43</c:f>
              <c:strCache>
                <c:ptCount val="1"/>
                <c:pt idx="0">
                  <c:v>经营支出小计</c:v>
                </c:pt>
              </c:strCache>
            </c:strRef>
          </c:tx>
          <c:spPr>
            <a:ln w="31750" cap="rnd" cmpd="sng" algn="ctr">
              <a:solidFill>
                <a:schemeClr val="accent4"/>
              </a:solidFill>
              <a:prstDash val="solid"/>
              <a:round/>
            </a:ln>
          </c:spPr>
          <c:marker>
            <c:symbol val="circle"/>
            <c:size val="7"/>
            <c:spPr>
              <a:solidFill>
                <a:schemeClr val="accent4"/>
              </a:solidFill>
              <a:ln w="28575" cap="flat" cmpd="sng" algn="ctr">
                <a:noFill/>
                <a:prstDash val="solid"/>
                <a:round/>
              </a:ln>
            </c:spPr>
          </c:marker>
          <c:dLbls>
            <c:delete val="1"/>
          </c:dLbls>
          <c:cat>
            <c:strRef>
              <c:f>伯豪瑞廷!$G$39:$R$39</c:f>
              <c:strCache>
                <c:ptCount val="12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</c:strCache>
            </c:strRef>
          </c:cat>
          <c:val>
            <c:numRef>
              <c:f>伯豪瑞廷!$G$43:$R$43</c:f>
              <c:numCache>
                <c:formatCode>_ * #,##0.00_ ;_ * \-#,##0.00_ ;_ * "-"??_ ;_ @_ </c:formatCode>
                <c:ptCount val="12"/>
                <c:pt idx="0">
                  <c:v>359.0376</c:v>
                </c:pt>
                <c:pt idx="1">
                  <c:v>338.005</c:v>
                </c:pt>
                <c:pt idx="2">
                  <c:v>331.676</c:v>
                </c:pt>
                <c:pt idx="3">
                  <c:v>0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28717184"/>
        <c:axId val="323633989"/>
      </c:lineChart>
      <c:catAx>
        <c:axId val="528717184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low"/>
        <c:spPr>
          <a:noFill/>
          <a:ln w="6350" cap="flat" cmpd="sng" algn="ctr">
            <a:noFill/>
            <a:prstDash val="solid"/>
            <a:round/>
          </a:ln>
        </c:spPr>
        <c:txPr>
          <a:bodyPr rot="-60000000" spcFirstLastPara="0" vertOverflow="ellipsis" vert="horz" wrap="square" anchor="ctr" anchorCtr="1" forceAA="0"/>
          <a:lstStyle/>
          <a:p>
            <a:pPr>
              <a:defRPr lang="zh-CN" sz="800" b="0" i="0" u="none" strike="noStrike" kern="1200" baseline="0">
                <a:solidFill>
                  <a:schemeClr val="tx2"/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</a:p>
        </c:txPr>
        <c:crossAx val="323633989"/>
        <c:crosses val="autoZero"/>
        <c:auto val="1"/>
        <c:lblAlgn val="ctr"/>
        <c:lblOffset val="100"/>
        <c:noMultiLvlLbl val="0"/>
      </c:catAx>
      <c:valAx>
        <c:axId val="32363398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90000"/>
                </a:schemeClr>
              </a:solidFill>
              <a:prstDash val="solid"/>
              <a:round/>
            </a:ln>
          </c:spPr>
        </c:majorGridlines>
        <c:numFmt formatCode="_ * #,##0.00_ ;_ * \-#,##0.00_ ;_ * &quot;-&quot;??_ ;_ @_ " sourceLinked="1"/>
        <c:majorTickMark val="none"/>
        <c:minorTickMark val="in"/>
        <c:tickLblPos val="low"/>
        <c:spPr>
          <a:noFill/>
          <a:ln w="6350" cap="flat" cmpd="sng" algn="ctr">
            <a:noFill/>
            <a:prstDash val="solid"/>
            <a:round/>
          </a:ln>
        </c:spPr>
        <c:txPr>
          <a:bodyPr rot="-60000000" spcFirstLastPara="0" vertOverflow="ellipsis" vert="horz" wrap="square" anchor="ctr" anchorCtr="1" forceAA="0"/>
          <a:lstStyle/>
          <a:p>
            <a:pPr>
              <a:defRPr lang="zh-CN" sz="800" b="0" i="0" u="none" strike="noStrike" kern="1200" baseline="0">
                <a:solidFill>
                  <a:schemeClr val="tx2"/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</a:p>
        </c:txPr>
        <c:crossAx val="528717184"/>
        <c:crosses val="autoZero"/>
        <c:crossBetween val="between"/>
      </c:valAx>
      <c:spPr>
        <a:noFill/>
      </c:spPr>
    </c:plotArea>
    <c:legend>
      <c:legendPos val="r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2"/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</a:p>
        </c:txPr>
      </c:legendEntry>
      <c:legendEntry>
        <c:idx val="1"/>
        <c:txPr>
          <a:bodyPr rot="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2"/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</a:p>
        </c:txPr>
      </c:legendEntry>
      <c:legendEntry>
        <c:idx val="2"/>
        <c:txPr>
          <a:bodyPr rot="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2"/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</a:p>
        </c:txPr>
      </c:legendEntry>
      <c:legendEntry>
        <c:idx val="3"/>
        <c:txPr>
          <a:bodyPr rot="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2"/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</a:p>
        </c:txPr>
      </c:legendEntry>
      <c:layout>
        <c:manualLayout>
          <c:xMode val="edge"/>
          <c:yMode val="edge"/>
          <c:x val="0.0055"/>
          <c:y val="0.08625"/>
          <c:w val="0.99075"/>
          <c:h val="0.102"/>
        </c:manualLayout>
      </c:layout>
      <c:overlay val="0"/>
      <c:txPr>
        <a:bodyPr rot="0" spcFirstLastPara="0" vertOverflow="ellipsis" vert="horz" wrap="square" anchor="ctr" anchorCtr="1"/>
        <a:lstStyle/>
        <a:p>
          <a:pPr>
            <a:defRPr lang="zh-CN" sz="700" b="0" i="0" u="none" strike="noStrike" kern="1200" baseline="0">
              <a:solidFill>
                <a:schemeClr val="tx2"/>
              </a:solidFill>
              <a:latin typeface="微软雅黑" panose="020B0503020204020204" charset="-122"/>
              <a:ea typeface="微软雅黑" panose="020B0503020204020204" charset="-122"/>
              <a:cs typeface="微软雅黑" panose="020B0503020204020204" charset="-122"/>
              <a:sym typeface="微软雅黑" panose="020B0503020204020204" charset="-122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29ec94bf-ca43-495b-85d8-393dec0693c7}"/>
      </c:ext>
    </c:extLst>
  </c:chart>
  <c:spPr>
    <a:solidFill>
      <a:schemeClr val="bg1"/>
    </a:solidFill>
    <a:ln w="6350" cap="flat" cmpd="sng" algn="ctr">
      <a:solidFill>
        <a:schemeClr val="tx1">
          <a:lumMod val="50000"/>
          <a:lumOff val="50000"/>
          <a:alpha val="25000"/>
        </a:schemeClr>
      </a:solidFill>
      <a:prstDash val="solid"/>
      <a:round/>
    </a:ln>
    <a:effectLst>
      <a:outerShdw blurRad="50800" dist="38100" dir="13500000" algn="br" rotWithShape="0">
        <a:prstClr val="black">
          <a:alpha val="40000"/>
        </a:prstClr>
      </a:outerShdw>
    </a:effectLst>
  </c:spPr>
  <c:txPr>
    <a:bodyPr wrap="square"/>
    <a:lstStyle/>
    <a:p>
      <a:pPr>
        <a:defRPr lang="zh-CN" sz="1000" b="0">
          <a:solidFill>
            <a:schemeClr val="tx2"/>
          </a:solidFill>
          <a:latin typeface="微软雅黑" panose="020B0503020204020204" charset="-122"/>
          <a:ea typeface="微软雅黑" panose="020B0503020204020204" charset="-122"/>
          <a:cs typeface="微软雅黑" panose="020B0503020204020204" charset="-122"/>
          <a:sym typeface="微软雅黑" panose="020B0503020204020204" charset="-122"/>
        </a:defRPr>
      </a:pPr>
    </a:p>
  </c:txPr>
  <c:printSettings>
    <c:headerFooter/>
    <c:pageMargins b="0.75" l="0.7" r="0.7" t="0.75" header="0.3" footer="0.3"/>
    <c:pageSetup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000" b="1" i="0" u="none" strike="noStrike" kern="1200" baseline="0">
                <a:solidFill>
                  <a:schemeClr val="tx2"/>
                </a:solidFill>
                <a:latin typeface="+mn-ea"/>
                <a:ea typeface="+mn-ea"/>
                <a:cs typeface="+mn-ea"/>
                <a:sym typeface="+mn-ea"/>
              </a:defRPr>
            </a:pPr>
            <a:r>
              <a:rPr lang="zh-CN" altLang="en-US" sz="1000">
                <a:solidFill>
                  <a:schemeClr val="tx2"/>
                </a:solidFill>
                <a:latin typeface="+mn-ea"/>
                <a:ea typeface="+mn-ea"/>
                <a:cs typeface="+mn-ea"/>
                <a:sym typeface="+mn-ea"/>
              </a:rPr>
              <a:t>任务进度</a:t>
            </a:r>
            <a:endParaRPr lang="zh-CN" altLang="en-US" sz="1000" b="1" i="0" u="none" strike="noStrike" baseline="0">
              <a:solidFill>
                <a:schemeClr val="tx2"/>
              </a:solidFill>
              <a:latin typeface="+mn-ea"/>
              <a:ea typeface="+mn-ea"/>
              <a:cs typeface="+mn-ea"/>
              <a:sym typeface="+mn-ea"/>
            </a:endParaRPr>
          </a:p>
        </c:rich>
      </c:tx>
      <c:layout>
        <c:manualLayout>
          <c:xMode val="edge"/>
          <c:yMode val="edge"/>
          <c:x val="0.445"/>
          <c:y val="0.00694605232692753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0958939421837599"/>
          <c:y val="0.188821752265861"/>
          <c:w val="0.791824709998159"/>
          <c:h val="0.69688589356263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伯豪瑞廷!$D$1</c:f>
              <c:strCache>
                <c:ptCount val="1"/>
                <c:pt idx="0">
                  <c:v>年度目标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伯豪瑞廷!$C$2:$C$5</c:f>
              <c:strCache>
                <c:ptCount val="4"/>
                <c:pt idx="0">
                  <c:v>营业收入</c:v>
                </c:pt>
                <c:pt idx="1">
                  <c:v>GOP</c:v>
                </c:pt>
                <c:pt idx="2">
                  <c:v>经营活动净现金流</c:v>
                </c:pt>
                <c:pt idx="3">
                  <c:v>经营支出</c:v>
                </c:pt>
              </c:strCache>
            </c:strRef>
          </c:cat>
          <c:val>
            <c:numRef>
              <c:f>伯豪瑞廷!$D$2:$D$5</c:f>
              <c:numCache>
                <c:formatCode>_ * #,##0.00_ ;[Red]_ * \-#,##0.00_ ;_ * "-"??_ ;_ @_ </c:formatCode>
                <c:ptCount val="4"/>
                <c:pt idx="0">
                  <c:v>7640.86</c:v>
                </c:pt>
                <c:pt idx="1">
                  <c:v>3208.89</c:v>
                </c:pt>
                <c:pt idx="2">
                  <c:v>2140.79</c:v>
                </c:pt>
                <c:pt idx="3">
                  <c:v>4751.02</c:v>
                </c:pt>
              </c:numCache>
            </c:numRef>
          </c:val>
        </c:ser>
        <c:ser>
          <c:idx val="1"/>
          <c:order val="1"/>
          <c:tx>
            <c:strRef>
              <c:f>伯豪瑞廷!$E$1</c:f>
              <c:strCache>
                <c:ptCount val="1"/>
                <c:pt idx="0">
                  <c:v>实际达成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伯豪瑞廷!$C$2:$C$5</c:f>
              <c:strCache>
                <c:ptCount val="4"/>
                <c:pt idx="0">
                  <c:v>营业收入</c:v>
                </c:pt>
                <c:pt idx="1">
                  <c:v>GOP</c:v>
                </c:pt>
                <c:pt idx="2">
                  <c:v>经营活动净现金流</c:v>
                </c:pt>
                <c:pt idx="3">
                  <c:v>经营支出</c:v>
                </c:pt>
              </c:strCache>
            </c:strRef>
          </c:cat>
          <c:val>
            <c:numRef>
              <c:f>伯豪瑞廷!$E$2:$E$5</c:f>
              <c:numCache>
                <c:formatCode>_ * #,##0.00_ ;[Red]_ * \-#,##0.00_ ;_ * "-"??_ ;_ @_ </c:formatCode>
                <c:ptCount val="4"/>
                <c:pt idx="0">
                  <c:v>1487.36</c:v>
                </c:pt>
                <c:pt idx="1">
                  <c:v>467.7514</c:v>
                </c:pt>
                <c:pt idx="2">
                  <c:v>250.57</c:v>
                </c:pt>
                <c:pt idx="3">
                  <c:v>1028.7186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54621218"/>
        <c:axId val="683907201"/>
      </c:barChart>
      <c:lineChart>
        <c:grouping val="standard"/>
        <c:varyColors val="0"/>
        <c:ser>
          <c:idx val="2"/>
          <c:order val="2"/>
          <c:tx>
            <c:strRef>
              <c:f>伯豪瑞廷!$F$1</c:f>
              <c:strCache>
                <c:ptCount val="1"/>
                <c:pt idx="0">
                  <c:v>年度目标达成率</c:v>
                </c:pt>
              </c:strCache>
            </c:strRef>
          </c:tx>
          <c:spPr>
            <a:ln w="28575" cap="rnd" cmpd="sng" algn="ctr">
              <a:solidFill>
                <a:schemeClr val="accent3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 cap="flat" cmpd="sng" algn="ctr">
                <a:solidFill>
                  <a:schemeClr val="accent3"/>
                </a:solidFill>
                <a:prstDash val="solid"/>
                <a:round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700" b="0" i="0" u="none" strike="noStrike" kern="1200" baseline="0">
                    <a:solidFill>
                      <a:schemeClr val="tx2"/>
                    </a:solidFill>
                    <a:latin typeface="+mn-ea"/>
                    <a:ea typeface="+mn-ea"/>
                    <a:cs typeface="+mn-ea"/>
                    <a:sym typeface="+mn-ea"/>
                  </a:defRPr>
                </a:pPr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cat>
            <c:strRef>
              <c:f>伯豪瑞廷!$C$2:$C$5</c:f>
              <c:strCache>
                <c:ptCount val="4"/>
                <c:pt idx="0">
                  <c:v>营业收入</c:v>
                </c:pt>
                <c:pt idx="1">
                  <c:v>GOP</c:v>
                </c:pt>
                <c:pt idx="2">
                  <c:v>经营活动净现金流</c:v>
                </c:pt>
                <c:pt idx="3">
                  <c:v>经营支出</c:v>
                </c:pt>
              </c:strCache>
            </c:strRef>
          </c:cat>
          <c:val>
            <c:numRef>
              <c:f>伯豪瑞廷!$F$2:$F$5</c:f>
              <c:numCache>
                <c:formatCode>_ * #,##0.00%_ ;[Red]_ * \-#,##0.00%_ ;_ * "-"??_ ;_ @_ </c:formatCode>
                <c:ptCount val="4"/>
                <c:pt idx="0">
                  <c:v>0.194658716427208</c:v>
                </c:pt>
                <c:pt idx="1">
                  <c:v>0.145767352573631</c:v>
                </c:pt>
                <c:pt idx="2">
                  <c:v>0.117045576632925</c:v>
                </c:pt>
                <c:pt idx="3">
                  <c:v>0.216525840766825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34459329"/>
        <c:axId val="933274511"/>
      </c:lineChart>
      <c:catAx>
        <c:axId val="65462121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  <a:effectLst/>
        </c:spPr>
        <c:txPr>
          <a:bodyPr rot="42000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2"/>
                </a:solidFill>
                <a:latin typeface="+mn-ea"/>
                <a:ea typeface="+mn-ea"/>
                <a:cs typeface="+mn-ea"/>
                <a:sym typeface="+mn-ea"/>
              </a:defRPr>
            </a:pPr>
          </a:p>
        </c:txPr>
        <c:crossAx val="683907201"/>
        <c:crosses val="autoZero"/>
        <c:auto val="1"/>
        <c:lblAlgn val="ctr"/>
        <c:lblOffset val="100"/>
        <c:noMultiLvlLbl val="0"/>
      </c:catAx>
      <c:valAx>
        <c:axId val="68390720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prstDash val="solid"/>
              <a:round/>
            </a:ln>
            <a:effectLst/>
          </c:spPr>
        </c:majorGridlines>
        <c:numFmt formatCode="#,##0_);[Red]\(#,##0\)" sourceLinked="0"/>
        <c:majorTickMark val="none"/>
        <c:minorTickMark val="none"/>
        <c:tickLblPos val="nextTo"/>
        <c:spPr>
          <a:noFill/>
          <a:ln w="12700" cap="flat" cmpd="sng" algn="ctr">
            <a:noFill/>
            <a:prstDash val="solid"/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2"/>
                </a:solidFill>
                <a:latin typeface="+mn-ea"/>
                <a:ea typeface="+mn-ea"/>
                <a:cs typeface="+mn-ea"/>
                <a:sym typeface="+mn-ea"/>
              </a:defRPr>
            </a:pPr>
          </a:p>
        </c:txPr>
        <c:crossAx val="654621218"/>
        <c:crosses val="autoZero"/>
        <c:crossBetween val="between"/>
      </c:valAx>
      <c:catAx>
        <c:axId val="634459329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2"/>
                </a:solidFill>
                <a:latin typeface="+mn-ea"/>
                <a:ea typeface="+mn-ea"/>
                <a:cs typeface="+mn-ea"/>
                <a:sym typeface="+mn-ea"/>
              </a:defRPr>
            </a:pPr>
          </a:p>
        </c:txPr>
        <c:crossAx val="933274511"/>
        <c:crosses val="autoZero"/>
        <c:auto val="1"/>
        <c:lblAlgn val="ctr"/>
        <c:lblOffset val="100"/>
        <c:noMultiLvlLbl val="0"/>
      </c:catAx>
      <c:valAx>
        <c:axId val="933274511"/>
        <c:scaling>
          <c:orientation val="minMax"/>
        </c:scaling>
        <c:delete val="0"/>
        <c:axPos val="r"/>
        <c:numFmt formatCode="0%" sourceLinked="0"/>
        <c:majorTickMark val="out"/>
        <c:minorTickMark val="none"/>
        <c:tickLblPos val="nextTo"/>
        <c:spPr>
          <a:noFill/>
          <a:ln w="12700" cap="flat" cmpd="sng" algn="ctr">
            <a:noFill/>
            <a:prstDash val="solid"/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2"/>
                </a:solidFill>
                <a:latin typeface="+mn-ea"/>
                <a:ea typeface="+mn-ea"/>
                <a:cs typeface="+mn-ea"/>
                <a:sym typeface="+mn-ea"/>
              </a:defRPr>
            </a:pPr>
          </a:p>
        </c:txPr>
        <c:crossAx val="634459329"/>
        <c:crosses val="max"/>
        <c:crossBetween val="between"/>
      </c:valAx>
      <c:spPr>
        <a:noFill/>
        <a:ln>
          <a:noFill/>
        </a:ln>
        <a:effectLst/>
      </c:spPr>
    </c:plotArea>
    <c:legend>
      <c:legendPos val="r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2"/>
                </a:solidFill>
                <a:latin typeface="+mn-ea"/>
                <a:ea typeface="+mn-ea"/>
                <a:cs typeface="+mn-ea"/>
                <a:sym typeface="+mn-ea"/>
              </a:defRPr>
            </a:pPr>
          </a:p>
        </c:txPr>
      </c:legendEntry>
      <c:legendEntry>
        <c:idx val="1"/>
        <c:txPr>
          <a:bodyPr rot="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2"/>
                </a:solidFill>
                <a:latin typeface="+mn-ea"/>
                <a:ea typeface="+mn-ea"/>
                <a:cs typeface="+mn-ea"/>
                <a:sym typeface="+mn-ea"/>
              </a:defRPr>
            </a:pPr>
          </a:p>
        </c:txPr>
      </c:legendEntry>
      <c:legendEntry>
        <c:idx val="2"/>
        <c:txPr>
          <a:bodyPr rot="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2"/>
                </a:solidFill>
                <a:latin typeface="+mn-ea"/>
                <a:ea typeface="+mn-ea"/>
                <a:cs typeface="+mn-ea"/>
                <a:sym typeface="+mn-ea"/>
              </a:defRPr>
            </a:pPr>
          </a:p>
        </c:txPr>
      </c:legendEntry>
      <c:layout>
        <c:manualLayout>
          <c:xMode val="edge"/>
          <c:yMode val="edge"/>
          <c:x val="0.0055"/>
          <c:y val="0.07925"/>
          <c:w val="0.98675"/>
          <c:h val="0.102"/>
        </c:manualLayout>
      </c:layout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700" b="0" i="0" u="none" strike="noStrike" kern="1200" baseline="0">
              <a:solidFill>
                <a:schemeClr val="tx2"/>
              </a:solidFill>
              <a:latin typeface="+mn-ea"/>
              <a:ea typeface="+mn-ea"/>
              <a:cs typeface="+mn-ea"/>
              <a:sym typeface="+mn-ea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58f2ce18-f952-462c-9e84-b1ce6d32ca88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  <a:effectLst>
      <a:outerShdw blurRad="50800" dist="38100" dir="13500000" algn="br" rotWithShape="0">
        <a:prstClr val="black">
          <a:alpha val="40000"/>
        </a:prstClr>
      </a:outerShdw>
    </a:effectLst>
  </c:spPr>
  <c:txPr>
    <a:bodyPr wrap="square"/>
    <a:lstStyle/>
    <a:p>
      <a:pPr>
        <a:defRPr lang="zh-CN" sz="700">
          <a:solidFill>
            <a:schemeClr val="tx2"/>
          </a:solidFill>
          <a:latin typeface="+mn-ea"/>
          <a:ea typeface="+mn-ea"/>
          <a:cs typeface="+mn-ea"/>
          <a:sym typeface="+mn-ea"/>
        </a:defRPr>
      </a:pPr>
    </a:p>
  </c:txPr>
  <c:printSettings>
    <c:headerFooter/>
    <c:pageMargins b="0.75" l="0.7" r="0.7" t="0.75" header="0.3" footer="0.3"/>
    <c:pageSetup/>
  </c:printSettings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000" b="1" i="0" u="none" strike="noStrike" kern="1200" baseline="0">
                <a:solidFill>
                  <a:schemeClr val="tx2"/>
                </a:solidFill>
                <a:latin typeface="+mn-ea"/>
                <a:ea typeface="+mn-ea"/>
                <a:cs typeface="+mn-ea"/>
                <a:sym typeface="+mn-ea"/>
              </a:defRPr>
            </a:pPr>
            <a:r>
              <a:rPr lang="zh-CN" altLang="en-US" sz="1000">
                <a:solidFill>
                  <a:schemeClr val="tx2"/>
                </a:solidFill>
                <a:latin typeface="+mn-ea"/>
                <a:ea typeface="+mn-ea"/>
                <a:cs typeface="+mn-ea"/>
                <a:sym typeface="+mn-ea"/>
              </a:rPr>
              <a:t>营收比较</a:t>
            </a:r>
            <a:endParaRPr lang="zh-CN" altLang="en-US" sz="1000" b="1" i="0" u="none" strike="noStrike" baseline="0">
              <a:solidFill>
                <a:schemeClr val="tx2"/>
              </a:solidFill>
              <a:latin typeface="+mn-ea"/>
              <a:ea typeface="+mn-ea"/>
              <a:cs typeface="+mn-ea"/>
              <a:sym typeface="+mn-ea"/>
            </a:endParaRPr>
          </a:p>
        </c:rich>
      </c:tx>
      <c:layout>
        <c:manualLayout>
          <c:xMode val="edge"/>
          <c:yMode val="edge"/>
          <c:x val="0.457999545333275"/>
          <c:y val="0.00653879686137751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0936844043454244"/>
          <c:y val="0.188705554264467"/>
          <c:w val="0.900791751058737"/>
          <c:h val="0.732558679990704"/>
        </c:manualLayout>
      </c:layout>
      <c:barChart>
        <c:barDir val="col"/>
        <c:grouping val="clustered"/>
        <c:varyColors val="0"/>
        <c:ser>
          <c:idx val="1"/>
          <c:order val="1"/>
          <c:tx>
            <c:strRef>
              <c:f>重庆瑞尔!$F$35</c:f>
              <c:strCache>
                <c:ptCount val="1"/>
                <c:pt idx="0">
                  <c:v>同期营收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重庆瑞尔!$G$33:$R$33</c:f>
              <c:strCache>
                <c:ptCount val="12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</c:strCache>
            </c:strRef>
          </c:cat>
          <c:val>
            <c:numRef>
              <c:f>重庆瑞尔!$G$35:$R$35</c:f>
              <c:numCache>
                <c:formatCode>_ * #,##0.00_ ;[Red]_ * \-#,##0.00_ ;_ * "-"??_ ;_ @_ </c:formatCode>
                <c:ptCount val="12"/>
                <c:pt idx="0">
                  <c:v>122.070553</c:v>
                </c:pt>
                <c:pt idx="1">
                  <c:v>81.181808</c:v>
                </c:pt>
                <c:pt idx="2">
                  <c:v>97.998313</c:v>
                </c:pt>
                <c:pt idx="3">
                  <c:v>102.574815</c:v>
                </c:pt>
                <c:pt idx="4">
                  <c:v>114.977634</c:v>
                </c:pt>
                <c:pt idx="5">
                  <c:v>96.161043</c:v>
                </c:pt>
                <c:pt idx="6">
                  <c:v>113.346138</c:v>
                </c:pt>
                <c:pt idx="7">
                  <c:v>129.571562</c:v>
                </c:pt>
                <c:pt idx="8">
                  <c:v>113.185232</c:v>
                </c:pt>
                <c:pt idx="9">
                  <c:v>138.985576</c:v>
                </c:pt>
                <c:pt idx="10">
                  <c:v>123.142682</c:v>
                </c:pt>
                <c:pt idx="11">
                  <c:v>83.825761</c:v>
                </c:pt>
              </c:numCache>
            </c:numRef>
          </c:val>
        </c:ser>
        <c:ser>
          <c:idx val="2"/>
          <c:order val="2"/>
          <c:tx>
            <c:strRef>
              <c:f>重庆瑞尔!$F$36</c:f>
              <c:strCache>
                <c:ptCount val="1"/>
                <c:pt idx="0">
                  <c:v>营收分解计划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重庆瑞尔!$G$33:$R$33</c:f>
              <c:strCache>
                <c:ptCount val="12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</c:strCache>
            </c:strRef>
          </c:cat>
          <c:val>
            <c:numRef>
              <c:f>重庆瑞尔!$G$36:$R$36</c:f>
              <c:numCache>
                <c:formatCode>_ * #,##0.00_ ;[Red]_ * \-#,##0.00_ ;_ * "-"??_ ;_ @_ </c:formatCode>
                <c:ptCount val="12"/>
                <c:pt idx="0">
                  <c:v>88.7487450233685</c:v>
                </c:pt>
                <c:pt idx="1">
                  <c:v>89.8053487969534</c:v>
                </c:pt>
                <c:pt idx="2">
                  <c:v>102.239311061104</c:v>
                </c:pt>
                <c:pt idx="3">
                  <c:v>112.080820495067</c:v>
                </c:pt>
                <c:pt idx="4">
                  <c:v>133.300631815821</c:v>
                </c:pt>
                <c:pt idx="5">
                  <c:v>123.262353305219</c:v>
                </c:pt>
                <c:pt idx="6">
                  <c:v>132.824216721482</c:v>
                </c:pt>
                <c:pt idx="7">
                  <c:v>133.560065778085</c:v>
                </c:pt>
                <c:pt idx="8">
                  <c:v>134.934251785766</c:v>
                </c:pt>
                <c:pt idx="9">
                  <c:v>140.847801627142</c:v>
                </c:pt>
                <c:pt idx="10">
                  <c:v>134.687424268652</c:v>
                </c:pt>
                <c:pt idx="11">
                  <c:v>128.70629219318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51930119"/>
        <c:axId val="847941016"/>
      </c:barChart>
      <c:scatterChart>
        <c:scatterStyle val="smoothMarker"/>
        <c:varyColors val="0"/>
        <c:ser>
          <c:idx val="0"/>
          <c:order val="0"/>
          <c:tx>
            <c:strRef>
              <c:f>重庆瑞尔!$F$34</c:f>
              <c:strCache>
                <c:ptCount val="1"/>
                <c:pt idx="0">
                  <c:v>营业收入</c:v>
                </c:pt>
              </c:strCache>
            </c:strRef>
          </c:tx>
          <c:spPr>
            <a:ln w="28575" cap="rnd" cmpd="sng" algn="ctr">
              <a:solidFill>
                <a:schemeClr val="accent1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 cap="flat" cmpd="sng" algn="ctr">
                <a:solidFill>
                  <a:schemeClr val="accent1"/>
                </a:solidFill>
                <a:prstDash val="solid"/>
                <a:round/>
              </a:ln>
              <a:effectLst/>
            </c:spPr>
          </c:marker>
          <c:dLbls>
            <c:delete val="1"/>
          </c:dLbls>
          <c:xVal>
            <c:strRef>
              <c:f>重庆瑞尔!$G$33:$R$33</c:f>
              <c:strCache>
                <c:ptCount val="12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</c:strCache>
            </c:strRef>
          </c:xVal>
          <c:yVal>
            <c:numRef>
              <c:f>重庆瑞尔!$G$34:$R$34</c:f>
              <c:numCache>
                <c:formatCode>_ * #,##0.00_ ;[Red]_ * \-#,##0.00_ ;_ * "-"??_ ;_ @_ </c:formatCode>
                <c:ptCount val="12"/>
                <c:pt idx="0">
                  <c:v>78.97726</c:v>
                </c:pt>
                <c:pt idx="1">
                  <c:v>63.822824</c:v>
                </c:pt>
                <c:pt idx="2">
                  <c:v>80.56083</c:v>
                </c:pt>
                <c:pt idx="3">
                  <c:v>0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51930119"/>
        <c:axId val="847941016"/>
      </c:scatterChart>
      <c:catAx>
        <c:axId val="251930119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2"/>
                </a:solidFill>
                <a:latin typeface="OPPO Sans 4.0" panose="00000500000000000000" charset="-122"/>
                <a:ea typeface="OPPO Sans 4.0" panose="00000500000000000000" charset="-122"/>
                <a:cs typeface="OPPO Sans 4.0" panose="00000500000000000000" charset="-122"/>
                <a:sym typeface="OPPO Sans 4.0" panose="00000500000000000000" charset="-122"/>
              </a:defRPr>
            </a:pPr>
          </a:p>
        </c:txPr>
        <c:crossAx val="847941016"/>
        <c:crosses val="autoZero"/>
        <c:auto val="1"/>
        <c:lblAlgn val="ctr"/>
        <c:lblOffset val="100"/>
        <c:noMultiLvlLbl val="0"/>
      </c:catAx>
      <c:valAx>
        <c:axId val="847941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prstDash val="solid"/>
              <a:round/>
            </a:ln>
            <a:effectLst/>
          </c:spPr>
        </c:majorGridlines>
        <c:numFmt formatCode="#,##0_);[Red]\(#,##0\)" sourceLinked="0"/>
        <c:majorTickMark val="none"/>
        <c:minorTickMark val="none"/>
        <c:tickLblPos val="nextTo"/>
        <c:spPr>
          <a:noFill/>
          <a:ln w="12700" cap="flat" cmpd="sng" algn="ctr">
            <a:noFill/>
            <a:prstDash val="solid"/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2"/>
                </a:solidFill>
                <a:latin typeface="OPPO Sans 4.0" panose="00000500000000000000" charset="-122"/>
                <a:ea typeface="OPPO Sans 4.0" panose="00000500000000000000" charset="-122"/>
                <a:cs typeface="OPPO Sans 4.0" panose="00000500000000000000" charset="-122"/>
                <a:sym typeface="OPPO Sans 4.0" panose="00000500000000000000" charset="-122"/>
              </a:defRPr>
            </a:pPr>
          </a:p>
        </c:txPr>
        <c:crossAx val="2519301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2"/>
                </a:solidFill>
                <a:latin typeface="OPPO Sans 4.0" panose="00000500000000000000" charset="-122"/>
                <a:ea typeface="OPPO Sans 4.0" panose="00000500000000000000" charset="-122"/>
                <a:cs typeface="OPPO Sans 4.0" panose="00000500000000000000" charset="-122"/>
                <a:sym typeface="OPPO Sans 4.0" panose="00000500000000000000" charset="-122"/>
              </a:defRPr>
            </a:pPr>
          </a:p>
        </c:txPr>
      </c:legendEntry>
      <c:legendEntry>
        <c:idx val="1"/>
        <c:txPr>
          <a:bodyPr rot="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2"/>
                </a:solidFill>
                <a:latin typeface="OPPO Sans 4.0" panose="00000500000000000000" charset="-122"/>
                <a:ea typeface="OPPO Sans 4.0" panose="00000500000000000000" charset="-122"/>
                <a:cs typeface="OPPO Sans 4.0" panose="00000500000000000000" charset="-122"/>
                <a:sym typeface="OPPO Sans 4.0" panose="00000500000000000000" charset="-122"/>
              </a:defRPr>
            </a:pPr>
          </a:p>
        </c:txPr>
      </c:legendEntry>
      <c:legendEntry>
        <c:idx val="2"/>
        <c:txPr>
          <a:bodyPr rot="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2"/>
                </a:solidFill>
                <a:latin typeface="OPPO Sans 4.0" panose="00000500000000000000" charset="-122"/>
                <a:ea typeface="OPPO Sans 4.0" panose="00000500000000000000" charset="-122"/>
                <a:cs typeface="OPPO Sans 4.0" panose="00000500000000000000" charset="-122"/>
                <a:sym typeface="OPPO Sans 4.0" panose="00000500000000000000" charset="-122"/>
              </a:defRPr>
            </a:pPr>
          </a:p>
        </c:txPr>
      </c:legendEntry>
      <c:layout>
        <c:manualLayout>
          <c:xMode val="edge"/>
          <c:yMode val="edge"/>
          <c:x val="0.0055"/>
          <c:y val="0.08175"/>
          <c:w val="0.9905"/>
          <c:h val="0.10675"/>
        </c:manualLayout>
      </c:layout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700" b="0" i="0" u="none" strike="noStrike" kern="1200" baseline="0">
              <a:solidFill>
                <a:schemeClr val="tx2"/>
              </a:solidFill>
              <a:latin typeface="OPPO Sans 4.0" panose="00000500000000000000" charset="-122"/>
              <a:ea typeface="OPPO Sans 4.0" panose="00000500000000000000" charset="-122"/>
              <a:cs typeface="OPPO Sans 4.0" panose="00000500000000000000" charset="-122"/>
              <a:sym typeface="OPPO Sans 4.0" panose="00000500000000000000" charset="-122"/>
            </a:defRPr>
          </a:pPr>
        </a:p>
      </c:txPr>
    </c:legend>
    <c:plotVisOnly val="0"/>
    <c:dispBlanksAs val="gap"/>
    <c:showDLblsOverMax val="0"/>
    <c:extLst>
      <c:ext uri="{0b15fc19-7d7d-44ad-8c2d-2c3a37ce22c3}">
        <chartProps xmlns="https://web.wps.cn/et/2018/main" chartId="{8dad0842-ef55-4861-9aca-11160c7a2fe8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  <a:effectLst>
      <a:outerShdw blurRad="50800" dist="38100" dir="13500000" algn="br" rotWithShape="0">
        <a:prstClr val="black">
          <a:alpha val="40000"/>
        </a:prstClr>
      </a:outerShdw>
    </a:effectLst>
  </c:spPr>
  <c:txPr>
    <a:bodyPr wrap="square"/>
    <a:lstStyle/>
    <a:p>
      <a:pPr>
        <a:defRPr lang="zh-CN" sz="700">
          <a:solidFill>
            <a:schemeClr val="tx2"/>
          </a:solidFill>
          <a:latin typeface="OPPO Sans 4.0" panose="00000500000000000000" charset="-122"/>
          <a:ea typeface="OPPO Sans 4.0" panose="00000500000000000000" charset="-122"/>
          <a:cs typeface="OPPO Sans 4.0" panose="00000500000000000000" charset="-122"/>
          <a:sym typeface="OPPO Sans 4.0" panose="00000500000000000000" charset="-122"/>
        </a:defRPr>
      </a:pPr>
    </a:p>
  </c:txPr>
  <c:printSettings>
    <c:headerFooter/>
    <c:pageMargins b="0.75" l="0.7" r="0.7" t="0.75" header="0.3" footer="0.3"/>
    <c:pageSetup/>
  </c:printSettings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 forceAA="0"/>
          <a:lstStyle/>
          <a:p>
            <a:pPr>
              <a:defRPr lang="zh-CN" sz="1000" b="1" i="0" u="none" strike="noStrike" kern="1200" baseline="0">
                <a:solidFill>
                  <a:schemeClr val="tx2"/>
                </a:solidFill>
                <a:latin typeface="+mn-ea"/>
                <a:ea typeface="+mn-ea"/>
                <a:cs typeface="+mn-ea"/>
                <a:sym typeface="+mn-ea"/>
              </a:defRPr>
            </a:pPr>
            <a:r>
              <a:rPr lang="zh-CN" altLang="en-US" sz="1000" b="1">
                <a:solidFill>
                  <a:schemeClr val="tx2"/>
                </a:solidFill>
                <a:latin typeface="+mn-ea"/>
                <a:ea typeface="+mn-ea"/>
                <a:cs typeface="+mn-ea"/>
                <a:sym typeface="+mn-ea"/>
              </a:rPr>
              <a:t>指标趋势</a:t>
            </a:r>
            <a:endParaRPr lang="zh-CN" altLang="en-US" sz="1000" b="1" i="0" u="none" strike="noStrike" baseline="0">
              <a:solidFill>
                <a:schemeClr val="tx2"/>
              </a:solidFill>
              <a:latin typeface="+mn-ea"/>
              <a:ea typeface="+mn-ea"/>
              <a:cs typeface="+mn-ea"/>
              <a:sym typeface="+mn-ea"/>
            </a:endParaRPr>
          </a:p>
        </c:rich>
      </c:tx>
      <c:layout>
        <c:manualLayout>
          <c:xMode val="edge"/>
          <c:yMode val="edge"/>
          <c:x val="0.417274939172749"/>
          <c:y val="0.00524292205522545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63542625667465"/>
          <c:y val="0.188705554264467"/>
          <c:w val="0.830933529736697"/>
          <c:h val="0.722240297466884"/>
        </c:manualLayout>
      </c:layout>
      <c:lineChart>
        <c:grouping val="standard"/>
        <c:varyColors val="0"/>
        <c:ser>
          <c:idx val="0"/>
          <c:order val="0"/>
          <c:tx>
            <c:strRef>
              <c:f>重庆瑞尔!$F$40</c:f>
              <c:strCache>
                <c:ptCount val="1"/>
                <c:pt idx="0">
                  <c:v>营业收入</c:v>
                </c:pt>
              </c:strCache>
            </c:strRef>
          </c:tx>
          <c:spPr>
            <a:ln w="31750" cap="rnd" cmpd="sng" algn="ctr">
              <a:solidFill>
                <a:schemeClr val="accent1"/>
              </a:solidFill>
              <a:prstDash val="solid"/>
              <a:round/>
            </a:ln>
            <a:effectLst/>
          </c:spPr>
          <c:marker>
            <c:symbol val="circle"/>
            <c:size val="7"/>
            <c:spPr>
              <a:solidFill>
                <a:schemeClr val="accent1"/>
              </a:solidFill>
              <a:ln w="28575" cap="flat" cmpd="sng" algn="ctr">
                <a:noFill/>
                <a:prstDash val="solid"/>
                <a:round/>
              </a:ln>
            </c:spPr>
          </c:marker>
          <c:dLbls>
            <c:delete val="1"/>
          </c:dLbls>
          <c:cat>
            <c:strRef>
              <c:f>重庆瑞尔!$G$39:$R$39</c:f>
              <c:strCache>
                <c:ptCount val="12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</c:strCache>
            </c:strRef>
          </c:cat>
          <c:val>
            <c:numRef>
              <c:f>重庆瑞尔!$G$40:$R$40</c:f>
              <c:numCache>
                <c:formatCode>_ * #,##0.00_ ;_ * \-#,##0.00_ ;_ * "-"??_ ;_ @_ </c:formatCode>
                <c:ptCount val="12"/>
                <c:pt idx="0">
                  <c:v>78.97726</c:v>
                </c:pt>
                <c:pt idx="1">
                  <c:v>63.822824</c:v>
                </c:pt>
                <c:pt idx="2">
                  <c:v>80.56083</c:v>
                </c:pt>
                <c:pt idx="3">
                  <c:v>0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重庆瑞尔!$F$41</c:f>
              <c:strCache>
                <c:ptCount val="1"/>
                <c:pt idx="0">
                  <c:v>GOP</c:v>
                </c:pt>
              </c:strCache>
            </c:strRef>
          </c:tx>
          <c:spPr>
            <a:ln w="31750" cap="rnd" cmpd="sng" algn="ctr">
              <a:solidFill>
                <a:schemeClr val="accent2"/>
              </a:solidFill>
              <a:prstDash val="solid"/>
              <a:round/>
            </a:ln>
          </c:spPr>
          <c:marker>
            <c:symbol val="circle"/>
            <c:size val="7"/>
            <c:spPr>
              <a:solidFill>
                <a:schemeClr val="accent2"/>
              </a:solidFill>
              <a:ln w="28575" cap="flat" cmpd="sng" algn="ctr">
                <a:noFill/>
                <a:prstDash val="solid"/>
                <a:round/>
              </a:ln>
            </c:spPr>
          </c:marker>
          <c:dLbls>
            <c:delete val="1"/>
          </c:dLbls>
          <c:cat>
            <c:strRef>
              <c:f>重庆瑞尔!$G$39:$R$39</c:f>
              <c:strCache>
                <c:ptCount val="12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</c:strCache>
            </c:strRef>
          </c:cat>
          <c:val>
            <c:numRef>
              <c:f>重庆瑞尔!$G$41:$R$41</c:f>
              <c:numCache>
                <c:formatCode>_ * #,##0.00_ ;_ * \-#,##0.00_ ;_ * "-"??_ ;_ @_ </c:formatCode>
                <c:ptCount val="12"/>
                <c:pt idx="0">
                  <c:v>-52.776259</c:v>
                </c:pt>
                <c:pt idx="1">
                  <c:v>-38.670642</c:v>
                </c:pt>
                <c:pt idx="2">
                  <c:v>-1.72705700000001</c:v>
                </c:pt>
                <c:pt idx="3">
                  <c:v>0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重庆瑞尔!$F$42</c:f>
              <c:strCache>
                <c:ptCount val="1"/>
                <c:pt idx="0">
                  <c:v>经营活动净现金流</c:v>
                </c:pt>
              </c:strCache>
            </c:strRef>
          </c:tx>
          <c:spPr>
            <a:ln w="31750" cap="rnd" cmpd="sng" algn="ctr">
              <a:solidFill>
                <a:schemeClr val="accent3"/>
              </a:solidFill>
              <a:prstDash val="solid"/>
              <a:round/>
            </a:ln>
          </c:spPr>
          <c:marker>
            <c:symbol val="circle"/>
            <c:size val="7"/>
            <c:spPr>
              <a:solidFill>
                <a:schemeClr val="accent3"/>
              </a:solidFill>
              <a:ln w="28575" cap="flat" cmpd="sng" algn="ctr">
                <a:noFill/>
                <a:prstDash val="solid"/>
                <a:round/>
              </a:ln>
            </c:spPr>
          </c:marker>
          <c:dLbls>
            <c:delete val="1"/>
          </c:dLbls>
          <c:cat>
            <c:strRef>
              <c:f>重庆瑞尔!$G$39:$R$39</c:f>
              <c:strCache>
                <c:ptCount val="12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</c:strCache>
            </c:strRef>
          </c:cat>
          <c:val>
            <c:numRef>
              <c:f>重庆瑞尔!$G$42:$R$42</c:f>
              <c:numCache>
                <c:formatCode>_ * #,##0.00_ ;_ * \-#,##0.00_ ;_ * "-"??_ ;_ @_ </c:formatCode>
                <c:ptCount val="12"/>
                <c:pt idx="0">
                  <c:v>-59.297686</c:v>
                </c:pt>
                <c:pt idx="1">
                  <c:v>-47.233397</c:v>
                </c:pt>
                <c:pt idx="2">
                  <c:v>-17.259462</c:v>
                </c:pt>
                <c:pt idx="3">
                  <c:v>0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重庆瑞尔!$F$43</c:f>
              <c:strCache>
                <c:ptCount val="1"/>
                <c:pt idx="0">
                  <c:v>经营支出小计</c:v>
                </c:pt>
              </c:strCache>
            </c:strRef>
          </c:tx>
          <c:spPr>
            <a:ln w="31750" cap="rnd" cmpd="sng" algn="ctr">
              <a:solidFill>
                <a:schemeClr val="accent4"/>
              </a:solidFill>
              <a:prstDash val="solid"/>
              <a:round/>
            </a:ln>
          </c:spPr>
          <c:marker>
            <c:symbol val="circle"/>
            <c:size val="7"/>
            <c:spPr>
              <a:solidFill>
                <a:schemeClr val="accent4"/>
              </a:solidFill>
              <a:ln w="28575" cap="flat" cmpd="sng" algn="ctr">
                <a:noFill/>
                <a:prstDash val="solid"/>
                <a:round/>
              </a:ln>
            </c:spPr>
          </c:marker>
          <c:dLbls>
            <c:delete val="1"/>
          </c:dLbls>
          <c:cat>
            <c:strRef>
              <c:f>重庆瑞尔!$G$39:$R$39</c:f>
              <c:strCache>
                <c:ptCount val="12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</c:strCache>
            </c:strRef>
          </c:cat>
          <c:val>
            <c:numRef>
              <c:f>重庆瑞尔!$G$43:$R$43</c:f>
              <c:numCache>
                <c:formatCode>_ * #,##0.00_ ;_ * \-#,##0.00_ ;_ * "-"??_ ;_ @_ </c:formatCode>
                <c:ptCount val="12"/>
                <c:pt idx="0">
                  <c:v>131.622547</c:v>
                </c:pt>
                <c:pt idx="1">
                  <c:v>102.388778</c:v>
                </c:pt>
                <c:pt idx="2">
                  <c:v>82.703909</c:v>
                </c:pt>
                <c:pt idx="3">
                  <c:v>0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61593423"/>
        <c:axId val="671659376"/>
      </c:lineChart>
      <c:catAx>
        <c:axId val="461593423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low"/>
        <c:spPr>
          <a:noFill/>
          <a:ln w="6350" cap="flat" cmpd="sng" algn="ctr">
            <a:noFill/>
            <a:prstDash val="solid"/>
            <a:round/>
          </a:ln>
        </c:spPr>
        <c:txPr>
          <a:bodyPr rot="-60000000" spcFirstLastPara="0" vertOverflow="ellipsis" vert="horz" wrap="square" anchor="ctr" anchorCtr="1" forceAA="0"/>
          <a:lstStyle/>
          <a:p>
            <a:pPr>
              <a:defRPr lang="zh-CN" sz="800" b="0" i="0" u="none" strike="noStrike" kern="1200" baseline="0">
                <a:solidFill>
                  <a:schemeClr val="tx2"/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</a:p>
        </c:txPr>
        <c:crossAx val="671659376"/>
        <c:crosses val="autoZero"/>
        <c:auto val="1"/>
        <c:lblAlgn val="ctr"/>
        <c:lblOffset val="100"/>
        <c:noMultiLvlLbl val="0"/>
      </c:catAx>
      <c:valAx>
        <c:axId val="6716593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90000"/>
                </a:schemeClr>
              </a:solidFill>
              <a:prstDash val="solid"/>
              <a:round/>
            </a:ln>
          </c:spPr>
        </c:majorGridlines>
        <c:numFmt formatCode="_ * #,##0.00_ ;_ * \-#,##0.00_ ;_ * &quot;-&quot;??_ ;_ @_ " sourceLinked="1"/>
        <c:majorTickMark val="none"/>
        <c:minorTickMark val="in"/>
        <c:tickLblPos val="low"/>
        <c:spPr>
          <a:noFill/>
          <a:ln w="6350" cap="flat" cmpd="sng" algn="ctr">
            <a:noFill/>
            <a:prstDash val="solid"/>
            <a:round/>
          </a:ln>
        </c:spPr>
        <c:txPr>
          <a:bodyPr rot="-60000000" spcFirstLastPara="0" vertOverflow="ellipsis" vert="horz" wrap="square" anchor="ctr" anchorCtr="1" forceAA="0"/>
          <a:lstStyle/>
          <a:p>
            <a:pPr>
              <a:defRPr lang="zh-CN" sz="800" b="0" i="0" u="none" strike="noStrike" kern="1200" baseline="0">
                <a:solidFill>
                  <a:schemeClr val="tx2"/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</a:p>
        </c:txPr>
        <c:crossAx val="461593423"/>
        <c:crosses val="autoZero"/>
        <c:crossBetween val="between"/>
      </c:valAx>
      <c:spPr>
        <a:noFill/>
      </c:spPr>
    </c:plotArea>
    <c:legend>
      <c:legendPos val="r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2"/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</a:p>
        </c:txPr>
      </c:legendEntry>
      <c:legendEntry>
        <c:idx val="1"/>
        <c:txPr>
          <a:bodyPr rot="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2"/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</a:p>
        </c:txPr>
      </c:legendEntry>
      <c:legendEntry>
        <c:idx val="2"/>
        <c:txPr>
          <a:bodyPr rot="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2"/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</a:p>
        </c:txPr>
      </c:legendEntry>
      <c:legendEntry>
        <c:idx val="3"/>
        <c:txPr>
          <a:bodyPr rot="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2"/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</a:p>
        </c:txPr>
      </c:legendEntry>
      <c:layout>
        <c:manualLayout>
          <c:xMode val="edge"/>
          <c:yMode val="edge"/>
          <c:x val="0.0055"/>
          <c:y val="0.08625"/>
          <c:w val="0.99075"/>
          <c:h val="0.102"/>
        </c:manualLayout>
      </c:layout>
      <c:overlay val="0"/>
      <c:txPr>
        <a:bodyPr rot="0" spcFirstLastPara="0" vertOverflow="ellipsis" vert="horz" wrap="square" anchor="ctr" anchorCtr="1"/>
        <a:lstStyle/>
        <a:p>
          <a:pPr>
            <a:defRPr lang="zh-CN" sz="700" b="0" i="0" u="none" strike="noStrike" kern="1200" baseline="0">
              <a:solidFill>
                <a:schemeClr val="tx2"/>
              </a:solidFill>
              <a:latin typeface="微软雅黑" panose="020B0503020204020204" charset="-122"/>
              <a:ea typeface="微软雅黑" panose="020B0503020204020204" charset="-122"/>
              <a:cs typeface="微软雅黑" panose="020B0503020204020204" charset="-122"/>
              <a:sym typeface="微软雅黑" panose="020B0503020204020204" charset="-122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56268511-fa1c-4679-a1c6-67991c5d3298}"/>
      </c:ext>
    </c:extLst>
  </c:chart>
  <c:spPr>
    <a:solidFill>
      <a:schemeClr val="bg1"/>
    </a:solidFill>
    <a:ln w="6350" cap="flat" cmpd="sng" algn="ctr">
      <a:solidFill>
        <a:schemeClr val="tx1">
          <a:lumMod val="50000"/>
          <a:lumOff val="50000"/>
          <a:alpha val="25000"/>
        </a:schemeClr>
      </a:solidFill>
      <a:prstDash val="solid"/>
      <a:round/>
    </a:ln>
    <a:effectLst>
      <a:outerShdw blurRad="50800" dist="38100" dir="13500000" algn="br" rotWithShape="0">
        <a:prstClr val="black">
          <a:alpha val="40000"/>
        </a:prstClr>
      </a:outerShdw>
    </a:effectLst>
  </c:spPr>
  <c:txPr>
    <a:bodyPr wrap="square"/>
    <a:lstStyle/>
    <a:p>
      <a:pPr>
        <a:defRPr lang="zh-CN" sz="1000" b="0">
          <a:solidFill>
            <a:schemeClr val="tx2"/>
          </a:solidFill>
          <a:latin typeface="微软雅黑" panose="020B0503020204020204" charset="-122"/>
          <a:ea typeface="微软雅黑" panose="020B0503020204020204" charset="-122"/>
          <a:cs typeface="微软雅黑" panose="020B0503020204020204" charset="-122"/>
          <a:sym typeface="微软雅黑" panose="020B0503020204020204" charset="-122"/>
        </a:defRPr>
      </a:pPr>
    </a:p>
  </c:txPr>
  <c:printSettings>
    <c:headerFooter/>
    <c:pageMargins b="0.75" l="0.7" r="0.7" t="0.75" header="0.3" footer="0.3"/>
    <c:pageSetup/>
  </c:printSettings>
</c:chartSpace>
</file>

<file path=xl/charts/chart4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000" b="1" i="0" u="none" strike="noStrike" kern="1200" baseline="0">
                <a:solidFill>
                  <a:schemeClr val="tx2"/>
                </a:solidFill>
                <a:latin typeface="+mn-ea"/>
                <a:ea typeface="+mn-ea"/>
                <a:cs typeface="+mn-ea"/>
                <a:sym typeface="+mn-ea"/>
              </a:defRPr>
            </a:pPr>
            <a:r>
              <a:rPr lang="zh-CN" altLang="en-US" sz="1000">
                <a:solidFill>
                  <a:schemeClr val="tx2"/>
                </a:solidFill>
                <a:latin typeface="+mn-ea"/>
                <a:ea typeface="+mn-ea"/>
                <a:cs typeface="+mn-ea"/>
                <a:sym typeface="+mn-ea"/>
              </a:rPr>
              <a:t>任务进度</a:t>
            </a:r>
            <a:endParaRPr lang="zh-CN" altLang="en-US" sz="1000" b="1" i="0" u="none" strike="noStrike" baseline="0">
              <a:solidFill>
                <a:schemeClr val="tx2"/>
              </a:solidFill>
              <a:latin typeface="+mn-ea"/>
              <a:ea typeface="+mn-ea"/>
              <a:cs typeface="+mn-ea"/>
              <a:sym typeface="+mn-ea"/>
            </a:endParaRPr>
          </a:p>
        </c:rich>
      </c:tx>
      <c:layout>
        <c:manualLayout>
          <c:xMode val="edge"/>
          <c:yMode val="edge"/>
          <c:x val="0.445"/>
          <c:y val="0.00694605232692753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0958939421837599"/>
          <c:y val="0.188821752265861"/>
          <c:w val="0.791824709998159"/>
          <c:h val="0.69688589356263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盛唐融信!$D$1</c:f>
              <c:strCache>
                <c:ptCount val="1"/>
                <c:pt idx="0">
                  <c:v>年度目标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盛唐融信!$C$2:$C$5</c:f>
              <c:strCache>
                <c:ptCount val="4"/>
                <c:pt idx="0">
                  <c:v>营业收入</c:v>
                </c:pt>
                <c:pt idx="1">
                  <c:v>扣非利润</c:v>
                </c:pt>
                <c:pt idx="2">
                  <c:v>经营活动净现金流</c:v>
                </c:pt>
                <c:pt idx="3">
                  <c:v>经营支出</c:v>
                </c:pt>
              </c:strCache>
            </c:strRef>
          </c:cat>
          <c:val>
            <c:numRef>
              <c:f>盛唐融信!$D$2:$D$5</c:f>
              <c:numCache>
                <c:formatCode>_ * #,##0.00_ ;[Red]_ * \-#,##0.00_ ;_ * "-"??_ ;_ @_ </c:formatCode>
                <c:ptCount val="4"/>
                <c:pt idx="0">
                  <c:v>755.361936223396</c:v>
                </c:pt>
                <c:pt idx="1">
                  <c:v>127.818006767571</c:v>
                </c:pt>
                <c:pt idx="2">
                  <c:v>91.1549076783355</c:v>
                </c:pt>
                <c:pt idx="3">
                  <c:v>653.173235608278</c:v>
                </c:pt>
              </c:numCache>
            </c:numRef>
          </c:val>
        </c:ser>
        <c:ser>
          <c:idx val="1"/>
          <c:order val="1"/>
          <c:tx>
            <c:strRef>
              <c:f>盛唐融信!$E$1</c:f>
              <c:strCache>
                <c:ptCount val="1"/>
                <c:pt idx="0">
                  <c:v>实际达成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盛唐融信!$C$2:$C$5</c:f>
              <c:strCache>
                <c:ptCount val="4"/>
                <c:pt idx="0">
                  <c:v>营业收入</c:v>
                </c:pt>
                <c:pt idx="1">
                  <c:v>扣非利润</c:v>
                </c:pt>
                <c:pt idx="2">
                  <c:v>经营活动净现金流</c:v>
                </c:pt>
                <c:pt idx="3">
                  <c:v>经营支出</c:v>
                </c:pt>
              </c:strCache>
            </c:strRef>
          </c:cat>
          <c:val>
            <c:numRef>
              <c:f>盛唐融信!$E$2:$E$5</c:f>
              <c:numCache>
                <c:formatCode>_ * #,##0.00_ ;[Red]_ * \-#,##0.00_ ;_ * "-"??_ ;_ @_ </c:formatCode>
                <c:ptCount val="4"/>
                <c:pt idx="0">
                  <c:v>83.977952</c:v>
                </c:pt>
                <c:pt idx="1">
                  <c:v>7.31030200000003</c:v>
                </c:pt>
                <c:pt idx="2">
                  <c:v>69.452085</c:v>
                </c:pt>
                <c:pt idx="3">
                  <c:v>88.503609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2319164"/>
        <c:axId val="145629630"/>
      </c:barChart>
      <c:lineChart>
        <c:grouping val="standard"/>
        <c:varyColors val="0"/>
        <c:ser>
          <c:idx val="2"/>
          <c:order val="2"/>
          <c:tx>
            <c:strRef>
              <c:f>盛唐融信!$F$1</c:f>
              <c:strCache>
                <c:ptCount val="1"/>
                <c:pt idx="0">
                  <c:v>年度目标达成率</c:v>
                </c:pt>
              </c:strCache>
            </c:strRef>
          </c:tx>
          <c:spPr>
            <a:ln w="28575" cap="rnd" cmpd="sng" algn="ctr">
              <a:solidFill>
                <a:schemeClr val="accent3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 cap="flat" cmpd="sng" algn="ctr">
                <a:solidFill>
                  <a:schemeClr val="accent3"/>
                </a:solidFill>
                <a:prstDash val="solid"/>
                <a:round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700" b="0" i="0" u="none" strike="noStrike" kern="1200" baseline="0">
                    <a:solidFill>
                      <a:schemeClr val="tx2"/>
                    </a:solidFill>
                    <a:latin typeface="+mn-ea"/>
                    <a:ea typeface="+mn-ea"/>
                    <a:cs typeface="+mn-ea"/>
                    <a:sym typeface="+mn-ea"/>
                  </a:defRPr>
                </a:pPr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cat>
            <c:strRef>
              <c:f>盛唐融信!$C$2:$C$5</c:f>
              <c:strCache>
                <c:ptCount val="4"/>
                <c:pt idx="0">
                  <c:v>营业收入</c:v>
                </c:pt>
                <c:pt idx="1">
                  <c:v>扣非利润</c:v>
                </c:pt>
                <c:pt idx="2">
                  <c:v>经营活动净现金流</c:v>
                </c:pt>
                <c:pt idx="3">
                  <c:v>经营支出</c:v>
                </c:pt>
              </c:strCache>
            </c:strRef>
          </c:cat>
          <c:val>
            <c:numRef>
              <c:f>盛唐融信!$F$2:$F$5</c:f>
              <c:numCache>
                <c:formatCode>_ * #,##0.00%_ ;[Red]_ * \-#,##0.00%_ ;_ * "-"??_ ;_ @_ </c:formatCode>
                <c:ptCount val="4"/>
                <c:pt idx="0">
                  <c:v>0.111175779414921</c:v>
                </c:pt>
                <c:pt idx="1">
                  <c:v>0.0571930527229497</c:v>
                </c:pt>
                <c:pt idx="2">
                  <c:v>0.761912734803926</c:v>
                </c:pt>
                <c:pt idx="3">
                  <c:v>0.135497911082624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63400855"/>
        <c:axId val="176542411"/>
      </c:lineChart>
      <c:catAx>
        <c:axId val="162319164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  <a:effectLst/>
        </c:spPr>
        <c:txPr>
          <a:bodyPr rot="42000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2"/>
                </a:solidFill>
                <a:latin typeface="+mn-ea"/>
                <a:ea typeface="+mn-ea"/>
                <a:cs typeface="+mn-ea"/>
                <a:sym typeface="+mn-ea"/>
              </a:defRPr>
            </a:pPr>
          </a:p>
        </c:txPr>
        <c:crossAx val="145629630"/>
        <c:crosses val="autoZero"/>
        <c:auto val="1"/>
        <c:lblAlgn val="ctr"/>
        <c:lblOffset val="100"/>
        <c:noMultiLvlLbl val="0"/>
      </c:catAx>
      <c:valAx>
        <c:axId val="14562963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prstDash val="solid"/>
              <a:round/>
            </a:ln>
            <a:effectLst/>
          </c:spPr>
        </c:majorGridlines>
        <c:numFmt formatCode="#,##0_);[Red]\(#,##0\)" sourceLinked="0"/>
        <c:majorTickMark val="none"/>
        <c:minorTickMark val="none"/>
        <c:tickLblPos val="nextTo"/>
        <c:spPr>
          <a:noFill/>
          <a:ln w="12700" cap="flat" cmpd="sng" algn="ctr">
            <a:noFill/>
            <a:prstDash val="solid"/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2"/>
                </a:solidFill>
                <a:latin typeface="+mn-ea"/>
                <a:ea typeface="+mn-ea"/>
                <a:cs typeface="+mn-ea"/>
                <a:sym typeface="+mn-ea"/>
              </a:defRPr>
            </a:pPr>
          </a:p>
        </c:txPr>
        <c:crossAx val="162319164"/>
        <c:crosses val="autoZero"/>
        <c:crossBetween val="between"/>
      </c:valAx>
      <c:catAx>
        <c:axId val="363400855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2"/>
                </a:solidFill>
                <a:latin typeface="+mn-ea"/>
                <a:ea typeface="+mn-ea"/>
                <a:cs typeface="+mn-ea"/>
                <a:sym typeface="+mn-ea"/>
              </a:defRPr>
            </a:pPr>
          </a:p>
        </c:txPr>
        <c:crossAx val="176542411"/>
        <c:crosses val="autoZero"/>
        <c:auto val="1"/>
        <c:lblAlgn val="ctr"/>
        <c:lblOffset val="100"/>
        <c:noMultiLvlLbl val="0"/>
      </c:catAx>
      <c:valAx>
        <c:axId val="176542411"/>
        <c:scaling>
          <c:orientation val="minMax"/>
        </c:scaling>
        <c:delete val="0"/>
        <c:axPos val="r"/>
        <c:numFmt formatCode="0%" sourceLinked="0"/>
        <c:majorTickMark val="out"/>
        <c:minorTickMark val="none"/>
        <c:tickLblPos val="nextTo"/>
        <c:spPr>
          <a:noFill/>
          <a:ln w="12700" cap="flat" cmpd="sng" algn="ctr">
            <a:noFill/>
            <a:prstDash val="solid"/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2"/>
                </a:solidFill>
                <a:latin typeface="+mn-ea"/>
                <a:ea typeface="+mn-ea"/>
                <a:cs typeface="+mn-ea"/>
                <a:sym typeface="+mn-ea"/>
              </a:defRPr>
            </a:pPr>
          </a:p>
        </c:txPr>
        <c:crossAx val="363400855"/>
        <c:crosses val="max"/>
        <c:crossBetween val="between"/>
      </c:valAx>
      <c:spPr>
        <a:noFill/>
        <a:ln>
          <a:noFill/>
        </a:ln>
        <a:effectLst/>
      </c:spPr>
    </c:plotArea>
    <c:legend>
      <c:legendPos val="r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2"/>
                </a:solidFill>
                <a:latin typeface="+mn-ea"/>
                <a:ea typeface="+mn-ea"/>
                <a:cs typeface="+mn-ea"/>
                <a:sym typeface="+mn-ea"/>
              </a:defRPr>
            </a:pPr>
          </a:p>
        </c:txPr>
      </c:legendEntry>
      <c:legendEntry>
        <c:idx val="1"/>
        <c:txPr>
          <a:bodyPr rot="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2"/>
                </a:solidFill>
                <a:latin typeface="+mn-ea"/>
                <a:ea typeface="+mn-ea"/>
                <a:cs typeface="+mn-ea"/>
                <a:sym typeface="+mn-ea"/>
              </a:defRPr>
            </a:pPr>
          </a:p>
        </c:txPr>
      </c:legendEntry>
      <c:legendEntry>
        <c:idx val="2"/>
        <c:txPr>
          <a:bodyPr rot="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2"/>
                </a:solidFill>
                <a:latin typeface="+mn-ea"/>
                <a:ea typeface="+mn-ea"/>
                <a:cs typeface="+mn-ea"/>
                <a:sym typeface="+mn-ea"/>
              </a:defRPr>
            </a:pPr>
          </a:p>
        </c:txPr>
      </c:legendEntry>
      <c:layout>
        <c:manualLayout>
          <c:xMode val="edge"/>
          <c:yMode val="edge"/>
          <c:x val="0.0055"/>
          <c:y val="0.07925"/>
          <c:w val="0.98675"/>
          <c:h val="0.102"/>
        </c:manualLayout>
      </c:layout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700" b="0" i="0" u="none" strike="noStrike" kern="1200" baseline="0">
              <a:solidFill>
                <a:schemeClr val="tx2"/>
              </a:solidFill>
              <a:latin typeface="+mn-ea"/>
              <a:ea typeface="+mn-ea"/>
              <a:cs typeface="+mn-ea"/>
              <a:sym typeface="+mn-ea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aee3e7bb-5778-4709-b6b0-c5e4b3e888d7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  <a:effectLst>
      <a:outerShdw blurRad="50800" dist="38100" dir="13500000" algn="br" rotWithShape="0">
        <a:prstClr val="black">
          <a:alpha val="40000"/>
        </a:prstClr>
      </a:outerShdw>
    </a:effectLst>
  </c:spPr>
  <c:txPr>
    <a:bodyPr wrap="square"/>
    <a:lstStyle/>
    <a:p>
      <a:pPr>
        <a:defRPr lang="zh-CN" sz="700">
          <a:solidFill>
            <a:schemeClr val="tx2"/>
          </a:solidFill>
          <a:latin typeface="+mn-ea"/>
          <a:ea typeface="+mn-ea"/>
          <a:cs typeface="+mn-ea"/>
          <a:sym typeface="+mn-ea"/>
        </a:defRPr>
      </a:pPr>
    </a:p>
  </c:txPr>
  <c:printSettings>
    <c:headerFooter/>
    <c:pageMargins b="0.75" l="0.7" r="0.7" t="0.75" header="0.3" footer="0.3"/>
    <c:pageSetup/>
  </c:printSettings>
</c:chartSpace>
</file>

<file path=xl/charts/chart4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000" b="1" i="0" u="none" strike="noStrike" kern="1200" baseline="0">
                <a:solidFill>
                  <a:schemeClr val="tx2"/>
                </a:solidFill>
                <a:latin typeface="+mn-ea"/>
                <a:ea typeface="+mn-ea"/>
                <a:cs typeface="+mn-ea"/>
                <a:sym typeface="+mn-ea"/>
              </a:defRPr>
            </a:pPr>
            <a:r>
              <a:rPr lang="zh-CN" altLang="en-US" sz="1000">
                <a:solidFill>
                  <a:schemeClr val="tx2"/>
                </a:solidFill>
                <a:latin typeface="+mn-ea"/>
                <a:ea typeface="+mn-ea"/>
                <a:cs typeface="+mn-ea"/>
                <a:sym typeface="+mn-ea"/>
              </a:rPr>
              <a:t>营收比较</a:t>
            </a:r>
            <a:endParaRPr lang="zh-CN" altLang="en-US" sz="1000" b="1" i="0" u="none" strike="noStrike" baseline="0">
              <a:solidFill>
                <a:schemeClr val="tx2"/>
              </a:solidFill>
              <a:latin typeface="+mn-ea"/>
              <a:ea typeface="+mn-ea"/>
              <a:cs typeface="+mn-ea"/>
              <a:sym typeface="+mn-ea"/>
            </a:endParaRPr>
          </a:p>
        </c:rich>
      </c:tx>
      <c:layout>
        <c:manualLayout>
          <c:xMode val="edge"/>
          <c:yMode val="edge"/>
          <c:x val="0.457999545333275"/>
          <c:y val="0.00653879686137751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0936844043454244"/>
          <c:y val="0.188705554264467"/>
          <c:w val="0.900791751058737"/>
          <c:h val="0.732558679990704"/>
        </c:manualLayout>
      </c:layout>
      <c:barChart>
        <c:barDir val="col"/>
        <c:grouping val="clustered"/>
        <c:varyColors val="0"/>
        <c:ser>
          <c:idx val="1"/>
          <c:order val="1"/>
          <c:tx>
            <c:strRef>
              <c:f>盛唐融信!$F$35</c:f>
              <c:strCache>
                <c:ptCount val="1"/>
                <c:pt idx="0">
                  <c:v>同期营收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盛唐融信!$G$33:$R$33</c:f>
              <c:strCache>
                <c:ptCount val="12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</c:strCache>
            </c:strRef>
          </c:cat>
          <c:val>
            <c:numRef>
              <c:f>盛唐融信!$G$35:$R$35</c:f>
              <c:numCache>
                <c:formatCode>_ * #,##0.00_ ;[Red]_ * \-#,##0.00_ ;_ * "-"??_ ;_ @_ </c:formatCode>
                <c:ptCount val="12"/>
                <c:pt idx="0">
                  <c:v>106.320885</c:v>
                </c:pt>
                <c:pt idx="1">
                  <c:v>42.534918</c:v>
                </c:pt>
                <c:pt idx="2">
                  <c:v>75.209191</c:v>
                </c:pt>
                <c:pt idx="3">
                  <c:v>32.272233</c:v>
                </c:pt>
                <c:pt idx="4">
                  <c:v>43.14</c:v>
                </c:pt>
                <c:pt idx="5">
                  <c:v>47.282986</c:v>
                </c:pt>
                <c:pt idx="6">
                  <c:v>52.31881</c:v>
                </c:pt>
                <c:pt idx="7">
                  <c:v>40.126594</c:v>
                </c:pt>
                <c:pt idx="8">
                  <c:v>41.531773</c:v>
                </c:pt>
                <c:pt idx="9">
                  <c:v>32.941035</c:v>
                </c:pt>
                <c:pt idx="10">
                  <c:v>27.427461</c:v>
                </c:pt>
                <c:pt idx="11">
                  <c:v>44.551139</c:v>
                </c:pt>
              </c:numCache>
            </c:numRef>
          </c:val>
        </c:ser>
        <c:ser>
          <c:idx val="2"/>
          <c:order val="2"/>
          <c:tx>
            <c:strRef>
              <c:f>盛唐融信!$F$36</c:f>
              <c:strCache>
                <c:ptCount val="1"/>
                <c:pt idx="0">
                  <c:v>营收分解计划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盛唐融信!$G$33:$R$33</c:f>
              <c:strCache>
                <c:ptCount val="12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</c:strCache>
            </c:strRef>
          </c:cat>
          <c:val>
            <c:numRef>
              <c:f>盛唐融信!$G$36:$R$36</c:f>
              <c:numCache>
                <c:formatCode>_ * #,##0.00_ ;[Red]_ * \-#,##0.00_ ;_ * "-"??_ ;_ @_ 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7697968"/>
        <c:axId val="215553595"/>
      </c:barChart>
      <c:scatterChart>
        <c:scatterStyle val="smoothMarker"/>
        <c:varyColors val="0"/>
        <c:ser>
          <c:idx val="0"/>
          <c:order val="0"/>
          <c:tx>
            <c:strRef>
              <c:f>盛唐融信!$F$34</c:f>
              <c:strCache>
                <c:ptCount val="1"/>
                <c:pt idx="0">
                  <c:v>营业收入</c:v>
                </c:pt>
              </c:strCache>
            </c:strRef>
          </c:tx>
          <c:spPr>
            <a:ln w="28575" cap="rnd" cmpd="sng" algn="ctr">
              <a:solidFill>
                <a:schemeClr val="accent1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 cap="flat" cmpd="sng" algn="ctr">
                <a:solidFill>
                  <a:schemeClr val="accent1"/>
                </a:solidFill>
                <a:prstDash val="solid"/>
                <a:round/>
              </a:ln>
              <a:effectLst/>
            </c:spPr>
          </c:marker>
          <c:dLbls>
            <c:delete val="1"/>
          </c:dLbls>
          <c:xVal>
            <c:strRef>
              <c:f>盛唐融信!$G$33:$R$33</c:f>
              <c:strCache>
                <c:ptCount val="12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</c:strCache>
            </c:strRef>
          </c:xVal>
          <c:yVal>
            <c:numRef>
              <c:f>盛唐融信!$G$34:$R$34</c:f>
              <c:numCache>
                <c:formatCode>_ * #,##0.00_ ;[Red]_ * \-#,##0.00_ ;_ * "-"??_ ;_ @_ </c:formatCode>
                <c:ptCount val="12"/>
                <c:pt idx="0">
                  <c:v>32.620633</c:v>
                </c:pt>
                <c:pt idx="1">
                  <c:v>19.682364</c:v>
                </c:pt>
                <c:pt idx="2">
                  <c:v>31.674955</c:v>
                </c:pt>
                <c:pt idx="3">
                  <c:v>0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7697968"/>
        <c:axId val="215553595"/>
      </c:scatterChart>
      <c:catAx>
        <c:axId val="10769796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2"/>
                </a:solidFill>
                <a:latin typeface="OPPO Sans 4.0" panose="00000500000000000000" charset="-122"/>
                <a:ea typeface="OPPO Sans 4.0" panose="00000500000000000000" charset="-122"/>
                <a:cs typeface="OPPO Sans 4.0" panose="00000500000000000000" charset="-122"/>
                <a:sym typeface="OPPO Sans 4.0" panose="00000500000000000000" charset="-122"/>
              </a:defRPr>
            </a:pPr>
          </a:p>
        </c:txPr>
        <c:crossAx val="215553595"/>
        <c:crosses val="autoZero"/>
        <c:auto val="1"/>
        <c:lblAlgn val="ctr"/>
        <c:lblOffset val="100"/>
        <c:noMultiLvlLbl val="0"/>
      </c:catAx>
      <c:valAx>
        <c:axId val="2155535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prstDash val="solid"/>
              <a:round/>
            </a:ln>
            <a:effectLst/>
          </c:spPr>
        </c:majorGridlines>
        <c:numFmt formatCode="#,##0_);[Red]\(#,##0\)" sourceLinked="0"/>
        <c:majorTickMark val="none"/>
        <c:minorTickMark val="none"/>
        <c:tickLblPos val="nextTo"/>
        <c:spPr>
          <a:noFill/>
          <a:ln w="12700" cap="flat" cmpd="sng" algn="ctr">
            <a:noFill/>
            <a:prstDash val="solid"/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2"/>
                </a:solidFill>
                <a:latin typeface="OPPO Sans 4.0" panose="00000500000000000000" charset="-122"/>
                <a:ea typeface="OPPO Sans 4.0" panose="00000500000000000000" charset="-122"/>
                <a:cs typeface="OPPO Sans 4.0" panose="00000500000000000000" charset="-122"/>
                <a:sym typeface="OPPO Sans 4.0" panose="00000500000000000000" charset="-122"/>
              </a:defRPr>
            </a:pPr>
          </a:p>
        </c:txPr>
        <c:crossAx val="1076979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2"/>
                </a:solidFill>
                <a:latin typeface="OPPO Sans 4.0" panose="00000500000000000000" charset="-122"/>
                <a:ea typeface="OPPO Sans 4.0" panose="00000500000000000000" charset="-122"/>
                <a:cs typeface="OPPO Sans 4.0" panose="00000500000000000000" charset="-122"/>
                <a:sym typeface="OPPO Sans 4.0" panose="00000500000000000000" charset="-122"/>
              </a:defRPr>
            </a:pPr>
          </a:p>
        </c:txPr>
      </c:legendEntry>
      <c:legendEntry>
        <c:idx val="1"/>
        <c:txPr>
          <a:bodyPr rot="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2"/>
                </a:solidFill>
                <a:latin typeface="OPPO Sans 4.0" panose="00000500000000000000" charset="-122"/>
                <a:ea typeface="OPPO Sans 4.0" panose="00000500000000000000" charset="-122"/>
                <a:cs typeface="OPPO Sans 4.0" panose="00000500000000000000" charset="-122"/>
                <a:sym typeface="OPPO Sans 4.0" panose="00000500000000000000" charset="-122"/>
              </a:defRPr>
            </a:pPr>
          </a:p>
        </c:txPr>
      </c:legendEntry>
      <c:legendEntry>
        <c:idx val="2"/>
        <c:txPr>
          <a:bodyPr rot="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2"/>
                </a:solidFill>
                <a:latin typeface="OPPO Sans 4.0" panose="00000500000000000000" charset="-122"/>
                <a:ea typeface="OPPO Sans 4.0" panose="00000500000000000000" charset="-122"/>
                <a:cs typeface="OPPO Sans 4.0" panose="00000500000000000000" charset="-122"/>
                <a:sym typeface="OPPO Sans 4.0" panose="00000500000000000000" charset="-122"/>
              </a:defRPr>
            </a:pPr>
          </a:p>
        </c:txPr>
      </c:legendEntry>
      <c:layout>
        <c:manualLayout>
          <c:xMode val="edge"/>
          <c:yMode val="edge"/>
          <c:x val="0.0055"/>
          <c:y val="0.08175"/>
          <c:w val="0.9905"/>
          <c:h val="0.10675"/>
        </c:manualLayout>
      </c:layout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700" b="0" i="0" u="none" strike="noStrike" kern="1200" baseline="0">
              <a:solidFill>
                <a:schemeClr val="tx2"/>
              </a:solidFill>
              <a:latin typeface="OPPO Sans 4.0" panose="00000500000000000000" charset="-122"/>
              <a:ea typeface="OPPO Sans 4.0" panose="00000500000000000000" charset="-122"/>
              <a:cs typeface="OPPO Sans 4.0" panose="00000500000000000000" charset="-122"/>
              <a:sym typeface="OPPO Sans 4.0" panose="00000500000000000000" charset="-122"/>
            </a:defRPr>
          </a:pPr>
        </a:p>
      </c:txPr>
    </c:legend>
    <c:plotVisOnly val="0"/>
    <c:dispBlanksAs val="gap"/>
    <c:showDLblsOverMax val="0"/>
    <c:extLst>
      <c:ext uri="{0b15fc19-7d7d-44ad-8c2d-2c3a37ce22c3}">
        <chartProps xmlns="https://web.wps.cn/et/2018/main" chartId="{e41f0971-04d1-45a4-9f2c-e661ac32b6f2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  <a:effectLst>
      <a:outerShdw blurRad="50800" dist="38100" dir="13500000" algn="br" rotWithShape="0">
        <a:prstClr val="black">
          <a:alpha val="40000"/>
        </a:prstClr>
      </a:outerShdw>
    </a:effectLst>
  </c:spPr>
  <c:txPr>
    <a:bodyPr wrap="square"/>
    <a:lstStyle/>
    <a:p>
      <a:pPr>
        <a:defRPr lang="zh-CN" sz="700">
          <a:solidFill>
            <a:schemeClr val="tx2"/>
          </a:solidFill>
          <a:latin typeface="OPPO Sans 4.0" panose="00000500000000000000" charset="-122"/>
          <a:ea typeface="OPPO Sans 4.0" panose="00000500000000000000" charset="-122"/>
          <a:cs typeface="OPPO Sans 4.0" panose="00000500000000000000" charset="-122"/>
          <a:sym typeface="OPPO Sans 4.0" panose="00000500000000000000" charset="-122"/>
        </a:defRPr>
      </a:pPr>
    </a:p>
  </c:txPr>
  <c:printSettings>
    <c:headerFooter/>
    <c:pageMargins b="0.75" l="0.7" r="0.7" t="0.75" header="0.3" footer="0.3"/>
    <c:pageSetup/>
  </c:printSettings>
</c:chartSpace>
</file>

<file path=xl/charts/chart4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 forceAA="0"/>
          <a:lstStyle/>
          <a:p>
            <a:pPr>
              <a:defRPr lang="zh-CN" sz="1000" b="1" i="0" u="none" strike="noStrike" kern="1200" baseline="0">
                <a:solidFill>
                  <a:schemeClr val="tx2"/>
                </a:solidFill>
                <a:latin typeface="+mn-ea"/>
                <a:ea typeface="+mn-ea"/>
                <a:cs typeface="+mn-ea"/>
                <a:sym typeface="+mn-ea"/>
              </a:defRPr>
            </a:pPr>
            <a:r>
              <a:rPr lang="zh-CN" altLang="en-US" sz="1000" b="1">
                <a:solidFill>
                  <a:schemeClr val="tx2"/>
                </a:solidFill>
                <a:latin typeface="+mn-ea"/>
                <a:ea typeface="+mn-ea"/>
                <a:cs typeface="+mn-ea"/>
                <a:sym typeface="+mn-ea"/>
              </a:rPr>
              <a:t>指标趋势</a:t>
            </a:r>
            <a:endParaRPr lang="zh-CN" altLang="en-US" sz="1000" b="1" i="0" u="none" strike="noStrike" baseline="0">
              <a:solidFill>
                <a:schemeClr val="tx2"/>
              </a:solidFill>
              <a:latin typeface="+mn-ea"/>
              <a:ea typeface="+mn-ea"/>
              <a:cs typeface="+mn-ea"/>
              <a:sym typeface="+mn-ea"/>
            </a:endParaRPr>
          </a:p>
        </c:rich>
      </c:tx>
      <c:layout>
        <c:manualLayout>
          <c:xMode val="edge"/>
          <c:yMode val="edge"/>
          <c:x val="0.417274939172749"/>
          <c:y val="0.00524292205522545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63542625667465"/>
          <c:y val="0.188705554264467"/>
          <c:w val="0.830933529736697"/>
          <c:h val="0.722240297466884"/>
        </c:manualLayout>
      </c:layout>
      <c:lineChart>
        <c:grouping val="standard"/>
        <c:varyColors val="0"/>
        <c:ser>
          <c:idx val="0"/>
          <c:order val="0"/>
          <c:tx>
            <c:strRef>
              <c:f>盛唐融信!$F$40</c:f>
              <c:strCache>
                <c:ptCount val="1"/>
                <c:pt idx="0">
                  <c:v>营业收入</c:v>
                </c:pt>
              </c:strCache>
            </c:strRef>
          </c:tx>
          <c:spPr>
            <a:ln w="31750" cap="rnd" cmpd="sng" algn="ctr">
              <a:solidFill>
                <a:schemeClr val="accent1"/>
              </a:solidFill>
              <a:prstDash val="solid"/>
              <a:round/>
            </a:ln>
            <a:effectLst/>
          </c:spPr>
          <c:marker>
            <c:symbol val="circle"/>
            <c:size val="7"/>
            <c:spPr>
              <a:solidFill>
                <a:schemeClr val="accent1"/>
              </a:solidFill>
              <a:ln w="28575" cap="flat" cmpd="sng" algn="ctr">
                <a:noFill/>
                <a:prstDash val="solid"/>
                <a:round/>
              </a:ln>
            </c:spPr>
          </c:marker>
          <c:dLbls>
            <c:delete val="1"/>
          </c:dLbls>
          <c:cat>
            <c:strRef>
              <c:f>盛唐融信!$G$39:$R$39</c:f>
              <c:strCache>
                <c:ptCount val="12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</c:strCache>
            </c:strRef>
          </c:cat>
          <c:val>
            <c:numRef>
              <c:f>盛唐融信!$G$40:$R$40</c:f>
              <c:numCache>
                <c:formatCode>_ * #,##0.00_ ;_ * \-#,##0.00_ ;_ * "-"??_ ;_ @_ </c:formatCode>
                <c:ptCount val="12"/>
                <c:pt idx="0">
                  <c:v>32.620633</c:v>
                </c:pt>
                <c:pt idx="1">
                  <c:v>19.682364</c:v>
                </c:pt>
                <c:pt idx="2">
                  <c:v>31.674955</c:v>
                </c:pt>
                <c:pt idx="3">
                  <c:v>0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盛唐融信!$F$41</c:f>
              <c:strCache>
                <c:ptCount val="1"/>
                <c:pt idx="0">
                  <c:v>扣非利润</c:v>
                </c:pt>
              </c:strCache>
            </c:strRef>
          </c:tx>
          <c:spPr>
            <a:ln w="31750" cap="rnd" cmpd="sng" algn="ctr">
              <a:solidFill>
                <a:schemeClr val="accent2"/>
              </a:solidFill>
              <a:prstDash val="solid"/>
              <a:round/>
            </a:ln>
          </c:spPr>
          <c:marker>
            <c:symbol val="circle"/>
            <c:size val="7"/>
            <c:spPr>
              <a:solidFill>
                <a:schemeClr val="accent2"/>
              </a:solidFill>
              <a:ln w="28575" cap="flat" cmpd="sng" algn="ctr">
                <a:noFill/>
                <a:prstDash val="solid"/>
                <a:round/>
              </a:ln>
            </c:spPr>
          </c:marker>
          <c:dLbls>
            <c:delete val="1"/>
          </c:dLbls>
          <c:cat>
            <c:strRef>
              <c:f>盛唐融信!$G$39:$R$39</c:f>
              <c:strCache>
                <c:ptCount val="12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</c:strCache>
            </c:strRef>
          </c:cat>
          <c:val>
            <c:numRef>
              <c:f>盛唐融信!$G$41:$R$41</c:f>
              <c:numCache>
                <c:formatCode>_ * #,##0.00_ ;_ * \-#,##0.00_ ;_ * "-"??_ ;_ @_ </c:formatCode>
                <c:ptCount val="12"/>
                <c:pt idx="0">
                  <c:v>4.668735</c:v>
                </c:pt>
                <c:pt idx="1">
                  <c:v>-3.91312499999997</c:v>
                </c:pt>
                <c:pt idx="2">
                  <c:v>6.554692</c:v>
                </c:pt>
                <c:pt idx="3">
                  <c:v>0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盛唐融信!$F$42</c:f>
              <c:strCache>
                <c:ptCount val="1"/>
                <c:pt idx="0">
                  <c:v>经营活动净现金流</c:v>
                </c:pt>
              </c:strCache>
            </c:strRef>
          </c:tx>
          <c:spPr>
            <a:ln w="31750" cap="rnd" cmpd="sng" algn="ctr">
              <a:solidFill>
                <a:schemeClr val="accent3"/>
              </a:solidFill>
              <a:prstDash val="solid"/>
              <a:round/>
            </a:ln>
          </c:spPr>
          <c:marker>
            <c:symbol val="circle"/>
            <c:size val="7"/>
            <c:spPr>
              <a:solidFill>
                <a:schemeClr val="accent3"/>
              </a:solidFill>
              <a:ln w="28575" cap="flat" cmpd="sng" algn="ctr">
                <a:noFill/>
                <a:prstDash val="solid"/>
                <a:round/>
              </a:ln>
            </c:spPr>
          </c:marker>
          <c:dLbls>
            <c:delete val="1"/>
          </c:dLbls>
          <c:cat>
            <c:strRef>
              <c:f>盛唐融信!$G$39:$R$39</c:f>
              <c:strCache>
                <c:ptCount val="12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</c:strCache>
            </c:strRef>
          </c:cat>
          <c:val>
            <c:numRef>
              <c:f>盛唐融信!$G$42:$R$42</c:f>
              <c:numCache>
                <c:formatCode>_ * #,##0.00_ ;_ * \-#,##0.00_ ;_ * "-"??_ ;_ @_ </c:formatCode>
                <c:ptCount val="12"/>
                <c:pt idx="0">
                  <c:v>-18.43919</c:v>
                </c:pt>
                <c:pt idx="1">
                  <c:v>29.445458</c:v>
                </c:pt>
                <c:pt idx="2">
                  <c:v>58.445817</c:v>
                </c:pt>
                <c:pt idx="3">
                  <c:v>0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盛唐融信!$F$43</c:f>
              <c:strCache>
                <c:ptCount val="1"/>
                <c:pt idx="0">
                  <c:v>经营支出小计</c:v>
                </c:pt>
              </c:strCache>
            </c:strRef>
          </c:tx>
          <c:spPr>
            <a:ln w="31750" cap="rnd" cmpd="sng" algn="ctr">
              <a:solidFill>
                <a:schemeClr val="accent4"/>
              </a:solidFill>
              <a:prstDash val="solid"/>
              <a:round/>
            </a:ln>
          </c:spPr>
          <c:marker>
            <c:symbol val="circle"/>
            <c:size val="7"/>
            <c:spPr>
              <a:solidFill>
                <a:schemeClr val="accent4"/>
              </a:solidFill>
              <a:ln w="28575" cap="flat" cmpd="sng" algn="ctr">
                <a:noFill/>
                <a:prstDash val="solid"/>
                <a:round/>
              </a:ln>
            </c:spPr>
          </c:marker>
          <c:dLbls>
            <c:delete val="1"/>
          </c:dLbls>
          <c:cat>
            <c:strRef>
              <c:f>盛唐融信!$G$39:$R$39</c:f>
              <c:strCache>
                <c:ptCount val="12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</c:strCache>
            </c:strRef>
          </c:cat>
          <c:val>
            <c:numRef>
              <c:f>盛唐融信!$G$43:$R$43</c:f>
              <c:numCache>
                <c:formatCode>_ * #,##0.00_ ;_ * \-#,##0.00_ ;_ * "-"??_ ;_ @_ </c:formatCode>
                <c:ptCount val="12"/>
                <c:pt idx="0">
                  <c:v>32.36311</c:v>
                </c:pt>
                <c:pt idx="1">
                  <c:v>28.197865</c:v>
                </c:pt>
                <c:pt idx="2">
                  <c:v>27.942634</c:v>
                </c:pt>
                <c:pt idx="3">
                  <c:v>0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8829359"/>
        <c:axId val="325855764"/>
      </c:lineChart>
      <c:catAx>
        <c:axId val="198829359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low"/>
        <c:spPr>
          <a:noFill/>
          <a:ln w="6350" cap="flat" cmpd="sng" algn="ctr">
            <a:noFill/>
            <a:prstDash val="solid"/>
            <a:round/>
          </a:ln>
        </c:spPr>
        <c:txPr>
          <a:bodyPr rot="-60000000" spcFirstLastPara="0" vertOverflow="ellipsis" vert="horz" wrap="square" anchor="ctr" anchorCtr="1" forceAA="0"/>
          <a:lstStyle/>
          <a:p>
            <a:pPr>
              <a:defRPr lang="zh-CN" sz="800" b="0" i="0" u="none" strike="noStrike" kern="1200" baseline="0">
                <a:solidFill>
                  <a:schemeClr val="tx2"/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</a:p>
        </c:txPr>
        <c:crossAx val="325855764"/>
        <c:crosses val="autoZero"/>
        <c:auto val="1"/>
        <c:lblAlgn val="ctr"/>
        <c:lblOffset val="100"/>
        <c:noMultiLvlLbl val="0"/>
      </c:catAx>
      <c:valAx>
        <c:axId val="3258557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90000"/>
                </a:schemeClr>
              </a:solidFill>
              <a:prstDash val="solid"/>
              <a:round/>
            </a:ln>
          </c:spPr>
        </c:majorGridlines>
        <c:numFmt formatCode="_ * #,##0.00_ ;_ * \-#,##0.00_ ;_ * &quot;-&quot;??_ ;_ @_ " sourceLinked="1"/>
        <c:majorTickMark val="none"/>
        <c:minorTickMark val="in"/>
        <c:tickLblPos val="low"/>
        <c:spPr>
          <a:noFill/>
          <a:ln w="6350" cap="flat" cmpd="sng" algn="ctr">
            <a:noFill/>
            <a:prstDash val="solid"/>
            <a:round/>
          </a:ln>
        </c:spPr>
        <c:txPr>
          <a:bodyPr rot="-60000000" spcFirstLastPara="0" vertOverflow="ellipsis" vert="horz" wrap="square" anchor="ctr" anchorCtr="1" forceAA="0"/>
          <a:lstStyle/>
          <a:p>
            <a:pPr>
              <a:defRPr lang="zh-CN" sz="800" b="0" i="0" u="none" strike="noStrike" kern="1200" baseline="0">
                <a:solidFill>
                  <a:schemeClr val="tx2"/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</a:p>
        </c:txPr>
        <c:crossAx val="198829359"/>
        <c:crosses val="autoZero"/>
        <c:crossBetween val="between"/>
      </c:valAx>
      <c:spPr>
        <a:noFill/>
      </c:spPr>
    </c:plotArea>
    <c:legend>
      <c:legendPos val="r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2"/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</a:p>
        </c:txPr>
      </c:legendEntry>
      <c:legendEntry>
        <c:idx val="1"/>
        <c:txPr>
          <a:bodyPr rot="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2"/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</a:p>
        </c:txPr>
      </c:legendEntry>
      <c:legendEntry>
        <c:idx val="2"/>
        <c:txPr>
          <a:bodyPr rot="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2"/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</a:p>
        </c:txPr>
      </c:legendEntry>
      <c:legendEntry>
        <c:idx val="3"/>
        <c:txPr>
          <a:bodyPr rot="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2"/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</a:p>
        </c:txPr>
      </c:legendEntry>
      <c:layout>
        <c:manualLayout>
          <c:xMode val="edge"/>
          <c:yMode val="edge"/>
          <c:x val="0.0055"/>
          <c:y val="0.08625"/>
          <c:w val="0.99075"/>
          <c:h val="0.102"/>
        </c:manualLayout>
      </c:layout>
      <c:overlay val="0"/>
      <c:txPr>
        <a:bodyPr rot="0" spcFirstLastPara="0" vertOverflow="ellipsis" vert="horz" wrap="square" anchor="ctr" anchorCtr="1"/>
        <a:lstStyle/>
        <a:p>
          <a:pPr>
            <a:defRPr lang="zh-CN" sz="700" b="0" i="0" u="none" strike="noStrike" kern="1200" baseline="0">
              <a:solidFill>
                <a:schemeClr val="tx2"/>
              </a:solidFill>
              <a:latin typeface="微软雅黑" panose="020B0503020204020204" charset="-122"/>
              <a:ea typeface="微软雅黑" panose="020B0503020204020204" charset="-122"/>
              <a:cs typeface="微软雅黑" panose="020B0503020204020204" charset="-122"/>
              <a:sym typeface="微软雅黑" panose="020B0503020204020204" charset="-122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595564f4-3b1f-48e7-8520-496661c8fe51}"/>
      </c:ext>
    </c:extLst>
  </c:chart>
  <c:spPr>
    <a:solidFill>
      <a:schemeClr val="bg1"/>
    </a:solidFill>
    <a:ln w="6350" cap="flat" cmpd="sng" algn="ctr">
      <a:solidFill>
        <a:schemeClr val="tx1">
          <a:lumMod val="50000"/>
          <a:lumOff val="50000"/>
          <a:alpha val="25000"/>
        </a:schemeClr>
      </a:solidFill>
      <a:prstDash val="solid"/>
      <a:round/>
    </a:ln>
    <a:effectLst>
      <a:outerShdw blurRad="50800" dist="38100" dir="13500000" algn="br" rotWithShape="0">
        <a:prstClr val="black">
          <a:alpha val="40000"/>
        </a:prstClr>
      </a:outerShdw>
    </a:effectLst>
  </c:spPr>
  <c:txPr>
    <a:bodyPr wrap="square"/>
    <a:lstStyle/>
    <a:p>
      <a:pPr>
        <a:defRPr lang="zh-CN" sz="1000" b="0">
          <a:solidFill>
            <a:schemeClr val="tx2"/>
          </a:solidFill>
          <a:latin typeface="微软雅黑" panose="020B0503020204020204" charset="-122"/>
          <a:ea typeface="微软雅黑" panose="020B0503020204020204" charset="-122"/>
          <a:cs typeface="微软雅黑" panose="020B0503020204020204" charset="-122"/>
          <a:sym typeface="微软雅黑" panose="020B0503020204020204" charset="-122"/>
        </a:defRPr>
      </a:pPr>
    </a:p>
  </c:txPr>
  <c:printSettings>
    <c:headerFooter/>
    <c:pageMargins b="0.75" l="0.7" r="0.7" t="0.75" header="0.3" footer="0.3"/>
    <c:pageSetup/>
  </c:printSettings>
</c:chartSpace>
</file>

<file path=xl/charts/chart5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000" b="1" i="0" u="none" strike="noStrike" kern="1200" baseline="0">
                <a:solidFill>
                  <a:schemeClr val="tx2"/>
                </a:solidFill>
                <a:latin typeface="+mn-ea"/>
                <a:ea typeface="+mn-ea"/>
                <a:cs typeface="+mn-ea"/>
                <a:sym typeface="+mn-ea"/>
              </a:defRPr>
            </a:pPr>
            <a:r>
              <a:rPr lang="zh-CN" altLang="en-US" sz="1000">
                <a:solidFill>
                  <a:schemeClr val="tx2"/>
                </a:solidFill>
                <a:latin typeface="+mn-ea"/>
                <a:ea typeface="+mn-ea"/>
                <a:cs typeface="+mn-ea"/>
                <a:sym typeface="+mn-ea"/>
              </a:rPr>
              <a:t>任务进度</a:t>
            </a:r>
            <a:endParaRPr lang="zh-CN" altLang="en-US" sz="1000" b="1" i="0" u="none" strike="noStrike" baseline="0">
              <a:solidFill>
                <a:schemeClr val="tx2"/>
              </a:solidFill>
              <a:latin typeface="+mn-ea"/>
              <a:ea typeface="+mn-ea"/>
              <a:cs typeface="+mn-ea"/>
              <a:sym typeface="+mn-ea"/>
            </a:endParaRPr>
          </a:p>
        </c:rich>
      </c:tx>
      <c:layout>
        <c:manualLayout>
          <c:xMode val="edge"/>
          <c:yMode val="edge"/>
          <c:x val="0.445"/>
          <c:y val="0.00694605232692753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0958939421837599"/>
          <c:y val="0.188821752265861"/>
          <c:w val="0.791824709998159"/>
          <c:h val="0.69688589356263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君康经纪!$D$1</c:f>
              <c:strCache>
                <c:ptCount val="1"/>
                <c:pt idx="0">
                  <c:v>年度目标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君康经纪!$C$2:$C$5</c:f>
              <c:strCache>
                <c:ptCount val="4"/>
                <c:pt idx="0">
                  <c:v>营业收入</c:v>
                </c:pt>
                <c:pt idx="1">
                  <c:v>扣非利润</c:v>
                </c:pt>
                <c:pt idx="2">
                  <c:v>经营活动净现金流</c:v>
                </c:pt>
                <c:pt idx="3">
                  <c:v>经营支出</c:v>
                </c:pt>
              </c:strCache>
            </c:strRef>
          </c:cat>
          <c:val>
            <c:numRef>
              <c:f>君康经纪!$D$2:$D$5</c:f>
              <c:numCache>
                <c:formatCode>_ * #,##0.00_ ;[Red]_ * \-#,##0.00_ ;_ * "-"??_ ;_ @_ </c:formatCode>
                <c:ptCount val="4"/>
                <c:pt idx="0">
                  <c:v>648.561734135849</c:v>
                </c:pt>
                <c:pt idx="1">
                  <c:v>-19.0437528066115</c:v>
                </c:pt>
                <c:pt idx="2">
                  <c:v>178.189754816399</c:v>
                </c:pt>
                <c:pt idx="3">
                  <c:v>591.075776942461</c:v>
                </c:pt>
              </c:numCache>
            </c:numRef>
          </c:val>
        </c:ser>
        <c:ser>
          <c:idx val="1"/>
          <c:order val="1"/>
          <c:tx>
            <c:strRef>
              <c:f>君康经纪!$E$1</c:f>
              <c:strCache>
                <c:ptCount val="1"/>
                <c:pt idx="0">
                  <c:v>实际达成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君康经纪!$C$2:$C$5</c:f>
              <c:strCache>
                <c:ptCount val="4"/>
                <c:pt idx="0">
                  <c:v>营业收入</c:v>
                </c:pt>
                <c:pt idx="1">
                  <c:v>扣非利润</c:v>
                </c:pt>
                <c:pt idx="2">
                  <c:v>经营活动净现金流</c:v>
                </c:pt>
                <c:pt idx="3">
                  <c:v>经营支出</c:v>
                </c:pt>
              </c:strCache>
            </c:strRef>
          </c:cat>
          <c:val>
            <c:numRef>
              <c:f>君康经纪!$E$2:$E$5</c:f>
              <c:numCache>
                <c:formatCode>_ * #,##0.00_ ;[Red]_ * \-#,##0.00_ ;_ * "-"??_ ;_ @_ </c:formatCode>
                <c:ptCount val="4"/>
                <c:pt idx="0">
                  <c:v>34.637326</c:v>
                </c:pt>
                <c:pt idx="1">
                  <c:v>-81.290537</c:v>
                </c:pt>
                <c:pt idx="2">
                  <c:v>-81.078338</c:v>
                </c:pt>
                <c:pt idx="3">
                  <c:v>114.691916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32103684"/>
        <c:axId val="939975828"/>
      </c:barChart>
      <c:lineChart>
        <c:grouping val="standard"/>
        <c:varyColors val="0"/>
        <c:ser>
          <c:idx val="2"/>
          <c:order val="2"/>
          <c:tx>
            <c:strRef>
              <c:f>君康经纪!$F$1</c:f>
              <c:strCache>
                <c:ptCount val="1"/>
                <c:pt idx="0">
                  <c:v>年度目标达成率</c:v>
                </c:pt>
              </c:strCache>
            </c:strRef>
          </c:tx>
          <c:spPr>
            <a:ln w="28575" cap="rnd" cmpd="sng" algn="ctr">
              <a:solidFill>
                <a:schemeClr val="accent3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 cap="flat" cmpd="sng" algn="ctr">
                <a:solidFill>
                  <a:schemeClr val="accent3"/>
                </a:solidFill>
                <a:prstDash val="solid"/>
                <a:round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700" b="0" i="0" u="none" strike="noStrike" kern="1200" baseline="0">
                    <a:solidFill>
                      <a:schemeClr val="tx2"/>
                    </a:solidFill>
                    <a:latin typeface="+mn-ea"/>
                    <a:ea typeface="+mn-ea"/>
                    <a:cs typeface="+mn-ea"/>
                    <a:sym typeface="+mn-ea"/>
                  </a:defRPr>
                </a:pPr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cat>
            <c:strRef>
              <c:f>君康经纪!$C$2:$C$5</c:f>
              <c:strCache>
                <c:ptCount val="4"/>
                <c:pt idx="0">
                  <c:v>营业收入</c:v>
                </c:pt>
                <c:pt idx="1">
                  <c:v>扣非利润</c:v>
                </c:pt>
                <c:pt idx="2">
                  <c:v>经营活动净现金流</c:v>
                </c:pt>
                <c:pt idx="3">
                  <c:v>经营支出</c:v>
                </c:pt>
              </c:strCache>
            </c:strRef>
          </c:cat>
          <c:val>
            <c:numRef>
              <c:f>君康经纪!$F$2:$F$5</c:f>
              <c:numCache>
                <c:formatCode>_ * #,##0.00%_ ;[Red]_ * \-#,##0.00%_ ;_ * "-"??_ ;_ @_ </c:formatCode>
                <c:ptCount val="4"/>
                <c:pt idx="0">
                  <c:v>0.0534063670070687</c:v>
                </c:pt>
                <c:pt idx="1">
                  <c:v>0</c:v>
                </c:pt>
                <c:pt idx="2">
                  <c:v>0</c:v>
                </c:pt>
                <c:pt idx="3">
                  <c:v>0.194039276306132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40967508"/>
        <c:axId val="81023907"/>
      </c:lineChart>
      <c:catAx>
        <c:axId val="932103684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  <a:effectLst/>
        </c:spPr>
        <c:txPr>
          <a:bodyPr rot="42000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2"/>
                </a:solidFill>
                <a:latin typeface="+mn-ea"/>
                <a:ea typeface="+mn-ea"/>
                <a:cs typeface="+mn-ea"/>
                <a:sym typeface="+mn-ea"/>
              </a:defRPr>
            </a:pPr>
          </a:p>
        </c:txPr>
        <c:crossAx val="939975828"/>
        <c:crosses val="autoZero"/>
        <c:auto val="1"/>
        <c:lblAlgn val="ctr"/>
        <c:lblOffset val="100"/>
        <c:noMultiLvlLbl val="0"/>
      </c:catAx>
      <c:valAx>
        <c:axId val="9399758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prstDash val="solid"/>
              <a:round/>
            </a:ln>
            <a:effectLst/>
          </c:spPr>
        </c:majorGridlines>
        <c:numFmt formatCode="#,##0_);[Red]\(#,##0\)" sourceLinked="0"/>
        <c:majorTickMark val="none"/>
        <c:minorTickMark val="none"/>
        <c:tickLblPos val="nextTo"/>
        <c:spPr>
          <a:noFill/>
          <a:ln w="12700" cap="flat" cmpd="sng" algn="ctr">
            <a:noFill/>
            <a:prstDash val="solid"/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2"/>
                </a:solidFill>
                <a:latin typeface="+mn-ea"/>
                <a:ea typeface="+mn-ea"/>
                <a:cs typeface="+mn-ea"/>
                <a:sym typeface="+mn-ea"/>
              </a:defRPr>
            </a:pPr>
          </a:p>
        </c:txPr>
        <c:crossAx val="932103684"/>
        <c:crosses val="autoZero"/>
        <c:crossBetween val="between"/>
      </c:valAx>
      <c:catAx>
        <c:axId val="840967508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2"/>
                </a:solidFill>
                <a:latin typeface="+mn-ea"/>
                <a:ea typeface="+mn-ea"/>
                <a:cs typeface="+mn-ea"/>
                <a:sym typeface="+mn-ea"/>
              </a:defRPr>
            </a:pPr>
          </a:p>
        </c:txPr>
        <c:crossAx val="81023907"/>
        <c:crosses val="autoZero"/>
        <c:auto val="1"/>
        <c:lblAlgn val="ctr"/>
        <c:lblOffset val="100"/>
        <c:noMultiLvlLbl val="0"/>
      </c:catAx>
      <c:valAx>
        <c:axId val="81023907"/>
        <c:scaling>
          <c:orientation val="minMax"/>
        </c:scaling>
        <c:delete val="0"/>
        <c:axPos val="r"/>
        <c:numFmt formatCode="0%" sourceLinked="0"/>
        <c:majorTickMark val="out"/>
        <c:minorTickMark val="none"/>
        <c:tickLblPos val="nextTo"/>
        <c:spPr>
          <a:noFill/>
          <a:ln w="12700" cap="flat" cmpd="sng" algn="ctr">
            <a:noFill/>
            <a:prstDash val="solid"/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2"/>
                </a:solidFill>
                <a:latin typeface="+mn-ea"/>
                <a:ea typeface="+mn-ea"/>
                <a:cs typeface="+mn-ea"/>
                <a:sym typeface="+mn-ea"/>
              </a:defRPr>
            </a:pPr>
          </a:p>
        </c:txPr>
        <c:crossAx val="840967508"/>
        <c:crosses val="max"/>
        <c:crossBetween val="between"/>
      </c:valAx>
      <c:spPr>
        <a:noFill/>
        <a:ln>
          <a:noFill/>
        </a:ln>
        <a:effectLst/>
      </c:spPr>
    </c:plotArea>
    <c:legend>
      <c:legendPos val="r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2"/>
                </a:solidFill>
                <a:latin typeface="+mn-ea"/>
                <a:ea typeface="+mn-ea"/>
                <a:cs typeface="+mn-ea"/>
                <a:sym typeface="+mn-ea"/>
              </a:defRPr>
            </a:pPr>
          </a:p>
        </c:txPr>
      </c:legendEntry>
      <c:legendEntry>
        <c:idx val="1"/>
        <c:txPr>
          <a:bodyPr rot="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2"/>
                </a:solidFill>
                <a:latin typeface="+mn-ea"/>
                <a:ea typeface="+mn-ea"/>
                <a:cs typeface="+mn-ea"/>
                <a:sym typeface="+mn-ea"/>
              </a:defRPr>
            </a:pPr>
          </a:p>
        </c:txPr>
      </c:legendEntry>
      <c:legendEntry>
        <c:idx val="2"/>
        <c:txPr>
          <a:bodyPr rot="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2"/>
                </a:solidFill>
                <a:latin typeface="+mn-ea"/>
                <a:ea typeface="+mn-ea"/>
                <a:cs typeface="+mn-ea"/>
                <a:sym typeface="+mn-ea"/>
              </a:defRPr>
            </a:pPr>
          </a:p>
        </c:txPr>
      </c:legendEntry>
      <c:layout>
        <c:manualLayout>
          <c:xMode val="edge"/>
          <c:yMode val="edge"/>
          <c:x val="0.0055"/>
          <c:y val="0.07925"/>
          <c:w val="0.98675"/>
          <c:h val="0.102"/>
        </c:manualLayout>
      </c:layout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700" b="0" i="0" u="none" strike="noStrike" kern="1200" baseline="0">
              <a:solidFill>
                <a:schemeClr val="tx2"/>
              </a:solidFill>
              <a:latin typeface="+mn-ea"/>
              <a:ea typeface="+mn-ea"/>
              <a:cs typeface="+mn-ea"/>
              <a:sym typeface="+mn-ea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803fba1c-4ed6-473e-ad80-fbc437c3273e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  <a:effectLst>
      <a:outerShdw blurRad="50800" dist="38100" dir="13500000" algn="br" rotWithShape="0">
        <a:prstClr val="black">
          <a:alpha val="40000"/>
        </a:prstClr>
      </a:outerShdw>
    </a:effectLst>
  </c:spPr>
  <c:txPr>
    <a:bodyPr wrap="square"/>
    <a:lstStyle/>
    <a:p>
      <a:pPr>
        <a:defRPr lang="zh-CN" sz="700">
          <a:solidFill>
            <a:schemeClr val="tx2"/>
          </a:solidFill>
          <a:latin typeface="+mn-ea"/>
          <a:ea typeface="+mn-ea"/>
          <a:cs typeface="+mn-ea"/>
          <a:sym typeface="+mn-ea"/>
        </a:defRPr>
      </a:pPr>
    </a:p>
  </c:txPr>
  <c:printSettings>
    <c:headerFooter/>
    <c:pageMargins b="0.75" l="0.7" r="0.7" t="0.75" header="0.3" footer="0.3"/>
    <c:pageSetup/>
  </c:printSettings>
</c:chartSpace>
</file>

<file path=xl/charts/chart5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000" b="1" i="0" u="none" strike="noStrike" kern="1200" baseline="0">
                <a:solidFill>
                  <a:schemeClr val="tx2"/>
                </a:solidFill>
                <a:latin typeface="+mn-ea"/>
                <a:ea typeface="+mn-ea"/>
                <a:cs typeface="+mn-ea"/>
                <a:sym typeface="+mn-ea"/>
              </a:defRPr>
            </a:pPr>
            <a:r>
              <a:rPr lang="zh-CN" altLang="en-US" sz="1000">
                <a:solidFill>
                  <a:schemeClr val="tx2"/>
                </a:solidFill>
                <a:latin typeface="+mn-ea"/>
                <a:ea typeface="+mn-ea"/>
                <a:cs typeface="+mn-ea"/>
                <a:sym typeface="+mn-ea"/>
              </a:rPr>
              <a:t>营收比较</a:t>
            </a:r>
            <a:endParaRPr lang="zh-CN" altLang="en-US" sz="1000" b="1" i="0" u="none" strike="noStrike" baseline="0">
              <a:solidFill>
                <a:schemeClr val="tx2"/>
              </a:solidFill>
              <a:latin typeface="+mn-ea"/>
              <a:ea typeface="+mn-ea"/>
              <a:cs typeface="+mn-ea"/>
              <a:sym typeface="+mn-ea"/>
            </a:endParaRPr>
          </a:p>
        </c:rich>
      </c:tx>
      <c:layout>
        <c:manualLayout>
          <c:xMode val="edge"/>
          <c:yMode val="edge"/>
          <c:x val="0.457999545333275"/>
          <c:y val="0.00653879686137751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0936844043454244"/>
          <c:y val="0.188705554264467"/>
          <c:w val="0.900791751058737"/>
          <c:h val="0.732558679990704"/>
        </c:manualLayout>
      </c:layout>
      <c:barChart>
        <c:barDir val="col"/>
        <c:grouping val="clustered"/>
        <c:varyColors val="0"/>
        <c:ser>
          <c:idx val="1"/>
          <c:order val="1"/>
          <c:tx>
            <c:strRef>
              <c:f>君康经纪!$F$35</c:f>
              <c:strCache>
                <c:ptCount val="1"/>
                <c:pt idx="0">
                  <c:v>同期营收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君康经纪!$G$33:$R$33</c:f>
              <c:strCache>
                <c:ptCount val="12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</c:strCache>
            </c:strRef>
          </c:cat>
          <c:val>
            <c:numRef>
              <c:f>君康经纪!$G$35:$R$35</c:f>
              <c:numCache>
                <c:formatCode>_ * #,##0.00_ ;[Red]_ * \-#,##0.00_ ;_ * "-"??_ ;_ @_ </c:formatCode>
                <c:ptCount val="12"/>
                <c:pt idx="0">
                  <c:v>16.512047</c:v>
                </c:pt>
                <c:pt idx="1">
                  <c:v>14.980842</c:v>
                </c:pt>
                <c:pt idx="2">
                  <c:v>28.14216</c:v>
                </c:pt>
                <c:pt idx="3">
                  <c:v>27.797814</c:v>
                </c:pt>
                <c:pt idx="4">
                  <c:v>21.950714</c:v>
                </c:pt>
                <c:pt idx="5">
                  <c:v>18.660004</c:v>
                </c:pt>
                <c:pt idx="6">
                  <c:v>12.630675</c:v>
                </c:pt>
                <c:pt idx="7">
                  <c:v>27.603272</c:v>
                </c:pt>
                <c:pt idx="8">
                  <c:v>10.559486</c:v>
                </c:pt>
                <c:pt idx="9">
                  <c:v>16.441937</c:v>
                </c:pt>
                <c:pt idx="10">
                  <c:v>7.291591</c:v>
                </c:pt>
                <c:pt idx="11">
                  <c:v>5.843275</c:v>
                </c:pt>
              </c:numCache>
            </c:numRef>
          </c:val>
        </c:ser>
        <c:ser>
          <c:idx val="2"/>
          <c:order val="2"/>
          <c:tx>
            <c:strRef>
              <c:f>君康经纪!$F$36</c:f>
              <c:strCache>
                <c:ptCount val="1"/>
                <c:pt idx="0">
                  <c:v>营收分解计划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君康经纪!$G$33:$R$33</c:f>
              <c:strCache>
                <c:ptCount val="12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</c:strCache>
            </c:strRef>
          </c:cat>
          <c:val>
            <c:numRef>
              <c:f>君康经纪!$G$36:$R$36</c:f>
              <c:numCache>
                <c:formatCode>_ * #,##0.00_ ;[Red]_ * \-#,##0.00_ ;_ * "-"??_ ;_ @_ 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18447264"/>
        <c:axId val="39898357"/>
      </c:barChart>
      <c:scatterChart>
        <c:scatterStyle val="smoothMarker"/>
        <c:varyColors val="0"/>
        <c:ser>
          <c:idx val="0"/>
          <c:order val="0"/>
          <c:tx>
            <c:strRef>
              <c:f>君康经纪!$F$34</c:f>
              <c:strCache>
                <c:ptCount val="1"/>
                <c:pt idx="0">
                  <c:v>营业收入</c:v>
                </c:pt>
              </c:strCache>
            </c:strRef>
          </c:tx>
          <c:spPr>
            <a:ln w="28575" cap="rnd" cmpd="sng" algn="ctr">
              <a:solidFill>
                <a:schemeClr val="accent1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 cap="flat" cmpd="sng" algn="ctr">
                <a:solidFill>
                  <a:schemeClr val="accent1"/>
                </a:solidFill>
                <a:prstDash val="solid"/>
                <a:round/>
              </a:ln>
              <a:effectLst/>
            </c:spPr>
          </c:marker>
          <c:dLbls>
            <c:delete val="1"/>
          </c:dLbls>
          <c:xVal>
            <c:strRef>
              <c:f>君康经纪!$G$33:$R$33</c:f>
              <c:strCache>
                <c:ptCount val="12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</c:strCache>
            </c:strRef>
          </c:xVal>
          <c:yVal>
            <c:numRef>
              <c:f>君康经纪!$G$34:$R$34</c:f>
              <c:numCache>
                <c:formatCode>_ * #,##0.00_ ;[Red]_ * \-#,##0.00_ ;_ * "-"??_ ;_ @_ </c:formatCode>
                <c:ptCount val="12"/>
                <c:pt idx="0">
                  <c:v>21.123507</c:v>
                </c:pt>
                <c:pt idx="1">
                  <c:v>5.293431</c:v>
                </c:pt>
                <c:pt idx="2">
                  <c:v>8.220388</c:v>
                </c:pt>
                <c:pt idx="3">
                  <c:v>0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18447264"/>
        <c:axId val="39898357"/>
      </c:scatterChart>
      <c:catAx>
        <c:axId val="518447264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2"/>
                </a:solidFill>
                <a:latin typeface="OPPO Sans 4.0" panose="00000500000000000000" charset="-122"/>
                <a:ea typeface="OPPO Sans 4.0" panose="00000500000000000000" charset="-122"/>
                <a:cs typeface="OPPO Sans 4.0" panose="00000500000000000000" charset="-122"/>
                <a:sym typeface="OPPO Sans 4.0" panose="00000500000000000000" charset="-122"/>
              </a:defRPr>
            </a:pPr>
          </a:p>
        </c:txPr>
        <c:crossAx val="39898357"/>
        <c:crosses val="autoZero"/>
        <c:auto val="1"/>
        <c:lblAlgn val="ctr"/>
        <c:lblOffset val="100"/>
        <c:noMultiLvlLbl val="0"/>
      </c:catAx>
      <c:valAx>
        <c:axId val="3989835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prstDash val="solid"/>
              <a:round/>
            </a:ln>
            <a:effectLst/>
          </c:spPr>
        </c:majorGridlines>
        <c:numFmt formatCode="#,##0_);[Red]\(#,##0\)" sourceLinked="0"/>
        <c:majorTickMark val="none"/>
        <c:minorTickMark val="none"/>
        <c:tickLblPos val="nextTo"/>
        <c:spPr>
          <a:noFill/>
          <a:ln w="12700" cap="flat" cmpd="sng" algn="ctr">
            <a:noFill/>
            <a:prstDash val="solid"/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2"/>
                </a:solidFill>
                <a:latin typeface="OPPO Sans 4.0" panose="00000500000000000000" charset="-122"/>
                <a:ea typeface="OPPO Sans 4.0" panose="00000500000000000000" charset="-122"/>
                <a:cs typeface="OPPO Sans 4.0" panose="00000500000000000000" charset="-122"/>
                <a:sym typeface="OPPO Sans 4.0" panose="00000500000000000000" charset="-122"/>
              </a:defRPr>
            </a:pPr>
          </a:p>
        </c:txPr>
        <c:crossAx val="5184472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2"/>
                </a:solidFill>
                <a:latin typeface="OPPO Sans 4.0" panose="00000500000000000000" charset="-122"/>
                <a:ea typeface="OPPO Sans 4.0" panose="00000500000000000000" charset="-122"/>
                <a:cs typeface="OPPO Sans 4.0" panose="00000500000000000000" charset="-122"/>
                <a:sym typeface="OPPO Sans 4.0" panose="00000500000000000000" charset="-122"/>
              </a:defRPr>
            </a:pPr>
          </a:p>
        </c:txPr>
      </c:legendEntry>
      <c:legendEntry>
        <c:idx val="1"/>
        <c:txPr>
          <a:bodyPr rot="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2"/>
                </a:solidFill>
                <a:latin typeface="OPPO Sans 4.0" panose="00000500000000000000" charset="-122"/>
                <a:ea typeface="OPPO Sans 4.0" panose="00000500000000000000" charset="-122"/>
                <a:cs typeface="OPPO Sans 4.0" panose="00000500000000000000" charset="-122"/>
                <a:sym typeface="OPPO Sans 4.0" panose="00000500000000000000" charset="-122"/>
              </a:defRPr>
            </a:pPr>
          </a:p>
        </c:txPr>
      </c:legendEntry>
      <c:legendEntry>
        <c:idx val="2"/>
        <c:txPr>
          <a:bodyPr rot="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2"/>
                </a:solidFill>
                <a:latin typeface="OPPO Sans 4.0" panose="00000500000000000000" charset="-122"/>
                <a:ea typeface="OPPO Sans 4.0" panose="00000500000000000000" charset="-122"/>
                <a:cs typeface="OPPO Sans 4.0" panose="00000500000000000000" charset="-122"/>
                <a:sym typeface="OPPO Sans 4.0" panose="00000500000000000000" charset="-122"/>
              </a:defRPr>
            </a:pPr>
          </a:p>
        </c:txPr>
      </c:legendEntry>
      <c:layout>
        <c:manualLayout>
          <c:xMode val="edge"/>
          <c:yMode val="edge"/>
          <c:x val="0.0055"/>
          <c:y val="0.08175"/>
          <c:w val="0.9905"/>
          <c:h val="0.10675"/>
        </c:manualLayout>
      </c:layout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700" b="0" i="0" u="none" strike="noStrike" kern="1200" baseline="0">
              <a:solidFill>
                <a:schemeClr val="tx2"/>
              </a:solidFill>
              <a:latin typeface="OPPO Sans 4.0" panose="00000500000000000000" charset="-122"/>
              <a:ea typeface="OPPO Sans 4.0" panose="00000500000000000000" charset="-122"/>
              <a:cs typeface="OPPO Sans 4.0" panose="00000500000000000000" charset="-122"/>
              <a:sym typeface="OPPO Sans 4.0" panose="00000500000000000000" charset="-122"/>
            </a:defRPr>
          </a:pPr>
        </a:p>
      </c:txPr>
    </c:legend>
    <c:plotVisOnly val="0"/>
    <c:dispBlanksAs val="gap"/>
    <c:showDLblsOverMax val="0"/>
    <c:extLst>
      <c:ext uri="{0b15fc19-7d7d-44ad-8c2d-2c3a37ce22c3}">
        <chartProps xmlns="https://web.wps.cn/et/2018/main" chartId="{719cc807-b815-49ce-ae64-8e2aa84b3d3b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  <a:effectLst>
      <a:outerShdw blurRad="50800" dist="38100" dir="13500000" algn="br" rotWithShape="0">
        <a:prstClr val="black">
          <a:alpha val="40000"/>
        </a:prstClr>
      </a:outerShdw>
    </a:effectLst>
  </c:spPr>
  <c:txPr>
    <a:bodyPr wrap="square"/>
    <a:lstStyle/>
    <a:p>
      <a:pPr>
        <a:defRPr lang="zh-CN" sz="700">
          <a:solidFill>
            <a:schemeClr val="tx2"/>
          </a:solidFill>
          <a:latin typeface="OPPO Sans 4.0" panose="00000500000000000000" charset="-122"/>
          <a:ea typeface="OPPO Sans 4.0" panose="00000500000000000000" charset="-122"/>
          <a:cs typeface="OPPO Sans 4.0" panose="00000500000000000000" charset="-122"/>
          <a:sym typeface="OPPO Sans 4.0" panose="00000500000000000000" charset="-122"/>
        </a:defRPr>
      </a:pPr>
    </a:p>
  </c:txPr>
  <c:printSettings>
    <c:headerFooter/>
    <c:pageMargins b="0.75" l="0.7" r="0.7" t="0.75" header="0.3" footer="0.3"/>
    <c:pageSetup/>
  </c:printSettings>
</c:chartSpace>
</file>

<file path=xl/charts/chart5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 forceAA="0"/>
          <a:lstStyle/>
          <a:p>
            <a:pPr>
              <a:defRPr lang="zh-CN" sz="1000" b="1" i="0" u="none" strike="noStrike" kern="1200" baseline="0">
                <a:solidFill>
                  <a:schemeClr val="tx2"/>
                </a:solidFill>
                <a:latin typeface="+mn-ea"/>
                <a:ea typeface="+mn-ea"/>
                <a:cs typeface="+mn-ea"/>
                <a:sym typeface="+mn-ea"/>
              </a:defRPr>
            </a:pPr>
            <a:r>
              <a:rPr lang="zh-CN" altLang="en-US" sz="1000" b="1">
                <a:solidFill>
                  <a:schemeClr val="tx2"/>
                </a:solidFill>
                <a:latin typeface="+mn-ea"/>
                <a:ea typeface="+mn-ea"/>
                <a:cs typeface="+mn-ea"/>
                <a:sym typeface="+mn-ea"/>
              </a:rPr>
              <a:t>指标趋势</a:t>
            </a:r>
            <a:endParaRPr lang="zh-CN" altLang="en-US" sz="1000" b="1" i="0" u="none" strike="noStrike" baseline="0">
              <a:solidFill>
                <a:schemeClr val="tx2"/>
              </a:solidFill>
              <a:latin typeface="+mn-ea"/>
              <a:ea typeface="+mn-ea"/>
              <a:cs typeface="+mn-ea"/>
              <a:sym typeface="+mn-ea"/>
            </a:endParaRPr>
          </a:p>
        </c:rich>
      </c:tx>
      <c:layout>
        <c:manualLayout>
          <c:xMode val="edge"/>
          <c:yMode val="edge"/>
          <c:x val="0.417274939172749"/>
          <c:y val="0.00524292205522545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63542625667465"/>
          <c:y val="0.188705554264467"/>
          <c:w val="0.830933529736697"/>
          <c:h val="0.722240297466884"/>
        </c:manualLayout>
      </c:layout>
      <c:lineChart>
        <c:grouping val="standard"/>
        <c:varyColors val="0"/>
        <c:ser>
          <c:idx val="0"/>
          <c:order val="0"/>
          <c:tx>
            <c:strRef>
              <c:f>君康经纪!$F$40</c:f>
              <c:strCache>
                <c:ptCount val="1"/>
                <c:pt idx="0">
                  <c:v>营业收入</c:v>
                </c:pt>
              </c:strCache>
            </c:strRef>
          </c:tx>
          <c:spPr>
            <a:ln w="31750" cap="rnd" cmpd="sng" algn="ctr">
              <a:solidFill>
                <a:schemeClr val="accent1"/>
              </a:solidFill>
              <a:prstDash val="solid"/>
              <a:round/>
            </a:ln>
            <a:effectLst/>
          </c:spPr>
          <c:marker>
            <c:symbol val="circle"/>
            <c:size val="7"/>
            <c:spPr>
              <a:solidFill>
                <a:schemeClr val="accent1"/>
              </a:solidFill>
              <a:ln w="28575" cap="flat" cmpd="sng" algn="ctr">
                <a:noFill/>
                <a:prstDash val="solid"/>
                <a:round/>
              </a:ln>
            </c:spPr>
          </c:marker>
          <c:dLbls>
            <c:delete val="1"/>
          </c:dLbls>
          <c:cat>
            <c:strRef>
              <c:f>君康经纪!$G$39:$R$39</c:f>
              <c:strCache>
                <c:ptCount val="12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</c:strCache>
            </c:strRef>
          </c:cat>
          <c:val>
            <c:numRef>
              <c:f>君康经纪!$G$40:$R$40</c:f>
              <c:numCache>
                <c:formatCode>_ * #,##0.00_ ;_ * \-#,##0.00_ ;_ * "-"??_ ;_ @_ </c:formatCode>
                <c:ptCount val="12"/>
                <c:pt idx="0">
                  <c:v>21.123507</c:v>
                </c:pt>
                <c:pt idx="1">
                  <c:v>5.293431</c:v>
                </c:pt>
                <c:pt idx="2">
                  <c:v>8.220388</c:v>
                </c:pt>
                <c:pt idx="3">
                  <c:v>0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君康经纪!$F$41</c:f>
              <c:strCache>
                <c:ptCount val="1"/>
                <c:pt idx="0">
                  <c:v>扣非利润</c:v>
                </c:pt>
              </c:strCache>
            </c:strRef>
          </c:tx>
          <c:spPr>
            <a:ln w="31750" cap="rnd" cmpd="sng" algn="ctr">
              <a:solidFill>
                <a:schemeClr val="accent2"/>
              </a:solidFill>
              <a:prstDash val="solid"/>
              <a:round/>
            </a:ln>
          </c:spPr>
          <c:marker>
            <c:symbol val="circle"/>
            <c:size val="7"/>
            <c:spPr>
              <a:solidFill>
                <a:schemeClr val="accent2"/>
              </a:solidFill>
              <a:ln w="28575" cap="flat" cmpd="sng" algn="ctr">
                <a:noFill/>
                <a:prstDash val="solid"/>
                <a:round/>
              </a:ln>
            </c:spPr>
          </c:marker>
          <c:dLbls>
            <c:delete val="1"/>
          </c:dLbls>
          <c:cat>
            <c:strRef>
              <c:f>君康经纪!$G$39:$R$39</c:f>
              <c:strCache>
                <c:ptCount val="12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</c:strCache>
            </c:strRef>
          </c:cat>
          <c:val>
            <c:numRef>
              <c:f>君康经纪!$G$41:$R$41</c:f>
              <c:numCache>
                <c:formatCode>_ * #,##0.00_ ;_ * \-#,##0.00_ ;_ * "-"??_ ;_ @_ </c:formatCode>
                <c:ptCount val="12"/>
                <c:pt idx="0">
                  <c:v>-32.5747</c:v>
                </c:pt>
                <c:pt idx="1">
                  <c:v>-39.343258</c:v>
                </c:pt>
                <c:pt idx="2">
                  <c:v>-9.372579</c:v>
                </c:pt>
                <c:pt idx="3">
                  <c:v>0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君康经纪!$F$42</c:f>
              <c:strCache>
                <c:ptCount val="1"/>
                <c:pt idx="0">
                  <c:v>经营活动净现金流</c:v>
                </c:pt>
              </c:strCache>
            </c:strRef>
          </c:tx>
          <c:spPr>
            <a:ln w="31750" cap="rnd" cmpd="sng" algn="ctr">
              <a:solidFill>
                <a:schemeClr val="accent3"/>
              </a:solidFill>
              <a:prstDash val="solid"/>
              <a:round/>
            </a:ln>
          </c:spPr>
          <c:marker>
            <c:symbol val="circle"/>
            <c:size val="7"/>
            <c:spPr>
              <a:solidFill>
                <a:schemeClr val="accent3"/>
              </a:solidFill>
              <a:ln w="28575" cap="flat" cmpd="sng" algn="ctr">
                <a:noFill/>
                <a:prstDash val="solid"/>
                <a:round/>
              </a:ln>
            </c:spPr>
          </c:marker>
          <c:dLbls>
            <c:delete val="1"/>
          </c:dLbls>
          <c:cat>
            <c:strRef>
              <c:f>君康经纪!$G$39:$R$39</c:f>
              <c:strCache>
                <c:ptCount val="12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</c:strCache>
            </c:strRef>
          </c:cat>
          <c:val>
            <c:numRef>
              <c:f>君康经纪!$G$42:$R$42</c:f>
              <c:numCache>
                <c:formatCode>_ * #,##0.00_ ;_ * \-#,##0.00_ ;_ * "-"??_ ;_ @_ </c:formatCode>
                <c:ptCount val="12"/>
                <c:pt idx="0">
                  <c:v>-24.505483</c:v>
                </c:pt>
                <c:pt idx="1">
                  <c:v>0.032856</c:v>
                </c:pt>
                <c:pt idx="2">
                  <c:v>-56.605711</c:v>
                </c:pt>
                <c:pt idx="3">
                  <c:v>0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君康经纪!$F$43</c:f>
              <c:strCache>
                <c:ptCount val="1"/>
                <c:pt idx="0">
                  <c:v>经营支出小计</c:v>
                </c:pt>
              </c:strCache>
            </c:strRef>
          </c:tx>
          <c:spPr>
            <a:ln w="31750" cap="rnd" cmpd="sng" algn="ctr">
              <a:solidFill>
                <a:schemeClr val="accent4"/>
              </a:solidFill>
              <a:prstDash val="solid"/>
              <a:round/>
            </a:ln>
          </c:spPr>
          <c:marker>
            <c:symbol val="circle"/>
            <c:size val="7"/>
            <c:spPr>
              <a:solidFill>
                <a:schemeClr val="accent4"/>
              </a:solidFill>
              <a:ln w="28575" cap="flat" cmpd="sng" algn="ctr">
                <a:noFill/>
                <a:prstDash val="solid"/>
                <a:round/>
              </a:ln>
            </c:spPr>
          </c:marker>
          <c:dLbls>
            <c:delete val="1"/>
          </c:dLbls>
          <c:cat>
            <c:strRef>
              <c:f>君康经纪!$G$39:$R$39</c:f>
              <c:strCache>
                <c:ptCount val="12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</c:strCache>
            </c:strRef>
          </c:cat>
          <c:val>
            <c:numRef>
              <c:f>君康经纪!$G$43:$R$43</c:f>
              <c:numCache>
                <c:formatCode>_ * #,##0.00_ ;_ * \-#,##0.00_ ;_ * "-"??_ ;_ @_ </c:formatCode>
                <c:ptCount val="12"/>
                <c:pt idx="0">
                  <c:v>45.380984</c:v>
                </c:pt>
                <c:pt idx="1">
                  <c:v>36.885018</c:v>
                </c:pt>
                <c:pt idx="2">
                  <c:v>32.425914</c:v>
                </c:pt>
                <c:pt idx="3">
                  <c:v>0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94623173"/>
        <c:axId val="521584672"/>
      </c:lineChart>
      <c:catAx>
        <c:axId val="894623173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low"/>
        <c:spPr>
          <a:noFill/>
          <a:ln w="6350" cap="flat" cmpd="sng" algn="ctr">
            <a:noFill/>
            <a:prstDash val="solid"/>
            <a:round/>
          </a:ln>
        </c:spPr>
        <c:txPr>
          <a:bodyPr rot="-60000000" spcFirstLastPara="0" vertOverflow="ellipsis" vert="horz" wrap="square" anchor="ctr" anchorCtr="1" forceAA="0"/>
          <a:lstStyle/>
          <a:p>
            <a:pPr>
              <a:defRPr lang="zh-CN" sz="800" b="0" i="0" u="none" strike="noStrike" kern="1200" baseline="0">
                <a:solidFill>
                  <a:schemeClr val="tx2"/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</a:p>
        </c:txPr>
        <c:crossAx val="521584672"/>
        <c:crosses val="autoZero"/>
        <c:auto val="1"/>
        <c:lblAlgn val="ctr"/>
        <c:lblOffset val="100"/>
        <c:noMultiLvlLbl val="0"/>
      </c:catAx>
      <c:valAx>
        <c:axId val="5215846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90000"/>
                </a:schemeClr>
              </a:solidFill>
              <a:prstDash val="solid"/>
              <a:round/>
            </a:ln>
          </c:spPr>
        </c:majorGridlines>
        <c:numFmt formatCode="_ * #,##0.00_ ;_ * \-#,##0.00_ ;_ * &quot;-&quot;??_ ;_ @_ " sourceLinked="1"/>
        <c:majorTickMark val="none"/>
        <c:minorTickMark val="in"/>
        <c:tickLblPos val="low"/>
        <c:spPr>
          <a:noFill/>
          <a:ln w="6350" cap="flat" cmpd="sng" algn="ctr">
            <a:noFill/>
            <a:prstDash val="solid"/>
            <a:round/>
          </a:ln>
        </c:spPr>
        <c:txPr>
          <a:bodyPr rot="-60000000" spcFirstLastPara="0" vertOverflow="ellipsis" vert="horz" wrap="square" anchor="ctr" anchorCtr="1" forceAA="0"/>
          <a:lstStyle/>
          <a:p>
            <a:pPr>
              <a:defRPr lang="zh-CN" sz="800" b="0" i="0" u="none" strike="noStrike" kern="1200" baseline="0">
                <a:solidFill>
                  <a:schemeClr val="tx2"/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</a:p>
        </c:txPr>
        <c:crossAx val="894623173"/>
        <c:crosses val="autoZero"/>
        <c:crossBetween val="between"/>
      </c:valAx>
      <c:spPr>
        <a:noFill/>
      </c:spPr>
    </c:plotArea>
    <c:legend>
      <c:legendPos val="r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2"/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</a:p>
        </c:txPr>
      </c:legendEntry>
      <c:legendEntry>
        <c:idx val="1"/>
        <c:txPr>
          <a:bodyPr rot="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2"/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</a:p>
        </c:txPr>
      </c:legendEntry>
      <c:legendEntry>
        <c:idx val="2"/>
        <c:txPr>
          <a:bodyPr rot="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2"/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</a:p>
        </c:txPr>
      </c:legendEntry>
      <c:legendEntry>
        <c:idx val="3"/>
        <c:txPr>
          <a:bodyPr rot="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2"/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</a:p>
        </c:txPr>
      </c:legendEntry>
      <c:layout>
        <c:manualLayout>
          <c:xMode val="edge"/>
          <c:yMode val="edge"/>
          <c:x val="0.0055"/>
          <c:y val="0.08625"/>
          <c:w val="0.99075"/>
          <c:h val="0.102"/>
        </c:manualLayout>
      </c:layout>
      <c:overlay val="0"/>
      <c:txPr>
        <a:bodyPr rot="0" spcFirstLastPara="0" vertOverflow="ellipsis" vert="horz" wrap="square" anchor="ctr" anchorCtr="1"/>
        <a:lstStyle/>
        <a:p>
          <a:pPr>
            <a:defRPr lang="zh-CN" sz="700" b="0" i="0" u="none" strike="noStrike" kern="1200" baseline="0">
              <a:solidFill>
                <a:schemeClr val="tx2"/>
              </a:solidFill>
              <a:latin typeface="微软雅黑" panose="020B0503020204020204" charset="-122"/>
              <a:ea typeface="微软雅黑" panose="020B0503020204020204" charset="-122"/>
              <a:cs typeface="微软雅黑" panose="020B0503020204020204" charset="-122"/>
              <a:sym typeface="微软雅黑" panose="020B0503020204020204" charset="-122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e82f34e9-80d3-48ff-af2e-0c2c1135dec0}"/>
      </c:ext>
    </c:extLst>
  </c:chart>
  <c:spPr>
    <a:solidFill>
      <a:schemeClr val="bg1"/>
    </a:solidFill>
    <a:ln w="6350" cap="flat" cmpd="sng" algn="ctr">
      <a:solidFill>
        <a:schemeClr val="tx1">
          <a:lumMod val="50000"/>
          <a:lumOff val="50000"/>
          <a:alpha val="25000"/>
        </a:schemeClr>
      </a:solidFill>
      <a:prstDash val="solid"/>
      <a:round/>
    </a:ln>
    <a:effectLst>
      <a:outerShdw blurRad="50800" dist="38100" dir="13500000" algn="br" rotWithShape="0">
        <a:prstClr val="black">
          <a:alpha val="40000"/>
        </a:prstClr>
      </a:outerShdw>
    </a:effectLst>
  </c:spPr>
  <c:txPr>
    <a:bodyPr wrap="square"/>
    <a:lstStyle/>
    <a:p>
      <a:pPr>
        <a:defRPr lang="zh-CN" sz="1000" b="0">
          <a:solidFill>
            <a:schemeClr val="tx2"/>
          </a:solidFill>
          <a:latin typeface="微软雅黑" panose="020B0503020204020204" charset="-122"/>
          <a:ea typeface="微软雅黑" panose="020B0503020204020204" charset="-122"/>
          <a:cs typeface="微软雅黑" panose="020B0503020204020204" charset="-122"/>
          <a:sym typeface="微软雅黑" panose="020B0503020204020204" charset="-122"/>
        </a:defRPr>
      </a:pPr>
    </a:p>
  </c:txPr>
  <c:printSettings>
    <c:headerFooter/>
    <c:pageMargins b="0.75" l="0.7" r="0.7" t="0.75" header="0.3" footer="0.3"/>
    <c:pageSetup/>
  </c:printSettings>
</c:chartSpace>
</file>

<file path=xl/charts/chart5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4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7" charset="0"/>
                <a:ea typeface="微软雅黑" panose="020B0503020204020204" charset="-122"/>
                <a:cs typeface="Arial" panose="020B0604020202020204" pitchFamily="7" charset="0"/>
              </a:defRPr>
            </a:pPr>
            <a:r>
              <a:rPr lang="zh-CN" altLang="en-US" sz="1440"/>
              <a:t>成本结构</a:t>
            </a:r>
            <a:endParaRPr lang="zh-CN" altLang="en-US" sz="1440" b="0" i="0" u="none" strike="noStrike" baseline="0">
              <a:solidFill>
                <a:srgbClr val="595959">
                  <a:alpha val="100000"/>
                </a:srgbClr>
              </a:solidFill>
              <a:latin typeface="微软雅黑" panose="020B0503020204020204" charset="-122"/>
              <a:ea typeface="微软雅黑" panose="020B0503020204020204" charset="-122"/>
              <a:cs typeface="微软雅黑" panose="020B0503020204020204" charset="-122"/>
            </a:endParaRP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04903560401643"/>
          <c:y val="0.196298773690078"/>
          <c:w val="0.85231733808825"/>
          <c:h val="0.607805897172552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北京联谊!$C$24</c:f>
              <c:strCache>
                <c:ptCount val="1"/>
                <c:pt idx="0">
                  <c:v>年度目标</c:v>
                </c:pt>
              </c:strCache>
            </c:strRef>
          </c:tx>
          <c:spPr>
            <a:gradFill>
              <a:gsLst>
                <a:gs pos="0">
                  <a:srgbClr val="FE4444"/>
                </a:gs>
                <a:gs pos="100000">
                  <a:srgbClr val="832B2B"/>
                </a:gs>
              </a:gsLst>
              <a:lin ang="5400000" scaled="0"/>
            </a:gradFill>
            <a:ln w="28575">
              <a:solidFill>
                <a:sysClr val="window" lastClr="FFFFFF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Arial" panose="020B0604020202020204" pitchFamily="7" charset="0"/>
                    <a:ea typeface="微软雅黑" panose="020B0503020204020204" charset="-122"/>
                    <a:cs typeface="Arial" panose="020B0604020202020204" pitchFamily="7" charset="0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cat>
            <c:strRef>
              <c:f>北京联谊!$B$25:$B$28</c:f>
              <c:strCache>
                <c:ptCount val="4"/>
                <c:pt idx="0">
                  <c:v>人力费用占比</c:v>
                </c:pt>
                <c:pt idx="1">
                  <c:v>日常费用占比</c:v>
                </c:pt>
                <c:pt idx="2">
                  <c:v>经营变动费用占比</c:v>
                </c:pt>
                <c:pt idx="3">
                  <c:v>营业成本占比</c:v>
                </c:pt>
              </c:strCache>
            </c:strRef>
          </c:cat>
          <c:val>
            <c:numRef>
              <c:f>北京联谊!$C$25:$C$28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</c:ser>
        <c:ser>
          <c:idx val="1"/>
          <c:order val="1"/>
          <c:tx>
            <c:strRef>
              <c:f>北京联谊!$D$24</c:f>
              <c:strCache>
                <c:ptCount val="1"/>
                <c:pt idx="0">
                  <c:v>实际达成</c:v>
                </c:pt>
              </c:strCache>
            </c:strRef>
          </c:tx>
          <c:spPr>
            <a:gradFill>
              <a:gsLst>
                <a:gs pos="0">
                  <a:srgbClr val="007BD3"/>
                </a:gs>
                <a:gs pos="100000">
                  <a:srgbClr val="034373"/>
                </a:gs>
              </a:gsLst>
              <a:lin ang="5400000" scaled="0"/>
            </a:gradFill>
            <a:ln w="28575">
              <a:solidFill>
                <a:sysClr val="window" lastClr="FFFFFF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Arial" panose="020B0604020202020204" pitchFamily="7" charset="0"/>
                    <a:ea typeface="微软雅黑" panose="020B0503020204020204" charset="-122"/>
                    <a:cs typeface="Arial" panose="020B0604020202020204" pitchFamily="7" charset="0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cat>
            <c:strRef>
              <c:f>北京联谊!$B$25:$B$28</c:f>
              <c:strCache>
                <c:ptCount val="4"/>
                <c:pt idx="0">
                  <c:v>人力费用占比</c:v>
                </c:pt>
                <c:pt idx="1">
                  <c:v>日常费用占比</c:v>
                </c:pt>
                <c:pt idx="2">
                  <c:v>经营变动费用占比</c:v>
                </c:pt>
                <c:pt idx="3">
                  <c:v>营业成本占比</c:v>
                </c:pt>
              </c:strCache>
            </c:strRef>
          </c:cat>
          <c:val>
            <c:numRef>
              <c:f>北京联谊!$D$25:$D$28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55513286"/>
        <c:axId val="177588354"/>
      </c:barChart>
      <c:catAx>
        <c:axId val="355513286"/>
        <c:scaling>
          <c:orientation val="minMax"/>
        </c:scaling>
        <c:delete val="0"/>
        <c:axPos val="l"/>
        <c:numFmt formatCode="General" sourceLinked="0"/>
        <c:majorTickMark val="none"/>
        <c:minorTickMark val="none"/>
        <c:tickLblPos val="nextTo"/>
        <c:spPr>
          <a:noFill/>
          <a:ln w="19050" cap="flat" cmpd="sng" algn="ctr">
            <a:noFill/>
            <a:prstDash val="solid"/>
            <a:round/>
          </a:ln>
          <a:effectLst/>
        </c:spPr>
        <c:txPr>
          <a:bodyPr rot="-60000000" spcFirstLastPara="0" vertOverflow="ellipsis" vert="horz" wrap="square" anchor="ctr" anchorCtr="1" forceAA="0"/>
          <a:lstStyle/>
          <a:p>
            <a:pPr>
              <a:defRPr lang="zh-CN"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7" charset="0"/>
                <a:ea typeface="微软雅黑" panose="020B0503020204020204" charset="-122"/>
                <a:cs typeface="Arial" panose="020B0604020202020204" pitchFamily="7" charset="0"/>
              </a:defRPr>
            </a:pPr>
          </a:p>
        </c:txPr>
        <c:crossAx val="177588354"/>
        <c:crosses val="autoZero"/>
        <c:auto val="1"/>
        <c:lblAlgn val="ctr"/>
        <c:lblOffset val="100"/>
        <c:noMultiLvlLbl val="0"/>
      </c:catAx>
      <c:valAx>
        <c:axId val="17758835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rgbClr val="E1D7D8">
                  <a:alpha val="16000"/>
                </a:srgbClr>
              </a:solidFill>
              <a:prstDash val="solid"/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6350" cap="flat" cmpd="sng" algn="ctr">
            <a:noFill/>
            <a:prstDash val="solid"/>
            <a:round/>
          </a:ln>
          <a:effectLst/>
        </c:spPr>
        <c:txPr>
          <a:bodyPr rot="-60000000" spcFirstLastPara="0" vertOverflow="ellipsis" vert="horz" wrap="square" anchor="ctr" anchorCtr="1" forceAA="0"/>
          <a:lstStyle/>
          <a:p>
            <a:pPr>
              <a:defRPr lang="zh-CN"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7" charset="0"/>
                <a:ea typeface="微软雅黑" panose="020B0503020204020204" charset="-122"/>
                <a:cs typeface="Arial" panose="020B0604020202020204" pitchFamily="7" charset="0"/>
              </a:defRPr>
            </a:pPr>
          </a:p>
        </c:txPr>
        <c:crossAx val="355513286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  <a:effectLst/>
        </c:spPr>
        <c:txPr>
          <a:bodyPr rot="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仿宋" panose="02010609060101010101" charset="-122"/>
                <a:ea typeface="仿宋" panose="02010609060101010101" charset="-122"/>
                <a:cs typeface="仿宋" panose="02010609060101010101" charset="-122"/>
                <a:sym typeface="仿宋" panose="02010609060101010101" charset="-122"/>
              </a:defRPr>
            </a:pPr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ca438514-d55b-42ed-b330-ae0e1c3a3355}"/>
      </c:ext>
    </c:extLst>
  </c:chart>
  <c:spPr>
    <a:noFill/>
    <a:ln w="9525" cap="flat" cmpd="sng" algn="ctr">
      <a:solidFill>
        <a:schemeClr val="bg1">
          <a:lumMod val="95000"/>
        </a:schemeClr>
      </a:solidFill>
      <a:prstDash val="solid"/>
      <a:round/>
    </a:ln>
    <a:effectLst/>
  </c:spPr>
  <c:txPr>
    <a:bodyPr wrap="square"/>
    <a:lstStyle/>
    <a:p>
      <a:pPr>
        <a:defRPr lang="zh-CN" sz="1200">
          <a:solidFill>
            <a:schemeClr val="tx1">
              <a:lumMod val="65000"/>
              <a:lumOff val="35000"/>
            </a:schemeClr>
          </a:solidFill>
          <a:latin typeface="Arial" panose="020B0604020202020204" pitchFamily="7" charset="0"/>
          <a:ea typeface="微软雅黑" panose="020B0503020204020204" charset="-122"/>
          <a:cs typeface="Arial" panose="020B0604020202020204" pitchFamily="7" charset="0"/>
        </a:defRPr>
      </a:pPr>
    </a:p>
  </c:txPr>
  <c:printSettings>
    <c:headerFooter/>
    <c:pageMargins b="0.75" l="0.7" r="0.7" t="0.75" header="0.3" footer="0.3"/>
    <c:pageSetup/>
  </c:printSettings>
</c:chartSpace>
</file>

<file path=xl/charts/chart5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4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7" charset="0"/>
                <a:ea typeface="微软雅黑" panose="020B0503020204020204" charset="-122"/>
                <a:cs typeface="Arial" panose="020B0604020202020204" pitchFamily="7" charset="0"/>
              </a:defRPr>
            </a:pPr>
            <a:r>
              <a:rPr lang="zh-CN" altLang="en-US" sz="1440"/>
              <a:t>成本结构</a:t>
            </a:r>
            <a:endParaRPr lang="zh-CN" altLang="en-US" sz="1440" b="0" i="0" u="none" strike="noStrike" baseline="0">
              <a:solidFill>
                <a:srgbClr val="595959">
                  <a:alpha val="100000"/>
                </a:srgbClr>
              </a:solidFill>
              <a:latin typeface="微软雅黑" panose="020B0503020204020204" charset="-122"/>
              <a:ea typeface="微软雅黑" panose="020B0503020204020204" charset="-122"/>
              <a:cs typeface="微软雅黑" panose="020B0503020204020204" charset="-122"/>
            </a:endParaRP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04903560401643"/>
          <c:y val="0.196298773690078"/>
          <c:w val="0.85231733808825"/>
          <c:h val="0.607805897172552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上海联杰!$C$24</c:f>
              <c:strCache>
                <c:ptCount val="1"/>
                <c:pt idx="0">
                  <c:v>年度目标</c:v>
                </c:pt>
              </c:strCache>
            </c:strRef>
          </c:tx>
          <c:spPr>
            <a:gradFill>
              <a:gsLst>
                <a:gs pos="0">
                  <a:srgbClr val="FE4444"/>
                </a:gs>
                <a:gs pos="100000">
                  <a:srgbClr val="832B2B"/>
                </a:gs>
              </a:gsLst>
              <a:lin ang="5400000" scaled="0"/>
            </a:gradFill>
            <a:ln w="28575">
              <a:solidFill>
                <a:sysClr val="window" lastClr="FFFFFF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Arial" panose="020B0604020202020204" pitchFamily="7" charset="0"/>
                    <a:ea typeface="微软雅黑" panose="020B0503020204020204" charset="-122"/>
                    <a:cs typeface="Arial" panose="020B0604020202020204" pitchFamily="7" charset="0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cat>
            <c:strRef>
              <c:f>上海联杰!$B$25:$B$28</c:f>
              <c:strCache>
                <c:ptCount val="4"/>
                <c:pt idx="0">
                  <c:v>人力费用占比</c:v>
                </c:pt>
                <c:pt idx="1">
                  <c:v>日常费用占比</c:v>
                </c:pt>
                <c:pt idx="2">
                  <c:v>经营变动费用占比</c:v>
                </c:pt>
                <c:pt idx="3">
                  <c:v>营业成本占比</c:v>
                </c:pt>
              </c:strCache>
            </c:strRef>
          </c:cat>
          <c:val>
            <c:numRef>
              <c:f>上海联杰!$C$25:$C$28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</c:ser>
        <c:ser>
          <c:idx val="1"/>
          <c:order val="1"/>
          <c:tx>
            <c:strRef>
              <c:f>上海联杰!$D$24</c:f>
              <c:strCache>
                <c:ptCount val="1"/>
                <c:pt idx="0">
                  <c:v>实际达成</c:v>
                </c:pt>
              </c:strCache>
            </c:strRef>
          </c:tx>
          <c:spPr>
            <a:gradFill>
              <a:gsLst>
                <a:gs pos="0">
                  <a:srgbClr val="007BD3"/>
                </a:gs>
                <a:gs pos="100000">
                  <a:srgbClr val="034373"/>
                </a:gs>
              </a:gsLst>
              <a:lin ang="5400000" scaled="0"/>
            </a:gradFill>
            <a:ln w="28575">
              <a:solidFill>
                <a:sysClr val="window" lastClr="FFFFFF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Arial" panose="020B0604020202020204" pitchFamily="7" charset="0"/>
                    <a:ea typeface="微软雅黑" panose="020B0503020204020204" charset="-122"/>
                    <a:cs typeface="Arial" panose="020B0604020202020204" pitchFamily="7" charset="0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cat>
            <c:strRef>
              <c:f>上海联杰!$B$25:$B$28</c:f>
              <c:strCache>
                <c:ptCount val="4"/>
                <c:pt idx="0">
                  <c:v>人力费用占比</c:v>
                </c:pt>
                <c:pt idx="1">
                  <c:v>日常费用占比</c:v>
                </c:pt>
                <c:pt idx="2">
                  <c:v>经营变动费用占比</c:v>
                </c:pt>
                <c:pt idx="3">
                  <c:v>营业成本占比</c:v>
                </c:pt>
              </c:strCache>
            </c:strRef>
          </c:cat>
          <c:val>
            <c:numRef>
              <c:f>上海联杰!$D$25:$D$28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964252104"/>
        <c:axId val="721617664"/>
      </c:barChart>
      <c:catAx>
        <c:axId val="964252104"/>
        <c:scaling>
          <c:orientation val="minMax"/>
        </c:scaling>
        <c:delete val="0"/>
        <c:axPos val="l"/>
        <c:numFmt formatCode="General" sourceLinked="0"/>
        <c:majorTickMark val="none"/>
        <c:minorTickMark val="none"/>
        <c:tickLblPos val="nextTo"/>
        <c:spPr>
          <a:noFill/>
          <a:ln w="19050" cap="flat" cmpd="sng" algn="ctr">
            <a:noFill/>
            <a:prstDash val="solid"/>
            <a:round/>
          </a:ln>
          <a:effectLst/>
        </c:spPr>
        <c:txPr>
          <a:bodyPr rot="-60000000" spcFirstLastPara="0" vertOverflow="ellipsis" vert="horz" wrap="square" anchor="ctr" anchorCtr="1" forceAA="0"/>
          <a:lstStyle/>
          <a:p>
            <a:pPr>
              <a:defRPr lang="zh-CN"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7" charset="0"/>
                <a:ea typeface="微软雅黑" panose="020B0503020204020204" charset="-122"/>
                <a:cs typeface="Arial" panose="020B0604020202020204" pitchFamily="7" charset="0"/>
              </a:defRPr>
            </a:pPr>
          </a:p>
        </c:txPr>
        <c:crossAx val="721617664"/>
        <c:crosses val="autoZero"/>
        <c:auto val="1"/>
        <c:lblAlgn val="ctr"/>
        <c:lblOffset val="100"/>
        <c:noMultiLvlLbl val="0"/>
      </c:catAx>
      <c:valAx>
        <c:axId val="7216176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rgbClr val="E1D7D8">
                  <a:alpha val="16000"/>
                </a:srgbClr>
              </a:solidFill>
              <a:prstDash val="solid"/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6350" cap="flat" cmpd="sng" algn="ctr">
            <a:noFill/>
            <a:prstDash val="solid"/>
            <a:round/>
          </a:ln>
          <a:effectLst/>
        </c:spPr>
        <c:txPr>
          <a:bodyPr rot="-60000000" spcFirstLastPara="0" vertOverflow="ellipsis" vert="horz" wrap="square" anchor="ctr" anchorCtr="1" forceAA="0"/>
          <a:lstStyle/>
          <a:p>
            <a:pPr>
              <a:defRPr lang="zh-CN"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7" charset="0"/>
                <a:ea typeface="微软雅黑" panose="020B0503020204020204" charset="-122"/>
                <a:cs typeface="Arial" panose="020B0604020202020204" pitchFamily="7" charset="0"/>
              </a:defRPr>
            </a:pPr>
          </a:p>
        </c:txPr>
        <c:crossAx val="964252104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  <a:effectLst/>
        </c:spPr>
        <c:txPr>
          <a:bodyPr rot="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仿宋" panose="02010609060101010101" charset="-122"/>
                <a:ea typeface="仿宋" panose="02010609060101010101" charset="-122"/>
                <a:cs typeface="仿宋" panose="02010609060101010101" charset="-122"/>
                <a:sym typeface="仿宋" panose="02010609060101010101" charset="-122"/>
              </a:defRPr>
            </a:pPr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493df34d-4a43-45aa-9653-9ba1c95642e0}"/>
      </c:ext>
    </c:extLst>
  </c:chart>
  <c:spPr>
    <a:noFill/>
    <a:ln w="9525" cap="flat" cmpd="sng" algn="ctr">
      <a:solidFill>
        <a:schemeClr val="bg1">
          <a:lumMod val="95000"/>
        </a:schemeClr>
      </a:solidFill>
      <a:prstDash val="solid"/>
      <a:round/>
    </a:ln>
    <a:effectLst/>
  </c:spPr>
  <c:txPr>
    <a:bodyPr wrap="square"/>
    <a:lstStyle/>
    <a:p>
      <a:pPr>
        <a:defRPr lang="zh-CN" sz="1200">
          <a:solidFill>
            <a:schemeClr val="tx1">
              <a:lumMod val="65000"/>
              <a:lumOff val="35000"/>
            </a:schemeClr>
          </a:solidFill>
          <a:latin typeface="Arial" panose="020B0604020202020204" pitchFamily="7" charset="0"/>
          <a:ea typeface="微软雅黑" panose="020B0503020204020204" charset="-122"/>
          <a:cs typeface="Arial" panose="020B0604020202020204" pitchFamily="7" charset="0"/>
        </a:defRPr>
      </a:pPr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9" Type="http://schemas.openxmlformats.org/officeDocument/2006/relationships/chart" Target="../charts/chart11.xml"/><Relationship Id="rId8" Type="http://schemas.openxmlformats.org/officeDocument/2006/relationships/chart" Target="../charts/chart10.xml"/><Relationship Id="rId7" Type="http://schemas.openxmlformats.org/officeDocument/2006/relationships/chart" Target="../charts/chart9.xml"/><Relationship Id="rId6" Type="http://schemas.openxmlformats.org/officeDocument/2006/relationships/chart" Target="../charts/chart8.xml"/><Relationship Id="rId5" Type="http://schemas.openxmlformats.org/officeDocument/2006/relationships/chart" Target="../charts/chart7.xml"/><Relationship Id="rId4" Type="http://schemas.openxmlformats.org/officeDocument/2006/relationships/chart" Target="../charts/chart6.xml"/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5" Type="http://schemas.openxmlformats.org/officeDocument/2006/relationships/chart" Target="../charts/chart17.xml"/><Relationship Id="rId14" Type="http://schemas.openxmlformats.org/officeDocument/2006/relationships/chart" Target="../charts/chart16.xml"/><Relationship Id="rId13" Type="http://schemas.openxmlformats.org/officeDocument/2006/relationships/chart" Target="../charts/chart15.xml"/><Relationship Id="rId12" Type="http://schemas.openxmlformats.org/officeDocument/2006/relationships/chart" Target="../charts/chart14.xml"/><Relationship Id="rId11" Type="http://schemas.openxmlformats.org/officeDocument/2006/relationships/chart" Target="../charts/chart13.xml"/><Relationship Id="rId10" Type="http://schemas.openxmlformats.org/officeDocument/2006/relationships/chart" Target="../charts/chart12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9.xml"/><Relationship Id="rId1" Type="http://schemas.openxmlformats.org/officeDocument/2006/relationships/chart" Target="../charts/chart18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2.xml"/><Relationship Id="rId2" Type="http://schemas.openxmlformats.org/officeDocument/2006/relationships/chart" Target="../charts/chart21.xml"/><Relationship Id="rId1" Type="http://schemas.openxmlformats.org/officeDocument/2006/relationships/chart" Target="../charts/chart20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5.xml"/><Relationship Id="rId2" Type="http://schemas.openxmlformats.org/officeDocument/2006/relationships/chart" Target="../charts/chart24.xml"/><Relationship Id="rId1" Type="http://schemas.openxmlformats.org/officeDocument/2006/relationships/chart" Target="../charts/chart23.xm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8.xml"/><Relationship Id="rId2" Type="http://schemas.openxmlformats.org/officeDocument/2006/relationships/chart" Target="../charts/chart27.xml"/><Relationship Id="rId1" Type="http://schemas.openxmlformats.org/officeDocument/2006/relationships/chart" Target="../charts/chart26.xml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1.xml"/><Relationship Id="rId2" Type="http://schemas.openxmlformats.org/officeDocument/2006/relationships/chart" Target="../charts/chart30.xml"/><Relationship Id="rId1" Type="http://schemas.openxmlformats.org/officeDocument/2006/relationships/chart" Target="../charts/chart29.xml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4.xml"/><Relationship Id="rId2" Type="http://schemas.openxmlformats.org/officeDocument/2006/relationships/chart" Target="../charts/chart33.xml"/><Relationship Id="rId1" Type="http://schemas.openxmlformats.org/officeDocument/2006/relationships/chart" Target="../charts/chart32.xml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7.xml"/><Relationship Id="rId2" Type="http://schemas.openxmlformats.org/officeDocument/2006/relationships/chart" Target="../charts/chart36.xml"/><Relationship Id="rId1" Type="http://schemas.openxmlformats.org/officeDocument/2006/relationships/chart" Target="../charts/chart35.xml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0.xml"/><Relationship Id="rId2" Type="http://schemas.openxmlformats.org/officeDocument/2006/relationships/chart" Target="../charts/chart39.xml"/><Relationship Id="rId1" Type="http://schemas.openxmlformats.org/officeDocument/2006/relationships/chart" Target="../charts/chart38.xml"/></Relationships>
</file>

<file path=xl/drawings/_rels/drawing1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3.xml"/><Relationship Id="rId2" Type="http://schemas.openxmlformats.org/officeDocument/2006/relationships/chart" Target="../charts/chart42.xml"/><Relationship Id="rId1" Type="http://schemas.openxmlformats.org/officeDocument/2006/relationships/chart" Target="../charts/chart41.xml"/></Relationships>
</file>

<file path=xl/drawings/_rels/drawing1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6.xml"/><Relationship Id="rId2" Type="http://schemas.openxmlformats.org/officeDocument/2006/relationships/chart" Target="../charts/chart45.xml"/><Relationship Id="rId1" Type="http://schemas.openxmlformats.org/officeDocument/2006/relationships/chart" Target="../charts/chart44.xml"/></Relationships>
</file>

<file path=xl/drawings/_rels/drawing1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9.xml"/><Relationship Id="rId2" Type="http://schemas.openxmlformats.org/officeDocument/2006/relationships/chart" Target="../charts/chart48.xml"/><Relationship Id="rId1" Type="http://schemas.openxmlformats.org/officeDocument/2006/relationships/chart" Target="../charts/chart47.xml"/></Relationships>
</file>

<file path=xl/drawings/_rels/drawing1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2.xml"/><Relationship Id="rId2" Type="http://schemas.openxmlformats.org/officeDocument/2006/relationships/chart" Target="../charts/chart51.xml"/><Relationship Id="rId1" Type="http://schemas.openxmlformats.org/officeDocument/2006/relationships/chart" Target="../charts/chart50.xml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3.xml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4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648335</xdr:colOff>
      <xdr:row>13</xdr:row>
      <xdr:rowOff>9525</xdr:rowOff>
    </xdr:from>
    <xdr:to>
      <xdr:col>4</xdr:col>
      <xdr:colOff>44450</xdr:colOff>
      <xdr:row>28</xdr:row>
      <xdr:rowOff>67945</xdr:rowOff>
    </xdr:to>
    <xdr:graphicFrame>
      <xdr:nvGraphicFramePr>
        <xdr:cNvPr id="113481" name="图表 3"/>
        <xdr:cNvGraphicFramePr/>
      </xdr:nvGraphicFramePr>
      <xdr:xfrm>
        <a:off x="648335" y="2981325"/>
        <a:ext cx="3201035" cy="33121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19050</xdr:colOff>
      <xdr:row>13</xdr:row>
      <xdr:rowOff>6350</xdr:rowOff>
    </xdr:from>
    <xdr:to>
      <xdr:col>13</xdr:col>
      <xdr:colOff>602615</xdr:colOff>
      <xdr:row>28</xdr:row>
      <xdr:rowOff>62230</xdr:rowOff>
    </xdr:to>
    <xdr:graphicFrame>
      <xdr:nvGraphicFramePr>
        <xdr:cNvPr id="113482" name="图表 1"/>
        <xdr:cNvGraphicFramePr/>
      </xdr:nvGraphicFramePr>
      <xdr:xfrm>
        <a:off x="4853940" y="2978150"/>
        <a:ext cx="5626100" cy="33096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6</xdr:col>
      <xdr:colOff>330200</xdr:colOff>
      <xdr:row>53</xdr:row>
      <xdr:rowOff>160655</xdr:rowOff>
    </xdr:from>
    <xdr:to>
      <xdr:col>14</xdr:col>
      <xdr:colOff>13970</xdr:colOff>
      <xdr:row>61</xdr:row>
      <xdr:rowOff>68580</xdr:rowOff>
    </xdr:to>
    <xdr:graphicFrame>
      <xdr:nvGraphicFramePr>
        <xdr:cNvPr id="148283" name="图表 3"/>
        <xdr:cNvGraphicFramePr/>
      </xdr:nvGraphicFramePr>
      <xdr:xfrm>
        <a:off x="6146800" y="10930255"/>
        <a:ext cx="7928610" cy="153352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330200</xdr:colOff>
      <xdr:row>28</xdr:row>
      <xdr:rowOff>8255</xdr:rowOff>
    </xdr:from>
    <xdr:to>
      <xdr:col>14</xdr:col>
      <xdr:colOff>13970</xdr:colOff>
      <xdr:row>35</xdr:row>
      <xdr:rowOff>59055</xdr:rowOff>
    </xdr:to>
    <xdr:graphicFrame>
      <xdr:nvGraphicFramePr>
        <xdr:cNvPr id="148284" name="内容占位符 18"/>
        <xdr:cNvGraphicFramePr>
          <a:graphicFrameLocks noGrp="1"/>
        </xdr:cNvGraphicFramePr>
      </xdr:nvGraphicFramePr>
      <xdr:xfrm>
        <a:off x="6146800" y="5697855"/>
        <a:ext cx="7928610" cy="147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330200</xdr:colOff>
      <xdr:row>41</xdr:row>
      <xdr:rowOff>5080</xdr:rowOff>
    </xdr:from>
    <xdr:to>
      <xdr:col>14</xdr:col>
      <xdr:colOff>13970</xdr:colOff>
      <xdr:row>48</xdr:row>
      <xdr:rowOff>76835</xdr:rowOff>
    </xdr:to>
    <xdr:graphicFrame>
      <xdr:nvGraphicFramePr>
        <xdr:cNvPr id="148285" name="内容占位符 16"/>
        <xdr:cNvGraphicFramePr>
          <a:graphicFrameLocks noGrp="1"/>
        </xdr:cNvGraphicFramePr>
      </xdr:nvGraphicFramePr>
      <xdr:xfrm>
        <a:off x="6146800" y="8336280"/>
        <a:ext cx="7928610" cy="149415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6350</xdr:colOff>
      <xdr:row>11</xdr:row>
      <xdr:rowOff>99060</xdr:rowOff>
    </xdr:from>
    <xdr:to>
      <xdr:col>5</xdr:col>
      <xdr:colOff>499745</xdr:colOff>
      <xdr:row>25</xdr:row>
      <xdr:rowOff>50165</xdr:rowOff>
    </xdr:to>
    <xdr:graphicFrame>
      <xdr:nvGraphicFramePr>
        <xdr:cNvPr id="148286" name="图表 1"/>
        <xdr:cNvGraphicFramePr/>
      </xdr:nvGraphicFramePr>
      <xdr:xfrm>
        <a:off x="6350" y="2334260"/>
        <a:ext cx="5079365" cy="279590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4</xdr:col>
      <xdr:colOff>1102360</xdr:colOff>
      <xdr:row>11</xdr:row>
      <xdr:rowOff>99060</xdr:rowOff>
    </xdr:from>
    <xdr:to>
      <xdr:col>9</xdr:col>
      <xdr:colOff>192405</xdr:colOff>
      <xdr:row>25</xdr:row>
      <xdr:rowOff>50165</xdr:rowOff>
    </xdr:to>
    <xdr:graphicFrame>
      <xdr:nvGraphicFramePr>
        <xdr:cNvPr id="148287" name="图表 4"/>
        <xdr:cNvGraphicFramePr/>
      </xdr:nvGraphicFramePr>
      <xdr:xfrm>
        <a:off x="4322445" y="2334260"/>
        <a:ext cx="5085080" cy="279590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</xdr:col>
      <xdr:colOff>6985</xdr:colOff>
      <xdr:row>73</xdr:row>
      <xdr:rowOff>167640</xdr:rowOff>
    </xdr:from>
    <xdr:to>
      <xdr:col>11</xdr:col>
      <xdr:colOff>66040</xdr:colOff>
      <xdr:row>92</xdr:row>
      <xdr:rowOff>27940</xdr:rowOff>
    </xdr:to>
    <xdr:graphicFrame>
      <xdr:nvGraphicFramePr>
        <xdr:cNvPr id="148288" name="内容占位符 5"/>
        <xdr:cNvGraphicFramePr>
          <a:graphicFrameLocks noGrp="1"/>
        </xdr:cNvGraphicFramePr>
      </xdr:nvGraphicFramePr>
      <xdr:xfrm>
        <a:off x="467360" y="15001240"/>
        <a:ext cx="10895330" cy="37211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5</xdr:col>
      <xdr:colOff>284480</xdr:colOff>
      <xdr:row>54</xdr:row>
      <xdr:rowOff>11430</xdr:rowOff>
    </xdr:from>
    <xdr:to>
      <xdr:col>6</xdr:col>
      <xdr:colOff>121285</xdr:colOff>
      <xdr:row>60</xdr:row>
      <xdr:rowOff>34290</xdr:rowOff>
    </xdr:to>
    <xdr:graphicFrame>
      <xdr:nvGraphicFramePr>
        <xdr:cNvPr id="148289" name="图表 6" descr="7b0a202020202263686172745265734964223a20223230323931393734220a7d0a"/>
        <xdr:cNvGraphicFramePr/>
      </xdr:nvGraphicFramePr>
      <xdr:xfrm>
        <a:off x="4870450" y="10984230"/>
        <a:ext cx="1067435" cy="12420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5</xdr:col>
      <xdr:colOff>194310</xdr:colOff>
      <xdr:row>40</xdr:row>
      <xdr:rowOff>163830</xdr:rowOff>
    </xdr:from>
    <xdr:to>
      <xdr:col>6</xdr:col>
      <xdr:colOff>29845</xdr:colOff>
      <xdr:row>47</xdr:row>
      <xdr:rowOff>17780</xdr:rowOff>
    </xdr:to>
    <xdr:graphicFrame>
      <xdr:nvGraphicFramePr>
        <xdr:cNvPr id="148290" name="图表 12" descr="7b0a202020202263686172745265734964223a20223230323931393734220a7d0a"/>
        <xdr:cNvGraphicFramePr/>
      </xdr:nvGraphicFramePr>
      <xdr:xfrm>
        <a:off x="4780280" y="8291830"/>
        <a:ext cx="1066165" cy="127635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5</xdr:col>
      <xdr:colOff>183515</xdr:colOff>
      <xdr:row>28</xdr:row>
      <xdr:rowOff>2540</xdr:rowOff>
    </xdr:from>
    <xdr:to>
      <xdr:col>6</xdr:col>
      <xdr:colOff>19050</xdr:colOff>
      <xdr:row>34</xdr:row>
      <xdr:rowOff>27940</xdr:rowOff>
    </xdr:to>
    <xdr:graphicFrame>
      <xdr:nvGraphicFramePr>
        <xdr:cNvPr id="148291" name="图表 15" descr="7b0a202020202263686172745265734964223a20223230323931393734220a7d0a"/>
        <xdr:cNvGraphicFramePr/>
      </xdr:nvGraphicFramePr>
      <xdr:xfrm>
        <a:off x="4769485" y="5692140"/>
        <a:ext cx="1066165" cy="12446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9</xdr:col>
      <xdr:colOff>200025</xdr:colOff>
      <xdr:row>11</xdr:row>
      <xdr:rowOff>163830</xdr:rowOff>
    </xdr:from>
    <xdr:to>
      <xdr:col>13</xdr:col>
      <xdr:colOff>122555</xdr:colOff>
      <xdr:row>26</xdr:row>
      <xdr:rowOff>113030</xdr:rowOff>
    </xdr:to>
    <xdr:graphicFrame>
      <xdr:nvGraphicFramePr>
        <xdr:cNvPr id="148292" name="图表 5"/>
        <xdr:cNvGraphicFramePr/>
      </xdr:nvGraphicFramePr>
      <xdr:xfrm>
        <a:off x="9415145" y="2399030"/>
        <a:ext cx="3950335" cy="2997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13</xdr:col>
      <xdr:colOff>261620</xdr:colOff>
      <xdr:row>11</xdr:row>
      <xdr:rowOff>163830</xdr:rowOff>
    </xdr:from>
    <xdr:to>
      <xdr:col>19</xdr:col>
      <xdr:colOff>143510</xdr:colOff>
      <xdr:row>26</xdr:row>
      <xdr:rowOff>113030</xdr:rowOff>
    </xdr:to>
    <xdr:graphicFrame>
      <xdr:nvGraphicFramePr>
        <xdr:cNvPr id="148293" name="图表 8"/>
        <xdr:cNvGraphicFramePr/>
      </xdr:nvGraphicFramePr>
      <xdr:xfrm>
        <a:off x="13504545" y="2399030"/>
        <a:ext cx="4022725" cy="2997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19</xdr:col>
      <xdr:colOff>268605</xdr:colOff>
      <xdr:row>11</xdr:row>
      <xdr:rowOff>163830</xdr:rowOff>
    </xdr:from>
    <xdr:to>
      <xdr:col>28</xdr:col>
      <xdr:colOff>79375</xdr:colOff>
      <xdr:row>26</xdr:row>
      <xdr:rowOff>113030</xdr:rowOff>
    </xdr:to>
    <xdr:graphicFrame>
      <xdr:nvGraphicFramePr>
        <xdr:cNvPr id="148294" name="图表 10"/>
        <xdr:cNvGraphicFramePr/>
      </xdr:nvGraphicFramePr>
      <xdr:xfrm>
        <a:off x="17652365" y="2399030"/>
        <a:ext cx="3565525" cy="2997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8</xdr:col>
      <xdr:colOff>311150</xdr:colOff>
      <xdr:row>111</xdr:row>
      <xdr:rowOff>181610</xdr:rowOff>
    </xdr:from>
    <xdr:to>
      <xdr:col>14</xdr:col>
      <xdr:colOff>549910</xdr:colOff>
      <xdr:row>120</xdr:row>
      <xdr:rowOff>130810</xdr:rowOff>
    </xdr:to>
    <xdr:graphicFrame>
      <xdr:nvGraphicFramePr>
        <xdr:cNvPr id="148295" name="图表 13"/>
        <xdr:cNvGraphicFramePr/>
      </xdr:nvGraphicFramePr>
      <xdr:xfrm>
        <a:off x="8442325" y="22736810"/>
        <a:ext cx="6169025" cy="17780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8</xdr:col>
      <xdr:colOff>311150</xdr:colOff>
      <xdr:row>102</xdr:row>
      <xdr:rowOff>196215</xdr:rowOff>
    </xdr:from>
    <xdr:to>
      <xdr:col>14</xdr:col>
      <xdr:colOff>548640</xdr:colOff>
      <xdr:row>111</xdr:row>
      <xdr:rowOff>173990</xdr:rowOff>
    </xdr:to>
    <xdr:graphicFrame>
      <xdr:nvGraphicFramePr>
        <xdr:cNvPr id="148296" name="图表 14"/>
        <xdr:cNvGraphicFramePr/>
      </xdr:nvGraphicFramePr>
      <xdr:xfrm>
        <a:off x="8442325" y="20922615"/>
        <a:ext cx="6167755" cy="180657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8</xdr:col>
      <xdr:colOff>311150</xdr:colOff>
      <xdr:row>94</xdr:row>
      <xdr:rowOff>2540</xdr:rowOff>
    </xdr:from>
    <xdr:to>
      <xdr:col>14</xdr:col>
      <xdr:colOff>551180</xdr:colOff>
      <xdr:row>102</xdr:row>
      <xdr:rowOff>189230</xdr:rowOff>
    </xdr:to>
    <xdr:graphicFrame>
      <xdr:nvGraphicFramePr>
        <xdr:cNvPr id="148297" name="图表 15"/>
        <xdr:cNvGraphicFramePr/>
      </xdr:nvGraphicFramePr>
      <xdr:xfrm>
        <a:off x="8442325" y="19103340"/>
        <a:ext cx="6170295" cy="181229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4</xdr:col>
      <xdr:colOff>739140</xdr:colOff>
      <xdr:row>20</xdr:row>
      <xdr:rowOff>126365</xdr:rowOff>
    </xdr:from>
    <xdr:to>
      <xdr:col>9</xdr:col>
      <xdr:colOff>347980</xdr:colOff>
      <xdr:row>36</xdr:row>
      <xdr:rowOff>62230</xdr:rowOff>
    </xdr:to>
    <xdr:graphicFrame>
      <xdr:nvGraphicFramePr>
        <xdr:cNvPr id="150564" name="图表 6"/>
        <xdr:cNvGraphicFramePr/>
      </xdr:nvGraphicFramePr>
      <xdr:xfrm>
        <a:off x="3846195" y="4190365"/>
        <a:ext cx="3186430" cy="318706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125095</xdr:colOff>
      <xdr:row>20</xdr:row>
      <xdr:rowOff>126365</xdr:rowOff>
    </xdr:from>
    <xdr:to>
      <xdr:col>4</xdr:col>
      <xdr:colOff>215900</xdr:colOff>
      <xdr:row>36</xdr:row>
      <xdr:rowOff>62230</xdr:rowOff>
    </xdr:to>
    <xdr:graphicFrame>
      <xdr:nvGraphicFramePr>
        <xdr:cNvPr id="150565" name="图表 7"/>
        <xdr:cNvGraphicFramePr/>
      </xdr:nvGraphicFramePr>
      <xdr:xfrm>
        <a:off x="125095" y="4190365"/>
        <a:ext cx="3197860" cy="318706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12</xdr:col>
      <xdr:colOff>25400</xdr:colOff>
      <xdr:row>18</xdr:row>
      <xdr:rowOff>84455</xdr:rowOff>
    </xdr:from>
    <xdr:to>
      <xdr:col>14</xdr:col>
      <xdr:colOff>1172210</xdr:colOff>
      <xdr:row>34</xdr:row>
      <xdr:rowOff>1905</xdr:rowOff>
    </xdr:to>
    <xdr:graphicFrame>
      <xdr:nvGraphicFramePr>
        <xdr:cNvPr id="128767" name="图表 7" descr="7b0a202020202263686172745265734964223a20223530303731323938220a7d0a"/>
        <xdr:cNvGraphicFramePr/>
      </xdr:nvGraphicFramePr>
      <xdr:xfrm>
        <a:off x="7461885" y="3742055"/>
        <a:ext cx="3190240" cy="316865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97155</xdr:colOff>
      <xdr:row>18</xdr:row>
      <xdr:rowOff>84455</xdr:rowOff>
    </xdr:from>
    <xdr:to>
      <xdr:col>4</xdr:col>
      <xdr:colOff>410845</xdr:colOff>
      <xdr:row>34</xdr:row>
      <xdr:rowOff>1905</xdr:rowOff>
    </xdr:to>
    <xdr:graphicFrame>
      <xdr:nvGraphicFramePr>
        <xdr:cNvPr id="128768" name="图表 8"/>
        <xdr:cNvGraphicFramePr/>
      </xdr:nvGraphicFramePr>
      <xdr:xfrm>
        <a:off x="97155" y="3742055"/>
        <a:ext cx="3191510" cy="316865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439420</xdr:colOff>
      <xdr:row>18</xdr:row>
      <xdr:rowOff>84455</xdr:rowOff>
    </xdr:from>
    <xdr:to>
      <xdr:col>11</xdr:col>
      <xdr:colOff>297815</xdr:colOff>
      <xdr:row>34</xdr:row>
      <xdr:rowOff>1905</xdr:rowOff>
    </xdr:to>
    <xdr:graphicFrame>
      <xdr:nvGraphicFramePr>
        <xdr:cNvPr id="128769" name="图表 9"/>
        <xdr:cNvGraphicFramePr/>
      </xdr:nvGraphicFramePr>
      <xdr:xfrm>
        <a:off x="3913505" y="3742055"/>
        <a:ext cx="3186430" cy="316865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8</xdr:col>
      <xdr:colOff>432435</xdr:colOff>
      <xdr:row>26</xdr:row>
      <xdr:rowOff>151130</xdr:rowOff>
    </xdr:from>
    <xdr:to>
      <xdr:col>11</xdr:col>
      <xdr:colOff>227330</xdr:colOff>
      <xdr:row>42</xdr:row>
      <xdr:rowOff>68580</xdr:rowOff>
    </xdr:to>
    <xdr:graphicFrame>
      <xdr:nvGraphicFramePr>
        <xdr:cNvPr id="129791" name="图表 4"/>
        <xdr:cNvGraphicFramePr/>
      </xdr:nvGraphicFramePr>
      <xdr:xfrm>
        <a:off x="7691120" y="5434330"/>
        <a:ext cx="3194050" cy="316865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31750</xdr:colOff>
      <xdr:row>26</xdr:row>
      <xdr:rowOff>151130</xdr:rowOff>
    </xdr:from>
    <xdr:to>
      <xdr:col>3</xdr:col>
      <xdr:colOff>582295</xdr:colOff>
      <xdr:row>42</xdr:row>
      <xdr:rowOff>68580</xdr:rowOff>
    </xdr:to>
    <xdr:graphicFrame>
      <xdr:nvGraphicFramePr>
        <xdr:cNvPr id="129792" name="内容占位符 6"/>
        <xdr:cNvGraphicFramePr/>
      </xdr:nvGraphicFramePr>
      <xdr:xfrm>
        <a:off x="31750" y="5434330"/>
        <a:ext cx="3195955" cy="316865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13970</xdr:colOff>
      <xdr:row>26</xdr:row>
      <xdr:rowOff>151130</xdr:rowOff>
    </xdr:from>
    <xdr:to>
      <xdr:col>7</xdr:col>
      <xdr:colOff>654050</xdr:colOff>
      <xdr:row>42</xdr:row>
      <xdr:rowOff>68580</xdr:rowOff>
    </xdr:to>
    <xdr:graphicFrame>
      <xdr:nvGraphicFramePr>
        <xdr:cNvPr id="129793" name="图表 1"/>
        <xdr:cNvGraphicFramePr/>
      </xdr:nvGraphicFramePr>
      <xdr:xfrm>
        <a:off x="3862705" y="5434330"/>
        <a:ext cx="3193415" cy="316865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134620</xdr:colOff>
      <xdr:row>44</xdr:row>
      <xdr:rowOff>17780</xdr:rowOff>
    </xdr:from>
    <xdr:to>
      <xdr:col>5</xdr:col>
      <xdr:colOff>506730</xdr:colOff>
      <xdr:row>56</xdr:row>
      <xdr:rowOff>8255</xdr:rowOff>
    </xdr:to>
    <xdr:graphicFrame>
      <xdr:nvGraphicFramePr>
        <xdr:cNvPr id="130815" name="图表 1"/>
        <xdr:cNvGraphicFramePr/>
      </xdr:nvGraphicFramePr>
      <xdr:xfrm>
        <a:off x="703580" y="10076180"/>
        <a:ext cx="3473450" cy="273367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54610</xdr:colOff>
      <xdr:row>44</xdr:row>
      <xdr:rowOff>17780</xdr:rowOff>
    </xdr:from>
    <xdr:to>
      <xdr:col>11</xdr:col>
      <xdr:colOff>509905</xdr:colOff>
      <xdr:row>56</xdr:row>
      <xdr:rowOff>8255</xdr:rowOff>
    </xdr:to>
    <xdr:graphicFrame>
      <xdr:nvGraphicFramePr>
        <xdr:cNvPr id="130816" name="图表 4"/>
        <xdr:cNvGraphicFramePr/>
      </xdr:nvGraphicFramePr>
      <xdr:xfrm>
        <a:off x="4359275" y="10076180"/>
        <a:ext cx="3474085" cy="273367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121920</xdr:colOff>
      <xdr:row>44</xdr:row>
      <xdr:rowOff>17780</xdr:rowOff>
    </xdr:from>
    <xdr:to>
      <xdr:col>18</xdr:col>
      <xdr:colOff>6350</xdr:colOff>
      <xdr:row>56</xdr:row>
      <xdr:rowOff>8255</xdr:rowOff>
    </xdr:to>
    <xdr:graphicFrame>
      <xdr:nvGraphicFramePr>
        <xdr:cNvPr id="130817" name="图表 2" descr="7b0a202020202263686172745265734964223a202234363435353532220a7d0a"/>
        <xdr:cNvGraphicFramePr/>
      </xdr:nvGraphicFramePr>
      <xdr:xfrm>
        <a:off x="8014335" y="10076180"/>
        <a:ext cx="3472180" cy="273367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3</xdr:col>
      <xdr:colOff>32385</xdr:colOff>
      <xdr:row>44</xdr:row>
      <xdr:rowOff>19050</xdr:rowOff>
    </xdr:from>
    <xdr:to>
      <xdr:col>7</xdr:col>
      <xdr:colOff>135255</xdr:colOff>
      <xdr:row>56</xdr:row>
      <xdr:rowOff>8255</xdr:rowOff>
    </xdr:to>
    <xdr:graphicFrame>
      <xdr:nvGraphicFramePr>
        <xdr:cNvPr id="131839" name="图表 1"/>
        <xdr:cNvGraphicFramePr/>
      </xdr:nvGraphicFramePr>
      <xdr:xfrm>
        <a:off x="2574925" y="10077450"/>
        <a:ext cx="3474720" cy="273240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316865</xdr:colOff>
      <xdr:row>44</xdr:row>
      <xdr:rowOff>19050</xdr:rowOff>
    </xdr:from>
    <xdr:to>
      <xdr:col>12</xdr:col>
      <xdr:colOff>401320</xdr:colOff>
      <xdr:row>56</xdr:row>
      <xdr:rowOff>8255</xdr:rowOff>
    </xdr:to>
    <xdr:graphicFrame>
      <xdr:nvGraphicFramePr>
        <xdr:cNvPr id="131840" name="图表 4"/>
        <xdr:cNvGraphicFramePr/>
      </xdr:nvGraphicFramePr>
      <xdr:xfrm>
        <a:off x="6231255" y="10077450"/>
        <a:ext cx="3472180" cy="273240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582930</xdr:colOff>
      <xdr:row>44</xdr:row>
      <xdr:rowOff>19050</xdr:rowOff>
    </xdr:from>
    <xdr:to>
      <xdr:col>17</xdr:col>
      <xdr:colOff>666750</xdr:colOff>
      <xdr:row>56</xdr:row>
      <xdr:rowOff>8255</xdr:rowOff>
    </xdr:to>
    <xdr:graphicFrame>
      <xdr:nvGraphicFramePr>
        <xdr:cNvPr id="131841" name="图表 2" descr="7b0a202020202263686172745265734964223a202234363435353532220a7d0a"/>
        <xdr:cNvGraphicFramePr/>
      </xdr:nvGraphicFramePr>
      <xdr:xfrm>
        <a:off x="9885045" y="10077450"/>
        <a:ext cx="3471545" cy="273240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3</xdr:col>
      <xdr:colOff>32385</xdr:colOff>
      <xdr:row>44</xdr:row>
      <xdr:rowOff>6985</xdr:rowOff>
    </xdr:from>
    <xdr:to>
      <xdr:col>7</xdr:col>
      <xdr:colOff>135255</xdr:colOff>
      <xdr:row>55</xdr:row>
      <xdr:rowOff>224790</xdr:rowOff>
    </xdr:to>
    <xdr:graphicFrame>
      <xdr:nvGraphicFramePr>
        <xdr:cNvPr id="132863" name="图表 1"/>
        <xdr:cNvGraphicFramePr/>
      </xdr:nvGraphicFramePr>
      <xdr:xfrm>
        <a:off x="2574925" y="10065385"/>
        <a:ext cx="3474720" cy="273240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320675</xdr:colOff>
      <xdr:row>44</xdr:row>
      <xdr:rowOff>6985</xdr:rowOff>
    </xdr:from>
    <xdr:to>
      <xdr:col>12</xdr:col>
      <xdr:colOff>405130</xdr:colOff>
      <xdr:row>55</xdr:row>
      <xdr:rowOff>224790</xdr:rowOff>
    </xdr:to>
    <xdr:graphicFrame>
      <xdr:nvGraphicFramePr>
        <xdr:cNvPr id="132864" name="图表 4"/>
        <xdr:cNvGraphicFramePr/>
      </xdr:nvGraphicFramePr>
      <xdr:xfrm>
        <a:off x="6235065" y="10065385"/>
        <a:ext cx="3472180" cy="273240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586105</xdr:colOff>
      <xdr:row>44</xdr:row>
      <xdr:rowOff>6985</xdr:rowOff>
    </xdr:from>
    <xdr:to>
      <xdr:col>17</xdr:col>
      <xdr:colOff>669290</xdr:colOff>
      <xdr:row>55</xdr:row>
      <xdr:rowOff>224790</xdr:rowOff>
    </xdr:to>
    <xdr:graphicFrame>
      <xdr:nvGraphicFramePr>
        <xdr:cNvPr id="132865" name="图表 2" descr="7b0a202020202263686172745265734964223a202234363435353532220a7d0a"/>
        <xdr:cNvGraphicFramePr/>
      </xdr:nvGraphicFramePr>
      <xdr:xfrm>
        <a:off x="9888220" y="10065385"/>
        <a:ext cx="3470910" cy="273240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3</xdr:col>
      <xdr:colOff>0</xdr:colOff>
      <xdr:row>44</xdr:row>
      <xdr:rowOff>0</xdr:rowOff>
    </xdr:from>
    <xdr:to>
      <xdr:col>7</xdr:col>
      <xdr:colOff>103505</xdr:colOff>
      <xdr:row>55</xdr:row>
      <xdr:rowOff>219075</xdr:rowOff>
    </xdr:to>
    <xdr:graphicFrame>
      <xdr:nvGraphicFramePr>
        <xdr:cNvPr id="126773" name="图表 1"/>
        <xdr:cNvGraphicFramePr/>
      </xdr:nvGraphicFramePr>
      <xdr:xfrm>
        <a:off x="2542540" y="10058400"/>
        <a:ext cx="3475355" cy="273367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288925</xdr:colOff>
      <xdr:row>44</xdr:row>
      <xdr:rowOff>0</xdr:rowOff>
    </xdr:from>
    <xdr:to>
      <xdr:col>12</xdr:col>
      <xdr:colOff>372745</xdr:colOff>
      <xdr:row>55</xdr:row>
      <xdr:rowOff>219075</xdr:rowOff>
    </xdr:to>
    <xdr:graphicFrame>
      <xdr:nvGraphicFramePr>
        <xdr:cNvPr id="126774" name="图表 4"/>
        <xdr:cNvGraphicFramePr/>
      </xdr:nvGraphicFramePr>
      <xdr:xfrm>
        <a:off x="6203315" y="10058400"/>
        <a:ext cx="3471545" cy="273367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554355</xdr:colOff>
      <xdr:row>44</xdr:row>
      <xdr:rowOff>0</xdr:rowOff>
    </xdr:from>
    <xdr:to>
      <xdr:col>17</xdr:col>
      <xdr:colOff>636905</xdr:colOff>
      <xdr:row>55</xdr:row>
      <xdr:rowOff>219075</xdr:rowOff>
    </xdr:to>
    <xdr:graphicFrame>
      <xdr:nvGraphicFramePr>
        <xdr:cNvPr id="126775" name="图表 2" descr="7b0a202020202263686172745265734964223a202234363435353532220a7d0a"/>
        <xdr:cNvGraphicFramePr/>
      </xdr:nvGraphicFramePr>
      <xdr:xfrm>
        <a:off x="9856470" y="10058400"/>
        <a:ext cx="3470275" cy="273367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3</xdr:col>
      <xdr:colOff>0</xdr:colOff>
      <xdr:row>44</xdr:row>
      <xdr:rowOff>0</xdr:rowOff>
    </xdr:from>
    <xdr:to>
      <xdr:col>7</xdr:col>
      <xdr:colOff>103505</xdr:colOff>
      <xdr:row>55</xdr:row>
      <xdr:rowOff>219075</xdr:rowOff>
    </xdr:to>
    <xdr:graphicFrame>
      <xdr:nvGraphicFramePr>
        <xdr:cNvPr id="133881" name="图表 1"/>
        <xdr:cNvGraphicFramePr/>
      </xdr:nvGraphicFramePr>
      <xdr:xfrm>
        <a:off x="2542540" y="10058400"/>
        <a:ext cx="3475355" cy="273367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288925</xdr:colOff>
      <xdr:row>44</xdr:row>
      <xdr:rowOff>0</xdr:rowOff>
    </xdr:from>
    <xdr:to>
      <xdr:col>12</xdr:col>
      <xdr:colOff>372745</xdr:colOff>
      <xdr:row>55</xdr:row>
      <xdr:rowOff>219075</xdr:rowOff>
    </xdr:to>
    <xdr:graphicFrame>
      <xdr:nvGraphicFramePr>
        <xdr:cNvPr id="133882" name="图表 4"/>
        <xdr:cNvGraphicFramePr/>
      </xdr:nvGraphicFramePr>
      <xdr:xfrm>
        <a:off x="6203315" y="10058400"/>
        <a:ext cx="3471545" cy="273367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554355</xdr:colOff>
      <xdr:row>44</xdr:row>
      <xdr:rowOff>0</xdr:rowOff>
    </xdr:from>
    <xdr:to>
      <xdr:col>17</xdr:col>
      <xdr:colOff>636905</xdr:colOff>
      <xdr:row>55</xdr:row>
      <xdr:rowOff>219075</xdr:rowOff>
    </xdr:to>
    <xdr:graphicFrame>
      <xdr:nvGraphicFramePr>
        <xdr:cNvPr id="133883" name="图表 2" descr="7b0a202020202263686172745265734964223a202234363435353532220a7d0a"/>
        <xdr:cNvGraphicFramePr/>
      </xdr:nvGraphicFramePr>
      <xdr:xfrm>
        <a:off x="9856470" y="10058400"/>
        <a:ext cx="3470275" cy="273367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3</xdr:col>
      <xdr:colOff>0</xdr:colOff>
      <xdr:row>44</xdr:row>
      <xdr:rowOff>0</xdr:rowOff>
    </xdr:from>
    <xdr:to>
      <xdr:col>7</xdr:col>
      <xdr:colOff>103505</xdr:colOff>
      <xdr:row>55</xdr:row>
      <xdr:rowOff>219075</xdr:rowOff>
    </xdr:to>
    <xdr:graphicFrame>
      <xdr:nvGraphicFramePr>
        <xdr:cNvPr id="134905" name="图表 4"/>
        <xdr:cNvGraphicFramePr/>
      </xdr:nvGraphicFramePr>
      <xdr:xfrm>
        <a:off x="2542540" y="10058400"/>
        <a:ext cx="3475355" cy="273367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288925</xdr:colOff>
      <xdr:row>44</xdr:row>
      <xdr:rowOff>0</xdr:rowOff>
    </xdr:from>
    <xdr:to>
      <xdr:col>12</xdr:col>
      <xdr:colOff>372745</xdr:colOff>
      <xdr:row>55</xdr:row>
      <xdr:rowOff>219075</xdr:rowOff>
    </xdr:to>
    <xdr:graphicFrame>
      <xdr:nvGraphicFramePr>
        <xdr:cNvPr id="134906" name="图表 4"/>
        <xdr:cNvGraphicFramePr/>
      </xdr:nvGraphicFramePr>
      <xdr:xfrm>
        <a:off x="6203315" y="10058400"/>
        <a:ext cx="3471545" cy="273367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554355</xdr:colOff>
      <xdr:row>44</xdr:row>
      <xdr:rowOff>0</xdr:rowOff>
    </xdr:from>
    <xdr:to>
      <xdr:col>17</xdr:col>
      <xdr:colOff>636905</xdr:colOff>
      <xdr:row>55</xdr:row>
      <xdr:rowOff>219075</xdr:rowOff>
    </xdr:to>
    <xdr:graphicFrame>
      <xdr:nvGraphicFramePr>
        <xdr:cNvPr id="134907" name="图表 2" descr="7b0a202020202263686172745265734964223a202234363435353532220a7d0a"/>
        <xdr:cNvGraphicFramePr/>
      </xdr:nvGraphicFramePr>
      <xdr:xfrm>
        <a:off x="9856470" y="10058400"/>
        <a:ext cx="3470275" cy="273367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3</xdr:col>
      <xdr:colOff>0</xdr:colOff>
      <xdr:row>44</xdr:row>
      <xdr:rowOff>0</xdr:rowOff>
    </xdr:from>
    <xdr:to>
      <xdr:col>7</xdr:col>
      <xdr:colOff>103505</xdr:colOff>
      <xdr:row>55</xdr:row>
      <xdr:rowOff>219075</xdr:rowOff>
    </xdr:to>
    <xdr:graphicFrame>
      <xdr:nvGraphicFramePr>
        <xdr:cNvPr id="135929" name="图表 1"/>
        <xdr:cNvGraphicFramePr/>
      </xdr:nvGraphicFramePr>
      <xdr:xfrm>
        <a:off x="2542540" y="10058400"/>
        <a:ext cx="3475355" cy="273367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288925</xdr:colOff>
      <xdr:row>44</xdr:row>
      <xdr:rowOff>0</xdr:rowOff>
    </xdr:from>
    <xdr:to>
      <xdr:col>12</xdr:col>
      <xdr:colOff>372745</xdr:colOff>
      <xdr:row>55</xdr:row>
      <xdr:rowOff>219075</xdr:rowOff>
    </xdr:to>
    <xdr:graphicFrame>
      <xdr:nvGraphicFramePr>
        <xdr:cNvPr id="135930" name="图表 4"/>
        <xdr:cNvGraphicFramePr/>
      </xdr:nvGraphicFramePr>
      <xdr:xfrm>
        <a:off x="6203315" y="10058400"/>
        <a:ext cx="3471545" cy="273367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554355</xdr:colOff>
      <xdr:row>44</xdr:row>
      <xdr:rowOff>0</xdr:rowOff>
    </xdr:from>
    <xdr:to>
      <xdr:col>17</xdr:col>
      <xdr:colOff>636905</xdr:colOff>
      <xdr:row>55</xdr:row>
      <xdr:rowOff>219075</xdr:rowOff>
    </xdr:to>
    <xdr:graphicFrame>
      <xdr:nvGraphicFramePr>
        <xdr:cNvPr id="135931" name="图表 2" descr="7b0a202020202263686172745265734964223a202234363435353532220a7d0a"/>
        <xdr:cNvGraphicFramePr/>
      </xdr:nvGraphicFramePr>
      <xdr:xfrm>
        <a:off x="9856470" y="10058400"/>
        <a:ext cx="3470275" cy="273367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3</xdr:col>
      <xdr:colOff>0</xdr:colOff>
      <xdr:row>44</xdr:row>
      <xdr:rowOff>0</xdr:rowOff>
    </xdr:from>
    <xdr:to>
      <xdr:col>7</xdr:col>
      <xdr:colOff>103505</xdr:colOff>
      <xdr:row>55</xdr:row>
      <xdr:rowOff>219075</xdr:rowOff>
    </xdr:to>
    <xdr:graphicFrame>
      <xdr:nvGraphicFramePr>
        <xdr:cNvPr id="136953" name="图表 1"/>
        <xdr:cNvGraphicFramePr/>
      </xdr:nvGraphicFramePr>
      <xdr:xfrm>
        <a:off x="2542540" y="10058400"/>
        <a:ext cx="3475355" cy="273367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288925</xdr:colOff>
      <xdr:row>44</xdr:row>
      <xdr:rowOff>0</xdr:rowOff>
    </xdr:from>
    <xdr:to>
      <xdr:col>12</xdr:col>
      <xdr:colOff>372745</xdr:colOff>
      <xdr:row>55</xdr:row>
      <xdr:rowOff>219075</xdr:rowOff>
    </xdr:to>
    <xdr:graphicFrame>
      <xdr:nvGraphicFramePr>
        <xdr:cNvPr id="136954" name="图表 4"/>
        <xdr:cNvGraphicFramePr/>
      </xdr:nvGraphicFramePr>
      <xdr:xfrm>
        <a:off x="6203315" y="10058400"/>
        <a:ext cx="3471545" cy="273367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554355</xdr:colOff>
      <xdr:row>44</xdr:row>
      <xdr:rowOff>0</xdr:rowOff>
    </xdr:from>
    <xdr:to>
      <xdr:col>17</xdr:col>
      <xdr:colOff>636905</xdr:colOff>
      <xdr:row>55</xdr:row>
      <xdr:rowOff>219075</xdr:rowOff>
    </xdr:to>
    <xdr:graphicFrame>
      <xdr:nvGraphicFramePr>
        <xdr:cNvPr id="136955" name="图表 2" descr="7b0a202020202263686172745265734964223a202234363435353532220a7d0a"/>
        <xdr:cNvGraphicFramePr/>
      </xdr:nvGraphicFramePr>
      <xdr:xfrm>
        <a:off x="9856470" y="10058400"/>
        <a:ext cx="3470275" cy="273367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1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3</xdr:col>
      <xdr:colOff>0</xdr:colOff>
      <xdr:row>44</xdr:row>
      <xdr:rowOff>0</xdr:rowOff>
    </xdr:from>
    <xdr:to>
      <xdr:col>7</xdr:col>
      <xdr:colOff>103505</xdr:colOff>
      <xdr:row>55</xdr:row>
      <xdr:rowOff>219075</xdr:rowOff>
    </xdr:to>
    <xdr:graphicFrame>
      <xdr:nvGraphicFramePr>
        <xdr:cNvPr id="137974" name="图表 1"/>
        <xdr:cNvGraphicFramePr/>
      </xdr:nvGraphicFramePr>
      <xdr:xfrm>
        <a:off x="2542540" y="10058400"/>
        <a:ext cx="3475355" cy="273367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288925</xdr:colOff>
      <xdr:row>44</xdr:row>
      <xdr:rowOff>0</xdr:rowOff>
    </xdr:from>
    <xdr:to>
      <xdr:col>12</xdr:col>
      <xdr:colOff>372745</xdr:colOff>
      <xdr:row>55</xdr:row>
      <xdr:rowOff>219075</xdr:rowOff>
    </xdr:to>
    <xdr:graphicFrame>
      <xdr:nvGraphicFramePr>
        <xdr:cNvPr id="137975" name="图表 4"/>
        <xdr:cNvGraphicFramePr/>
      </xdr:nvGraphicFramePr>
      <xdr:xfrm>
        <a:off x="6203315" y="10058400"/>
        <a:ext cx="3471545" cy="273367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554355</xdr:colOff>
      <xdr:row>44</xdr:row>
      <xdr:rowOff>0</xdr:rowOff>
    </xdr:from>
    <xdr:to>
      <xdr:col>17</xdr:col>
      <xdr:colOff>636905</xdr:colOff>
      <xdr:row>55</xdr:row>
      <xdr:rowOff>219075</xdr:rowOff>
    </xdr:to>
    <xdr:graphicFrame>
      <xdr:nvGraphicFramePr>
        <xdr:cNvPr id="137976" name="图表 2" descr="7b0a202020202263686172745265734964223a202234363435353532220a7d0a"/>
        <xdr:cNvGraphicFramePr/>
      </xdr:nvGraphicFramePr>
      <xdr:xfrm>
        <a:off x="9856470" y="10058400"/>
        <a:ext cx="3470275" cy="273367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1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0</xdr:colOff>
      <xdr:row>30</xdr:row>
      <xdr:rowOff>0</xdr:rowOff>
    </xdr:from>
    <xdr:to>
      <xdr:col>5</xdr:col>
      <xdr:colOff>654685</xdr:colOff>
      <xdr:row>45</xdr:row>
      <xdr:rowOff>3175</xdr:rowOff>
    </xdr:to>
    <xdr:graphicFrame>
      <xdr:nvGraphicFramePr>
        <xdr:cNvPr id="22440" name="图表 5" descr="7b0a202020202263686172745265734964223a20223230303034343430220a7d0a"/>
        <xdr:cNvGraphicFramePr/>
      </xdr:nvGraphicFramePr>
      <xdr:xfrm>
        <a:off x="0" y="6597650"/>
        <a:ext cx="6547485" cy="30988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6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0</xdr:colOff>
      <xdr:row>30</xdr:row>
      <xdr:rowOff>0</xdr:rowOff>
    </xdr:from>
    <xdr:to>
      <xdr:col>5</xdr:col>
      <xdr:colOff>654685</xdr:colOff>
      <xdr:row>43</xdr:row>
      <xdr:rowOff>3175</xdr:rowOff>
    </xdr:to>
    <xdr:graphicFrame>
      <xdr:nvGraphicFramePr>
        <xdr:cNvPr id="23464" name="图表 5" descr="7b0a202020202263686172745265734964223a20223230303034343430220a7d0a"/>
        <xdr:cNvGraphicFramePr/>
      </xdr:nvGraphicFramePr>
      <xdr:xfrm>
        <a:off x="0" y="6597650"/>
        <a:ext cx="6368415" cy="268605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WPS">
  <a:themeElements>
    <a:clrScheme name="富泽">
      <a:dk1>
        <a:srgbClr val="3E3E3E"/>
      </a:dk1>
      <a:lt1>
        <a:srgbClr val="FDFAF7"/>
      </a:lt1>
      <a:dk2>
        <a:srgbClr val="7A7A7A"/>
      </a:dk2>
      <a:lt2>
        <a:srgbClr val="F0ECE8"/>
      </a:lt2>
      <a:accent1>
        <a:srgbClr val="D2161A"/>
      </a:accent1>
      <a:accent2>
        <a:srgbClr val="F5B28C"/>
      </a:accent2>
      <a:accent3>
        <a:srgbClr val="7FA3C4"/>
      </a:accent3>
      <a:accent4>
        <a:srgbClr val="B3D4C6"/>
      </a:accent4>
      <a:accent5>
        <a:srgbClr val="FDDEC2"/>
      </a:accent5>
      <a:accent6>
        <a:srgbClr val="C2ADC8"/>
      </a:accent6>
      <a:hlink>
        <a:srgbClr val="B7B8A3"/>
      </a:hlink>
      <a:folHlink>
        <a:srgbClr val="F0E6D5"/>
      </a:folHlink>
    </a:clrScheme>
    <a:fontScheme name="思源黑体">
      <a:majorFont>
        <a:latin typeface="思源黑体 Heavy"/>
        <a:ea typeface="思源黑体 Heavy"/>
        <a:cs typeface=""/>
      </a:majorFont>
      <a:minorFont>
        <a:latin typeface="思源黑体 Medium"/>
        <a:ea typeface="思源黑体 Medium"/>
        <a:cs typeface="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theme/themeOverride1.xml><?xml version="1.0" encoding="utf-8"?>
<a:themeOverride xmlns:a="http://schemas.openxmlformats.org/drawingml/2006/main">
  <a:clrScheme name="WPS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874CB"/>
    </a:accent1>
    <a:accent2>
      <a:srgbClr val="EE822F"/>
    </a:accent2>
    <a:accent3>
      <a:srgbClr val="F2BA02"/>
    </a:accent3>
    <a:accent4>
      <a:srgbClr val="75BD42"/>
    </a:accent4>
    <a:accent5>
      <a:srgbClr val="30C0B4"/>
    </a:accent5>
    <a:accent6>
      <a:srgbClr val="E54C5E"/>
    </a:accent6>
    <a:hlink>
      <a:srgbClr val="0026E5"/>
    </a:hlink>
    <a:folHlink>
      <a:srgbClr val="7E1FAD"/>
    </a:folHlink>
  </a:clrScheme>
  <a:fontScheme name="Office">
    <a:majorFont>
      <a:latin typeface="Calibri Light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2.xml><?xml version="1.0" encoding="utf-8"?>
<a:themeOverride xmlns:a="http://schemas.openxmlformats.org/drawingml/2006/main">
  <a:clrScheme name="WPS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874CB"/>
    </a:accent1>
    <a:accent2>
      <a:srgbClr val="EE822F"/>
    </a:accent2>
    <a:accent3>
      <a:srgbClr val="F2BA02"/>
    </a:accent3>
    <a:accent4>
      <a:srgbClr val="75BD42"/>
    </a:accent4>
    <a:accent5>
      <a:srgbClr val="30C0B4"/>
    </a:accent5>
    <a:accent6>
      <a:srgbClr val="E54C5E"/>
    </a:accent6>
    <a:hlink>
      <a:srgbClr val="0026E5"/>
    </a:hlink>
    <a:folHlink>
      <a:srgbClr val="7E1FAD"/>
    </a:folHlink>
  </a:clrScheme>
  <a:fontScheme name="Office">
    <a:majorFont>
      <a:latin typeface="Calibri Light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3.xml><?xml version="1.0" encoding="utf-8"?>
<a:themeOverride xmlns:a="http://schemas.openxmlformats.org/drawingml/2006/main">
  <a:clrScheme name="WPS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874CB"/>
    </a:accent1>
    <a:accent2>
      <a:srgbClr val="EE822F"/>
    </a:accent2>
    <a:accent3>
      <a:srgbClr val="F2BA02"/>
    </a:accent3>
    <a:accent4>
      <a:srgbClr val="75BD42"/>
    </a:accent4>
    <a:accent5>
      <a:srgbClr val="30C0B4"/>
    </a:accent5>
    <a:accent6>
      <a:srgbClr val="E54C5E"/>
    </a:accent6>
    <a:hlink>
      <a:srgbClr val="0026E5"/>
    </a:hlink>
    <a:folHlink>
      <a:srgbClr val="7E1FAD"/>
    </a:folHlink>
  </a:clrScheme>
  <a:fontScheme name="Office">
    <a:majorFont>
      <a:latin typeface="Calibri Light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4.xml><?xml version="1.0" encoding="utf-8"?>
<a:themeOverride xmlns:a="http://schemas.openxmlformats.org/drawingml/2006/main">
  <a:clrScheme name="自定义 254">
    <a:dk1>
      <a:srgbClr val="000000"/>
    </a:dk1>
    <a:lt1>
      <a:srgbClr val="FFFFFF"/>
    </a:lt1>
    <a:dk2>
      <a:srgbClr val="0C0E1F"/>
    </a:dk2>
    <a:lt2>
      <a:srgbClr val="FEFFFF"/>
    </a:lt2>
    <a:accent1>
      <a:srgbClr val="646BFE"/>
    </a:accent1>
    <a:accent2>
      <a:srgbClr val="1CC7F8"/>
    </a:accent2>
    <a:accent3>
      <a:srgbClr val="B85AFA"/>
    </a:accent3>
    <a:accent4>
      <a:srgbClr val="FFB619"/>
    </a:accent4>
    <a:accent5>
      <a:srgbClr val="3CAAF7"/>
    </a:accent5>
    <a:accent6>
      <a:srgbClr val="5569FF"/>
    </a:accent6>
    <a:hlink>
      <a:srgbClr val="304FFE"/>
    </a:hlink>
    <a:folHlink>
      <a:srgbClr val="492067"/>
    </a:folHlink>
  </a:clrScheme>
  <a:fontScheme name="自定义 2">
    <a:majorFont>
      <a:latin typeface="微软雅黑"/>
      <a:ea typeface="微软雅黑"/>
      <a:cs typeface=""/>
    </a:majorFont>
    <a:minorFont>
      <a:latin typeface="微软雅黑"/>
      <a:ea typeface="微软雅黑"/>
      <a:cs typeface="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5.xml><?xml version="1.0" encoding="utf-8"?>
<a:themeOverride xmlns:a="http://schemas.openxmlformats.org/drawingml/2006/main">
  <a:clrScheme name="自定义 254">
    <a:dk1>
      <a:srgbClr val="000000"/>
    </a:dk1>
    <a:lt1>
      <a:srgbClr val="FFFFFF"/>
    </a:lt1>
    <a:dk2>
      <a:srgbClr val="0C0E1F"/>
    </a:dk2>
    <a:lt2>
      <a:srgbClr val="FEFFFF"/>
    </a:lt2>
    <a:accent1>
      <a:srgbClr val="646BFE"/>
    </a:accent1>
    <a:accent2>
      <a:srgbClr val="1CC7F8"/>
    </a:accent2>
    <a:accent3>
      <a:srgbClr val="B85AFA"/>
    </a:accent3>
    <a:accent4>
      <a:srgbClr val="FFB619"/>
    </a:accent4>
    <a:accent5>
      <a:srgbClr val="3CAAF7"/>
    </a:accent5>
    <a:accent6>
      <a:srgbClr val="5569FF"/>
    </a:accent6>
    <a:hlink>
      <a:srgbClr val="304FFE"/>
    </a:hlink>
    <a:folHlink>
      <a:srgbClr val="492067"/>
    </a:folHlink>
  </a:clrScheme>
  <a:fontScheme name="自定义 2">
    <a:majorFont>
      <a:latin typeface="微软雅黑"/>
      <a:ea typeface="微软雅黑"/>
      <a:cs typeface=""/>
    </a:majorFont>
    <a:minorFont>
      <a:latin typeface="微软雅黑"/>
      <a:ea typeface="微软雅黑"/>
      <a:cs typeface="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9.xml"/><Relationship Id="rId1" Type="http://schemas.openxmlformats.org/officeDocument/2006/relationships/comments" Target="../comments1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7">
    <tabColor theme="9"/>
  </sheetPr>
  <dimension ref="A1:L24"/>
  <sheetViews>
    <sheetView zoomScale="120" zoomScaleNormal="120" workbookViewId="0">
      <selection activeCell="G2" sqref="G2"/>
    </sheetView>
  </sheetViews>
  <sheetFormatPr defaultColWidth="9" defaultRowHeight="14.55"/>
  <cols>
    <col min="1" max="1" width="13.0720720720721" customWidth="1"/>
    <col min="2" max="2" width="10.8468468468468" customWidth="1"/>
    <col min="3" max="14" width="9.45945945945946" customWidth="1"/>
    <col min="15" max="15" width="15.1531531531532"/>
    <col min="16" max="18" width="12.8468468468468"/>
  </cols>
  <sheetData>
    <row r="1" ht="15.85" spans="1:12">
      <c r="A1" s="196" t="s">
        <v>0</v>
      </c>
      <c r="B1" s="197" t="s">
        <v>1</v>
      </c>
      <c r="C1" s="198" t="s">
        <v>2</v>
      </c>
      <c r="D1" s="199"/>
      <c r="E1" s="199"/>
      <c r="F1" s="199"/>
      <c r="G1" s="199"/>
      <c r="H1" s="200"/>
    </row>
    <row r="2" ht="15.85" spans="1:12">
      <c r="A2" s="201"/>
      <c r="B2" s="202" t="s">
        <v>3</v>
      </c>
      <c r="C2" s="203" t="s">
        <v>4</v>
      </c>
      <c r="D2" s="199"/>
      <c r="E2" s="199"/>
      <c r="F2" s="199"/>
      <c r="G2" s="199"/>
      <c r="H2" s="200"/>
    </row>
    <row r="3" ht="15.85" spans="1:12">
      <c r="A3" s="201"/>
      <c r="B3" s="199"/>
      <c r="C3" s="199"/>
      <c r="D3" s="199"/>
      <c r="E3" s="199"/>
      <c r="F3" s="199"/>
      <c r="G3" s="199"/>
      <c r="H3" s="200"/>
    </row>
    <row r="4" ht="15.85" spans="1:12">
      <c r="A4" s="204" t="s">
        <v>5</v>
      </c>
      <c r="B4" s="205" t="s">
        <v>6</v>
      </c>
      <c r="C4" s="206" t="s">
        <v>7</v>
      </c>
      <c r="D4" s="207" t="s">
        <v>8</v>
      </c>
      <c r="E4" s="199"/>
      <c r="F4" s="199"/>
      <c r="G4" s="199"/>
      <c r="H4" s="200"/>
    </row>
    <row r="5" ht="15.85" spans="1:12">
      <c r="A5" s="201"/>
      <c r="B5" s="208" t="s">
        <v>9</v>
      </c>
      <c r="C5" s="209" t="s">
        <v>10</v>
      </c>
      <c r="D5" s="210" t="s">
        <v>11</v>
      </c>
      <c r="E5" s="199"/>
      <c r="F5" s="199"/>
      <c r="G5" s="199"/>
      <c r="H5" s="200"/>
    </row>
    <row r="6" ht="15.85" spans="1:12">
      <c r="A6" s="201"/>
      <c r="B6" s="199"/>
      <c r="C6" s="199"/>
      <c r="D6" s="199"/>
      <c r="E6" s="199"/>
      <c r="F6" s="199"/>
      <c r="G6" s="199"/>
      <c r="H6" s="200"/>
    </row>
    <row r="7" ht="15.85" spans="1:12">
      <c r="A7" s="196" t="s">
        <v>12</v>
      </c>
      <c r="B7" s="211" t="s">
        <v>13</v>
      </c>
      <c r="C7" s="212" t="s">
        <v>14</v>
      </c>
      <c r="D7" s="213" t="s">
        <v>15</v>
      </c>
      <c r="E7" s="214" t="s">
        <v>16</v>
      </c>
      <c r="F7" s="199"/>
      <c r="G7" s="199"/>
    </row>
    <row r="8" ht="15.85" spans="1:12">
      <c r="A8" s="201"/>
      <c r="B8" s="215" t="s">
        <v>17</v>
      </c>
      <c r="C8" s="216" t="s">
        <v>18</v>
      </c>
      <c r="D8" s="217" t="s">
        <v>19</v>
      </c>
      <c r="E8" s="218" t="s">
        <v>20</v>
      </c>
      <c r="F8" s="199"/>
      <c r="G8" s="219" t="s">
        <v>17</v>
      </c>
      <c r="H8" s="220" t="s">
        <v>18</v>
      </c>
      <c r="I8" s="221" t="s">
        <v>19</v>
      </c>
      <c r="J8" s="222" t="s">
        <v>20</v>
      </c>
    </row>
    <row r="9" ht="15.85" spans="1:12">
      <c r="A9" s="201"/>
      <c r="B9" s="223"/>
      <c r="C9" s="223"/>
      <c r="D9" s="223"/>
      <c r="E9" s="223"/>
      <c r="F9" s="199"/>
      <c r="G9" s="199"/>
      <c r="H9" s="200"/>
    </row>
    <row r="10" ht="15.85" spans="1:12">
      <c r="A10" s="196" t="s">
        <v>21</v>
      </c>
      <c r="B10" s="224" t="s">
        <v>22</v>
      </c>
      <c r="C10" s="225" t="s">
        <v>23</v>
      </c>
      <c r="D10" s="226" t="s">
        <v>24</v>
      </c>
      <c r="E10" s="227" t="s">
        <v>25</v>
      </c>
      <c r="F10" s="228" t="s">
        <v>26</v>
      </c>
      <c r="G10" s="224" t="e">
        <f t="array" ref="G10">Easy获取单元格填充颜色值HEX(B10)</f>
        <v>#NAME?</v>
      </c>
      <c r="H10" s="200"/>
    </row>
    <row r="11" ht="15.85" spans="1:12">
      <c r="A11" s="196" t="s">
        <v>27</v>
      </c>
      <c r="B11" s="229" t="s">
        <v>28</v>
      </c>
      <c r="C11" s="230" t="s">
        <v>29</v>
      </c>
      <c r="D11" s="231" t="s">
        <v>30</v>
      </c>
      <c r="E11" s="232" t="s">
        <v>31</v>
      </c>
      <c r="F11" s="233" t="s">
        <v>32</v>
      </c>
      <c r="G11" s="234" t="s">
        <v>33</v>
      </c>
    </row>
    <row r="12" spans="1:12">
      <c r="A12" t="s">
        <v>34</v>
      </c>
      <c r="B12" s="235"/>
      <c r="C12" s="236"/>
      <c r="D12" s="237"/>
      <c r="E12" s="238"/>
      <c r="F12" s="239"/>
      <c r="G12" s="240"/>
      <c r="H12" s="241"/>
      <c r="I12" s="242"/>
      <c r="J12" s="243"/>
      <c r="K12" s="244"/>
      <c r="L12" s="245"/>
    </row>
    <row r="13" spans="1:12">
      <c r="B13" t="s">
        <v>35</v>
      </c>
      <c r="C13">
        <v>333333</v>
      </c>
      <c r="D13">
        <v>444758</v>
      </c>
      <c r="E13">
        <v>554455</v>
      </c>
      <c r="F13">
        <v>555544</v>
      </c>
      <c r="G13">
        <v>445544</v>
      </c>
      <c r="H13" t="s">
        <v>36</v>
      </c>
      <c r="I13" t="s">
        <v>37</v>
      </c>
      <c r="J13" t="s">
        <v>38</v>
      </c>
      <c r="K13" t="s">
        <v>39</v>
      </c>
      <c r="L13" t="s">
        <v>40</v>
      </c>
    </row>
    <row r="14" ht="21" customHeight="1" spans="1:12">
      <c r="A14" t="s">
        <v>41</v>
      </c>
    </row>
    <row r="15" ht="21" customHeight="1" spans="1:12">
      <c r="A15" t="s">
        <v>42</v>
      </c>
    </row>
    <row r="16" ht="21" customHeight="1" spans="1:12">
      <c r="A16" t="s">
        <v>43</v>
      </c>
    </row>
    <row r="17" ht="21" customHeight="1" spans="1:1">
      <c r="A17" t="s">
        <v>44</v>
      </c>
    </row>
    <row r="19" spans="1:1">
      <c r="A19" s="246" t="s">
        <v>45</v>
      </c>
    </row>
    <row r="20" spans="1:1">
      <c r="A20" s="246" t="str">
        <f ca="1">CELL("filename",A20)</f>
        <v>C:\Users\Administrator\Desktop\2026年4月分析\[【2026年4月】经营数据 - 空.xlsx]配色及公式</v>
      </c>
    </row>
    <row r="21" spans="1:1">
      <c r="A21" t="str">
        <f ca="1">MID(CELL("filename",A1),FIND("]",CELL("filename",A1))+1,30)&amp;"2024年数据"</f>
        <v>配色及公式2024年数据</v>
      </c>
    </row>
    <row r="23" spans="1:1">
      <c r="A23" t="s">
        <v>46</v>
      </c>
    </row>
    <row r="24" spans="1:1">
      <c r="A24" t="s">
        <v>47</v>
      </c>
    </row>
  </sheetData>
  <pageMargins left="0.75" right="0.75" top="1" bottom="1" header="0.5" footer="0.5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>
    <tabColor theme="5"/>
  </sheetPr>
  <dimension ref="A1:O67"/>
  <sheetViews>
    <sheetView zoomScale="130" zoomScaleNormal="130" workbookViewId="0">
      <selection activeCell="N7" sqref="N7"/>
    </sheetView>
  </sheetViews>
  <sheetFormatPr defaultColWidth="9" defaultRowHeight="14.55"/>
  <cols>
    <col min="1" max="1" width="5.23423423423423" style="25" customWidth="1"/>
    <col min="2" max="2" width="5.53153153153153" style="25" customWidth="1"/>
    <col min="3" max="3" width="18.7657657657658" style="25" customWidth="1"/>
    <col min="4" max="4" width="10.6126126126126" style="25" customWidth="1"/>
    <col min="5" max="5" width="9.69369369369369" style="25" customWidth="1"/>
    <col min="6" max="6" width="8.07207207207207" style="25" customWidth="1"/>
    <col min="7" max="8" width="9.69369369369369" style="25" customWidth="1"/>
    <col min="9" max="9" width="8.07207207207207" style="25" customWidth="1"/>
    <col min="10" max="11" width="9.69369369369369" style="25" customWidth="1"/>
    <col min="12" max="12" width="8.07207207207207" style="25" customWidth="1"/>
    <col min="13" max="13" width="9.69369369369369" style="25" customWidth="1"/>
    <col min="14" max="14" width="9.45945945945946" style="25" customWidth="1"/>
    <col min="15" max="15" width="9.84684684684685" style="25" customWidth="1"/>
    <col min="16" max="18" width="11.1531531531532" style="25"/>
    <col min="19" max="16384" width="9" style="25"/>
  </cols>
  <sheetData>
    <row r="1" ht="18" customHeight="1" spans="1:15">
      <c r="A1" s="75" t="s">
        <v>48</v>
      </c>
      <c r="B1" s="75" t="s">
        <v>49</v>
      </c>
      <c r="C1" s="75" t="s">
        <v>50</v>
      </c>
      <c r="D1" s="75" t="s">
        <v>51</v>
      </c>
      <c r="E1" s="75" t="s">
        <v>52</v>
      </c>
      <c r="F1" s="75" t="s">
        <v>53</v>
      </c>
      <c r="G1" s="75" t="s">
        <v>54</v>
      </c>
      <c r="H1" s="75" t="s">
        <v>55</v>
      </c>
      <c r="I1" s="75" t="s">
        <v>56</v>
      </c>
      <c r="J1" s="75" t="s">
        <v>57</v>
      </c>
      <c r="K1" s="75" t="s">
        <v>58</v>
      </c>
      <c r="L1" s="75" t="s">
        <v>59</v>
      </c>
      <c r="M1" s="75" t="s">
        <v>60</v>
      </c>
      <c r="O1" s="133" t="s">
        <v>61</v>
      </c>
    </row>
    <row r="2" ht="18" customHeight="1" spans="1:15">
      <c r="A2" s="134" t="s">
        <v>62</v>
      </c>
      <c r="B2" s="135">
        <v>1</v>
      </c>
      <c r="C2" s="135" t="s">
        <v>63</v>
      </c>
      <c r="D2" s="132">
        <f>SUM(E2:M2)</f>
        <v>27810.97822036</v>
      </c>
      <c r="E2" s="132">
        <v>8093.17311009175</v>
      </c>
      <c r="F2" s="132">
        <v>620.831629715222</v>
      </c>
      <c r="G2" s="132">
        <v>6392.8</v>
      </c>
      <c r="H2" s="132">
        <v>1494.87619047619</v>
      </c>
      <c r="I2" s="132">
        <v>709.51635684571</v>
      </c>
      <c r="J2" s="132">
        <v>7640.86</v>
      </c>
      <c r="K2" s="132">
        <v>1454.99726287184</v>
      </c>
      <c r="L2" s="132">
        <v>755.361936223396</v>
      </c>
      <c r="M2" s="132">
        <v>648.561734135849</v>
      </c>
    </row>
    <row r="3" ht="18" customHeight="1" spans="1:15">
      <c r="A3" s="134"/>
      <c r="B3" s="135">
        <v>2</v>
      </c>
      <c r="C3" s="135" t="s">
        <v>64</v>
      </c>
      <c r="D3" s="132">
        <f t="shared" ref="D3:D12" si="0">SUM(E3:M3)</f>
        <v>12461.6738492242</v>
      </c>
      <c r="E3" s="132">
        <v>3056.20752709174</v>
      </c>
      <c r="F3" s="132">
        <v>259.978429715222</v>
      </c>
      <c r="G3" s="132">
        <v>4789.05</v>
      </c>
      <c r="H3" s="132">
        <v>903.57</v>
      </c>
      <c r="I3" s="132">
        <v>190.720375834931</v>
      </c>
      <c r="J3" s="132">
        <v>3208.89</v>
      </c>
      <c r="K3" s="132">
        <v>-55.5167373786195</v>
      </c>
      <c r="L3" s="132">
        <v>127.818006767571</v>
      </c>
      <c r="M3" s="132">
        <v>-19.0437528066115</v>
      </c>
    </row>
    <row r="4" ht="18" customHeight="1" spans="1:15">
      <c r="A4" s="134"/>
      <c r="B4" s="135">
        <v>3</v>
      </c>
      <c r="C4" s="135" t="s">
        <v>65</v>
      </c>
      <c r="D4" s="132">
        <f t="shared" si="0"/>
        <v>7797.32818277049</v>
      </c>
      <c r="E4" s="132">
        <v>112.83541569</v>
      </c>
      <c r="F4" s="132">
        <v>296.47159212544</v>
      </c>
      <c r="G4" s="132">
        <v>4232.71</v>
      </c>
      <c r="H4" s="132">
        <v>664.10036025</v>
      </c>
      <c r="I4" s="132">
        <v>259.62622280893</v>
      </c>
      <c r="J4" s="132">
        <v>2140.79</v>
      </c>
      <c r="K4" s="132">
        <v>-178.550070598611</v>
      </c>
      <c r="L4" s="132">
        <v>91.1549076783355</v>
      </c>
      <c r="M4" s="132">
        <v>178.189754816399</v>
      </c>
    </row>
    <row r="5" ht="18" customHeight="1" spans="1:15">
      <c r="A5" s="134" t="s">
        <v>66</v>
      </c>
      <c r="B5" s="135">
        <v>4</v>
      </c>
      <c r="C5" s="135" t="s">
        <v>67</v>
      </c>
      <c r="D5" s="132">
        <f t="shared" si="0"/>
        <v>11893.2522838012</v>
      </c>
      <c r="E5" s="132">
        <v>2263.965583</v>
      </c>
      <c r="F5" s="132">
        <v>188.23</v>
      </c>
      <c r="G5" s="132">
        <v>823.59</v>
      </c>
      <c r="H5" s="132">
        <v>835.1</v>
      </c>
      <c r="I5" s="132">
        <v>268.663688</v>
      </c>
      <c r="J5" s="132">
        <v>4751.02</v>
      </c>
      <c r="K5" s="132">
        <v>1518.43400025046</v>
      </c>
      <c r="L5" s="132">
        <v>653.173235608278</v>
      </c>
      <c r="M5" s="132">
        <v>591.075776942461</v>
      </c>
    </row>
    <row r="6" ht="18" customHeight="1" spans="1:15">
      <c r="A6" s="134"/>
      <c r="B6" s="135">
        <v>4.1</v>
      </c>
      <c r="C6" s="135" t="s">
        <v>68</v>
      </c>
      <c r="D6" s="132">
        <f t="shared" si="0"/>
        <v>6663.42343798794</v>
      </c>
      <c r="E6" s="132">
        <v>637.275583</v>
      </c>
      <c r="F6" s="132">
        <v>149.04</v>
      </c>
      <c r="G6" s="132">
        <v>750.54</v>
      </c>
      <c r="H6" s="132">
        <v>795.9</v>
      </c>
      <c r="I6" s="132">
        <v>89.223688</v>
      </c>
      <c r="J6" s="132">
        <v>2813.65</v>
      </c>
      <c r="K6" s="132">
        <v>793.4447</v>
      </c>
      <c r="L6" s="132">
        <v>268.700862125478</v>
      </c>
      <c r="M6" s="132">
        <v>365.648604862461</v>
      </c>
    </row>
    <row r="7" ht="18" customHeight="1" spans="1:15">
      <c r="A7" s="134"/>
      <c r="B7" s="135" t="s">
        <v>69</v>
      </c>
      <c r="C7" s="136" t="s">
        <v>70</v>
      </c>
      <c r="D7" s="132">
        <f t="shared" si="0"/>
        <v>4472.1740331504</v>
      </c>
      <c r="E7" s="31">
        <v>484.75</v>
      </c>
      <c r="F7" s="31">
        <v>89.52</v>
      </c>
      <c r="G7" s="31">
        <v>295.69</v>
      </c>
      <c r="H7" s="31">
        <v>298.77</v>
      </c>
      <c r="I7" s="31">
        <v>56.812</v>
      </c>
      <c r="J7" s="31">
        <v>2148.46</v>
      </c>
      <c r="K7" s="31">
        <v>700.56</v>
      </c>
      <c r="L7" s="31">
        <v>195.085798</v>
      </c>
      <c r="M7" s="31">
        <v>202.5262351504</v>
      </c>
    </row>
    <row r="8" ht="18" customHeight="1" spans="1:15">
      <c r="A8" s="134"/>
      <c r="B8" s="135" t="s">
        <v>71</v>
      </c>
      <c r="C8" s="136" t="s">
        <v>72</v>
      </c>
      <c r="D8" s="132">
        <f t="shared" si="0"/>
        <v>2191.24940483754</v>
      </c>
      <c r="E8" s="31">
        <v>152.525583</v>
      </c>
      <c r="F8" s="31">
        <v>59.52</v>
      </c>
      <c r="G8" s="31">
        <v>454.85</v>
      </c>
      <c r="H8" s="31">
        <v>497.13</v>
      </c>
      <c r="I8" s="31">
        <v>32.411688</v>
      </c>
      <c r="J8" s="31">
        <v>665.19</v>
      </c>
      <c r="K8" s="31">
        <v>92.8847</v>
      </c>
      <c r="L8" s="31">
        <v>73.6150641254776</v>
      </c>
      <c r="M8" s="31">
        <v>163.12236971206</v>
      </c>
    </row>
    <row r="9" ht="18" customHeight="1" spans="1:15">
      <c r="A9" s="134"/>
      <c r="B9" s="135">
        <v>4.2</v>
      </c>
      <c r="C9" s="135" t="s">
        <v>73</v>
      </c>
      <c r="D9" s="132">
        <f t="shared" si="0"/>
        <v>5229.82884581326</v>
      </c>
      <c r="E9" s="132">
        <v>1626.69</v>
      </c>
      <c r="F9" s="132">
        <v>39.19</v>
      </c>
      <c r="G9" s="132">
        <v>73.05</v>
      </c>
      <c r="H9" s="132">
        <v>39.2</v>
      </c>
      <c r="I9" s="132">
        <v>179.44</v>
      </c>
      <c r="J9" s="132">
        <v>1937.37</v>
      </c>
      <c r="K9" s="132">
        <v>724.989300250459</v>
      </c>
      <c r="L9" s="132">
        <v>384.4723734828</v>
      </c>
      <c r="M9" s="132">
        <v>225.42717208</v>
      </c>
    </row>
    <row r="10" ht="18" customHeight="1" spans="1:15">
      <c r="A10" s="134"/>
      <c r="B10" s="135" t="s">
        <v>74</v>
      </c>
      <c r="C10" s="136" t="s">
        <v>75</v>
      </c>
      <c r="D10" s="132">
        <f t="shared" si="0"/>
        <v>2989.9257424</v>
      </c>
      <c r="E10" s="31">
        <v>1626.69</v>
      </c>
      <c r="F10" s="31">
        <v>39.19</v>
      </c>
      <c r="G10" s="31">
        <v>73.05</v>
      </c>
      <c r="H10" s="31">
        <v>39.2</v>
      </c>
      <c r="I10" s="31">
        <v>179.44</v>
      </c>
      <c r="J10" s="31">
        <v>647.28</v>
      </c>
      <c r="K10" s="31">
        <v>225.42</v>
      </c>
      <c r="L10" s="31">
        <v>81.588744</v>
      </c>
      <c r="M10" s="31">
        <v>78.0669984</v>
      </c>
    </row>
    <row r="11" ht="18" customHeight="1" spans="1:15">
      <c r="A11" s="134"/>
      <c r="B11" s="135" t="s">
        <v>76</v>
      </c>
      <c r="C11" s="136" t="s">
        <v>77</v>
      </c>
      <c r="D11" s="132">
        <f t="shared" si="0"/>
        <v>2239.90310341326</v>
      </c>
      <c r="E11" s="31">
        <v>0</v>
      </c>
      <c r="F11" s="31">
        <v>0</v>
      </c>
      <c r="G11" s="31">
        <v>0</v>
      </c>
      <c r="H11" s="31">
        <v>0</v>
      </c>
      <c r="I11" s="31">
        <v>0</v>
      </c>
      <c r="J11" s="31">
        <v>1290.09</v>
      </c>
      <c r="K11" s="31">
        <v>499.569300250459</v>
      </c>
      <c r="L11" s="31">
        <v>302.8836294828</v>
      </c>
      <c r="M11" s="31">
        <v>147.36017368</v>
      </c>
    </row>
    <row r="12" ht="18" customHeight="1" spans="1:15">
      <c r="A12" s="134"/>
      <c r="B12" s="135">
        <v>5</v>
      </c>
      <c r="C12" s="135" t="s">
        <v>78</v>
      </c>
      <c r="D12" s="132">
        <f t="shared" si="0"/>
        <v>1648.888</v>
      </c>
      <c r="E12" s="132">
        <v>842</v>
      </c>
      <c r="F12" s="132">
        <v>79.6</v>
      </c>
      <c r="G12" s="132">
        <v>226.85</v>
      </c>
      <c r="H12" s="132">
        <v>52</v>
      </c>
      <c r="I12" s="132">
        <v>0</v>
      </c>
      <c r="J12" s="132">
        <v>294.498</v>
      </c>
      <c r="K12" s="132">
        <v>153.94</v>
      </c>
      <c r="L12" s="132">
        <v>0</v>
      </c>
      <c r="M12" s="132">
        <v>0</v>
      </c>
    </row>
    <row r="13" ht="18" customHeight="1" spans="1:15">
      <c r="A13" s="134" t="s">
        <v>79</v>
      </c>
      <c r="B13" s="135">
        <v>6</v>
      </c>
      <c r="C13" s="135" t="s">
        <v>80</v>
      </c>
      <c r="D13" s="137"/>
      <c r="E13" s="96">
        <v>0.65</v>
      </c>
      <c r="F13" s="96">
        <v>0.7171</v>
      </c>
      <c r="G13" s="96">
        <v>0.5715</v>
      </c>
      <c r="H13" s="96">
        <v>0.69</v>
      </c>
      <c r="I13" s="96">
        <v>0.5805</v>
      </c>
      <c r="J13" s="96">
        <v>0.8203</v>
      </c>
      <c r="K13" s="96">
        <v>0.71</v>
      </c>
      <c r="L13" s="137">
        <v>0</v>
      </c>
      <c r="M13" s="137">
        <v>0</v>
      </c>
    </row>
    <row r="14" ht="18" customHeight="1" spans="1:15">
      <c r="A14" s="134"/>
      <c r="B14" s="135">
        <v>7</v>
      </c>
      <c r="C14" s="135" t="s">
        <v>81</v>
      </c>
      <c r="D14" s="137"/>
      <c r="E14" s="96">
        <v>0.95</v>
      </c>
      <c r="F14" s="96">
        <v>0.95</v>
      </c>
      <c r="G14" s="96">
        <v>0.95</v>
      </c>
      <c r="H14" s="96">
        <v>0.89</v>
      </c>
      <c r="I14" s="96">
        <v>0.95</v>
      </c>
      <c r="J14" s="96">
        <v>0.842</v>
      </c>
      <c r="K14" s="96">
        <v>0.98</v>
      </c>
      <c r="L14" s="137">
        <v>0</v>
      </c>
      <c r="M14" s="137">
        <v>0</v>
      </c>
    </row>
    <row r="15" ht="18" customHeight="1" spans="1:15">
      <c r="A15" s="134"/>
      <c r="B15" s="135">
        <v>8</v>
      </c>
      <c r="C15" s="135" t="s">
        <v>82</v>
      </c>
      <c r="D15" s="138"/>
      <c r="E15" s="138">
        <v>0</v>
      </c>
      <c r="F15" s="138">
        <v>0</v>
      </c>
      <c r="G15" s="138">
        <v>0</v>
      </c>
      <c r="H15" s="138">
        <v>0</v>
      </c>
      <c r="I15" s="138">
        <v>0</v>
      </c>
      <c r="J15" s="132">
        <v>4.7</v>
      </c>
      <c r="K15" s="132">
        <v>4.7</v>
      </c>
      <c r="L15" s="138">
        <v>0</v>
      </c>
      <c r="M15" s="138">
        <v>0</v>
      </c>
    </row>
    <row r="16" ht="18" customHeight="1" spans="1:15">
      <c r="A16" s="134"/>
      <c r="B16" s="135">
        <v>9</v>
      </c>
      <c r="C16" s="135" t="s">
        <v>83</v>
      </c>
      <c r="D16" s="132">
        <f>SUM(E16:M16)</f>
        <v>3652</v>
      </c>
      <c r="E16" s="138">
        <v>0</v>
      </c>
      <c r="F16" s="138">
        <v>0</v>
      </c>
      <c r="G16" s="138">
        <v>0</v>
      </c>
      <c r="H16" s="138">
        <v>0</v>
      </c>
      <c r="I16" s="138">
        <v>0</v>
      </c>
      <c r="J16" s="138">
        <v>0</v>
      </c>
      <c r="K16" s="138">
        <v>0</v>
      </c>
      <c r="L16" s="132">
        <v>862</v>
      </c>
      <c r="M16" s="132">
        <v>2790</v>
      </c>
    </row>
    <row r="17" ht="18" customHeight="1" spans="1:13">
      <c r="A17" s="134"/>
      <c r="B17" s="135">
        <v>10</v>
      </c>
      <c r="C17" s="135" t="s">
        <v>84</v>
      </c>
      <c r="D17" s="137"/>
      <c r="E17" s="137"/>
      <c r="F17" s="137"/>
      <c r="G17" s="137"/>
      <c r="H17" s="137"/>
      <c r="I17" s="137"/>
      <c r="J17" s="137"/>
      <c r="K17" s="137"/>
      <c r="L17" s="96"/>
      <c r="M17" s="96"/>
    </row>
    <row r="18" ht="18" customHeight="1" spans="1:13">
      <c r="A18" s="134"/>
      <c r="B18" s="135">
        <v>11</v>
      </c>
      <c r="C18" s="135" t="s">
        <v>85</v>
      </c>
      <c r="D18" s="137"/>
      <c r="E18" s="137"/>
      <c r="F18" s="137"/>
      <c r="G18" s="137"/>
      <c r="H18" s="137"/>
      <c r="I18" s="137"/>
      <c r="J18" s="137"/>
      <c r="K18" s="137"/>
      <c r="L18" s="96"/>
      <c r="M18" s="96"/>
    </row>
    <row r="19" ht="18" customHeight="1"/>
    <row r="20" ht="20.05" customHeight="1"/>
    <row r="21" ht="18" customHeight="1" spans="1:13">
      <c r="A21" s="139" t="s">
        <v>0</v>
      </c>
      <c r="B21" s="140" t="s">
        <v>1</v>
      </c>
      <c r="C21" s="141" t="s">
        <v>2</v>
      </c>
      <c r="D21" s="142"/>
      <c r="E21" s="142"/>
      <c r="F21" s="142"/>
      <c r="G21" s="142"/>
    </row>
    <row r="22" ht="18" customHeight="1" spans="1:13">
      <c r="A22" s="143"/>
      <c r="B22" s="144" t="s">
        <v>3</v>
      </c>
      <c r="C22" s="145" t="s">
        <v>4</v>
      </c>
      <c r="D22" s="142"/>
      <c r="E22" s="142"/>
      <c r="F22" s="142"/>
      <c r="G22" s="142"/>
    </row>
    <row r="23" ht="18" customHeight="1" spans="1:13">
      <c r="A23" s="143"/>
      <c r="B23" s="142"/>
      <c r="C23" s="142"/>
      <c r="D23" s="142"/>
      <c r="E23" s="142"/>
      <c r="F23" s="142"/>
      <c r="G23" s="142"/>
    </row>
    <row r="24" ht="18" customHeight="1" spans="1:13">
      <c r="A24" s="146" t="s">
        <v>5</v>
      </c>
      <c r="B24" s="147" t="s">
        <v>6</v>
      </c>
      <c r="C24" s="148" t="s">
        <v>7</v>
      </c>
      <c r="D24" s="149" t="s">
        <v>8</v>
      </c>
      <c r="E24" s="142"/>
      <c r="F24" s="150" t="s">
        <v>86</v>
      </c>
      <c r="G24" s="142"/>
    </row>
    <row r="25" ht="18" customHeight="1" spans="1:13">
      <c r="A25" s="143"/>
      <c r="B25" s="151" t="s">
        <v>9</v>
      </c>
      <c r="C25" s="152" t="s">
        <v>10</v>
      </c>
      <c r="D25" s="153" t="s">
        <v>11</v>
      </c>
      <c r="E25" s="142"/>
      <c r="F25" s="154" t="s">
        <v>87</v>
      </c>
      <c r="G25" s="142"/>
    </row>
    <row r="26" ht="18" customHeight="1" spans="1:13">
      <c r="A26" s="143"/>
      <c r="B26" s="142"/>
      <c r="C26" s="142"/>
      <c r="D26" s="142"/>
      <c r="E26" s="142"/>
      <c r="F26" s="142"/>
      <c r="G26" s="142"/>
    </row>
    <row r="27" ht="18" customHeight="1" spans="1:13">
      <c r="A27" s="139" t="s">
        <v>12</v>
      </c>
      <c r="B27" s="155" t="s">
        <v>13</v>
      </c>
      <c r="C27" s="156" t="s">
        <v>14</v>
      </c>
      <c r="D27" s="157" t="s">
        <v>15</v>
      </c>
      <c r="F27" s="142"/>
      <c r="G27" s="142"/>
    </row>
    <row r="28" ht="18" customHeight="1" spans="1:13">
      <c r="A28" s="143"/>
      <c r="B28" s="158" t="s">
        <v>17</v>
      </c>
      <c r="C28" s="159" t="s">
        <v>18</v>
      </c>
      <c r="D28" s="160" t="s">
        <v>19</v>
      </c>
      <c r="E28" s="161" t="s">
        <v>20</v>
      </c>
      <c r="F28" s="162" t="s">
        <v>16</v>
      </c>
      <c r="G28" s="142"/>
      <c r="I28" s="163" t="s">
        <v>17</v>
      </c>
      <c r="J28" s="164" t="s">
        <v>18</v>
      </c>
      <c r="K28" s="165" t="s">
        <v>19</v>
      </c>
      <c r="L28" s="166" t="s">
        <v>20</v>
      </c>
    </row>
    <row r="29" ht="18" customHeight="1" spans="1:13">
      <c r="A29" s="143"/>
      <c r="B29" s="167"/>
      <c r="C29" s="167"/>
      <c r="D29" s="167"/>
      <c r="E29" s="167"/>
      <c r="F29" s="142"/>
      <c r="G29" s="142"/>
    </row>
    <row r="30" ht="18" customHeight="1" spans="1:13">
      <c r="A30" s="139" t="s">
        <v>21</v>
      </c>
      <c r="B30" s="168" t="s">
        <v>22</v>
      </c>
      <c r="C30" s="169" t="s">
        <v>23</v>
      </c>
      <c r="D30" s="170" t="s">
        <v>24</v>
      </c>
      <c r="E30" s="171" t="s">
        <v>25</v>
      </c>
      <c r="F30" s="172" t="s">
        <v>26</v>
      </c>
      <c r="G30" s="168" t="e">
        <f t="array" ref="G30">Easy获取单元格填充颜色值HEX(B30)</f>
        <v>#NAME?</v>
      </c>
    </row>
    <row r="31" ht="18" customHeight="1" spans="1:13">
      <c r="A31" s="139" t="s">
        <v>27</v>
      </c>
      <c r="B31" s="173" t="s">
        <v>28</v>
      </c>
      <c r="C31" s="174" t="s">
        <v>29</v>
      </c>
      <c r="D31" s="175" t="s">
        <v>30</v>
      </c>
      <c r="E31" s="176" t="s">
        <v>31</v>
      </c>
      <c r="F31" s="177" t="s">
        <v>32</v>
      </c>
      <c r="G31" s="178" t="s">
        <v>33</v>
      </c>
    </row>
    <row r="32" ht="18" customHeight="1" spans="1:13">
      <c r="A32" s="179" t="s">
        <v>34</v>
      </c>
      <c r="B32" s="180"/>
      <c r="C32" s="181"/>
      <c r="D32" s="182"/>
      <c r="E32" s="183"/>
      <c r="F32" s="184"/>
      <c r="G32" s="185"/>
      <c r="H32" s="186"/>
      <c r="I32" s="187"/>
      <c r="J32" s="188"/>
      <c r="K32" s="189"/>
      <c r="L32" s="190"/>
    </row>
    <row r="33" ht="18" customHeight="1" spans="1:12">
      <c r="B33" s="25" t="s">
        <v>35</v>
      </c>
      <c r="C33" s="25">
        <v>333333</v>
      </c>
      <c r="D33" s="25">
        <v>444758</v>
      </c>
      <c r="E33" s="25">
        <v>554455</v>
      </c>
      <c r="F33" s="25">
        <v>555544</v>
      </c>
      <c r="G33" s="25">
        <v>445544</v>
      </c>
      <c r="H33" s="25" t="s">
        <v>36</v>
      </c>
      <c r="I33" s="25" t="s">
        <v>37</v>
      </c>
      <c r="J33" s="25" t="s">
        <v>38</v>
      </c>
      <c r="K33" s="25" t="s">
        <v>39</v>
      </c>
      <c r="L33" s="25" t="s">
        <v>40</v>
      </c>
    </row>
    <row r="34" ht="18" customHeight="1"/>
    <row r="35" ht="24" customHeight="1" spans="1:12">
      <c r="A35" s="191" t="s">
        <v>41</v>
      </c>
      <c r="B35" s="191"/>
      <c r="C35" s="191"/>
      <c r="D35" s="191"/>
      <c r="E35" s="191"/>
      <c r="F35" s="191"/>
      <c r="G35" s="191"/>
      <c r="H35" s="191"/>
      <c r="I35" s="191"/>
    </row>
    <row r="36" ht="24" customHeight="1" spans="1:12">
      <c r="A36" s="192" t="s">
        <v>88</v>
      </c>
      <c r="B36" s="192"/>
      <c r="C36" s="192"/>
      <c r="D36" s="192"/>
      <c r="E36" s="192"/>
      <c r="F36" s="192"/>
      <c r="G36" s="192"/>
      <c r="H36" s="192"/>
      <c r="I36" s="192"/>
    </row>
    <row r="37" ht="24" customHeight="1" spans="1:12">
      <c r="A37" s="191" t="s">
        <v>43</v>
      </c>
      <c r="B37" s="191"/>
      <c r="C37" s="191"/>
      <c r="D37" s="191"/>
      <c r="E37" s="191"/>
      <c r="F37" s="191"/>
      <c r="G37" s="191"/>
      <c r="H37" s="191"/>
      <c r="I37" s="191"/>
    </row>
    <row r="38" ht="24" customHeight="1" spans="1:12">
      <c r="A38" s="193" t="s">
        <v>44</v>
      </c>
      <c r="B38" s="193"/>
      <c r="C38" s="193"/>
      <c r="D38" s="193"/>
      <c r="E38" s="193"/>
      <c r="F38" s="193"/>
      <c r="G38" s="193"/>
      <c r="H38" s="193"/>
      <c r="I38" s="193"/>
    </row>
    <row r="39" ht="24" customHeight="1" spans="1:12">
      <c r="A39" s="191" t="s">
        <v>89</v>
      </c>
      <c r="B39" s="191"/>
      <c r="C39" s="191"/>
      <c r="D39" s="191"/>
      <c r="E39" s="191"/>
      <c r="F39" s="191"/>
      <c r="G39" s="191"/>
      <c r="H39" s="191"/>
      <c r="I39" s="191"/>
    </row>
    <row r="40" ht="24" customHeight="1" spans="1:12">
      <c r="A40" s="193" t="s">
        <v>90</v>
      </c>
      <c r="B40" s="193"/>
      <c r="C40" s="193"/>
      <c r="D40" s="193"/>
      <c r="E40" s="193"/>
      <c r="F40" s="193"/>
      <c r="G40" s="193"/>
      <c r="H40" s="193"/>
      <c r="I40" s="193"/>
    </row>
    <row r="41" ht="24" customHeight="1" spans="1:12">
      <c r="A41" s="191" t="s">
        <v>91</v>
      </c>
      <c r="B41" s="191"/>
      <c r="C41" s="191"/>
      <c r="D41" s="191"/>
      <c r="E41" s="191"/>
      <c r="F41" s="191"/>
      <c r="G41" s="191"/>
      <c r="H41" s="191"/>
      <c r="I41" s="191"/>
    </row>
    <row r="42" ht="24" customHeight="1" spans="1:12">
      <c r="A42" s="193" t="s">
        <v>92</v>
      </c>
      <c r="B42" s="193"/>
      <c r="C42" s="193"/>
      <c r="D42" s="193"/>
      <c r="E42" s="193"/>
      <c r="F42" s="193"/>
      <c r="G42" s="193"/>
      <c r="H42" s="193"/>
      <c r="I42" s="193"/>
    </row>
    <row r="43" ht="24" customHeight="1" spans="1:12">
      <c r="A43" s="191" t="s">
        <v>93</v>
      </c>
      <c r="B43" s="191"/>
      <c r="C43" s="191"/>
      <c r="D43" s="191"/>
      <c r="E43" s="191"/>
      <c r="F43" s="191"/>
      <c r="G43" s="191"/>
      <c r="H43" s="191"/>
      <c r="I43" s="191"/>
    </row>
    <row r="44" ht="24" customHeight="1" spans="1:12">
      <c r="A44" s="193" t="s">
        <v>94</v>
      </c>
      <c r="B44" s="193"/>
      <c r="C44" s="193"/>
      <c r="D44" s="193"/>
      <c r="E44" s="193"/>
      <c r="F44" s="193"/>
      <c r="G44" s="193"/>
      <c r="H44" s="193"/>
      <c r="I44" s="193"/>
    </row>
    <row r="45" ht="24" customHeight="1" spans="1:12">
      <c r="A45" s="191" t="s">
        <v>95</v>
      </c>
      <c r="B45" s="191"/>
      <c r="C45" s="191"/>
      <c r="D45" s="191"/>
      <c r="E45" s="191"/>
      <c r="F45" s="191"/>
      <c r="G45" s="191"/>
      <c r="H45" s="191"/>
      <c r="I45" s="191"/>
    </row>
    <row r="46" ht="24" customHeight="1" spans="1:12">
      <c r="A46" s="193" t="s">
        <v>96</v>
      </c>
      <c r="B46" s="193"/>
      <c r="C46" s="193"/>
      <c r="D46" s="193"/>
      <c r="E46" s="193"/>
      <c r="F46" s="193"/>
      <c r="G46" s="193"/>
      <c r="H46" s="193"/>
      <c r="I46" s="193"/>
    </row>
    <row r="47" ht="24" customHeight="1" spans="1:12">
      <c r="A47" s="191" t="s">
        <v>97</v>
      </c>
      <c r="B47" s="191"/>
      <c r="C47" s="191"/>
      <c r="D47" s="191"/>
      <c r="E47" s="191"/>
      <c r="F47" s="191"/>
      <c r="G47" s="191"/>
      <c r="H47" s="191"/>
      <c r="I47" s="191"/>
    </row>
    <row r="48" ht="24" customHeight="1" spans="1:12">
      <c r="A48" s="193" t="s">
        <v>98</v>
      </c>
      <c r="B48" s="193"/>
      <c r="C48" s="193"/>
      <c r="D48" s="193"/>
      <c r="E48" s="193"/>
      <c r="F48" s="193"/>
      <c r="G48" s="193"/>
      <c r="H48" s="193"/>
      <c r="I48" s="193"/>
    </row>
    <row r="49" ht="24" customHeight="1" spans="1:9">
      <c r="A49" s="191" t="s">
        <v>99</v>
      </c>
      <c r="B49" s="191"/>
      <c r="C49" s="191"/>
      <c r="D49" s="191"/>
      <c r="E49" s="191"/>
      <c r="F49" s="191"/>
      <c r="G49" s="191"/>
      <c r="H49" s="191"/>
      <c r="I49" s="191"/>
    </row>
    <row r="50" ht="24" customHeight="1" spans="1:9">
      <c r="A50" s="193" t="s">
        <v>100</v>
      </c>
      <c r="B50" s="193"/>
      <c r="C50" s="193"/>
      <c r="D50" s="193"/>
      <c r="E50" s="193"/>
      <c r="F50" s="193"/>
      <c r="G50" s="193"/>
      <c r="H50" s="193"/>
      <c r="I50" s="193"/>
    </row>
    <row r="51" ht="87" customHeight="1" spans="1:9">
      <c r="A51" s="194" t="s">
        <v>101</v>
      </c>
      <c r="B51" s="194"/>
      <c r="C51" s="194"/>
      <c r="D51" s="194"/>
      <c r="E51" s="194"/>
      <c r="F51" s="194"/>
      <c r="G51" s="194"/>
      <c r="H51" s="194"/>
      <c r="I51" s="194"/>
    </row>
    <row r="52" ht="24" customHeight="1" spans="1:9">
      <c r="A52" s="193" t="s">
        <v>102</v>
      </c>
      <c r="B52" s="193"/>
      <c r="C52" s="193"/>
      <c r="D52" s="193"/>
      <c r="E52" s="193"/>
      <c r="F52" s="193"/>
      <c r="G52" s="193"/>
      <c r="H52" s="193"/>
      <c r="I52" s="193"/>
    </row>
    <row r="53" ht="24" customHeight="1" spans="1:9">
      <c r="A53" s="191" t="s">
        <v>103</v>
      </c>
      <c r="B53" s="191"/>
      <c r="C53" s="191"/>
      <c r="D53" s="191"/>
      <c r="E53" s="191"/>
      <c r="F53" s="191"/>
      <c r="G53" s="191"/>
      <c r="H53" s="191"/>
      <c r="I53" s="191"/>
    </row>
    <row r="54" ht="24" customHeight="1" spans="1:9">
      <c r="A54" s="193" t="s">
        <v>104</v>
      </c>
      <c r="B54" s="193"/>
      <c r="C54" s="193"/>
      <c r="D54" s="193"/>
      <c r="E54" s="193"/>
      <c r="F54" s="193"/>
      <c r="G54" s="193"/>
      <c r="H54" s="193"/>
      <c r="I54" s="193"/>
    </row>
    <row r="55" ht="24" customHeight="1" spans="1:9">
      <c r="A55" s="195" t="s">
        <v>105</v>
      </c>
      <c r="B55" s="195"/>
      <c r="C55" s="195"/>
      <c r="D55" s="195"/>
      <c r="E55" s="195"/>
      <c r="F55" s="195"/>
      <c r="G55" s="195"/>
      <c r="H55" s="195"/>
      <c r="I55" s="195"/>
    </row>
    <row r="56" ht="24" customHeight="1" spans="1:9">
      <c r="A56" s="193"/>
      <c r="B56" s="193"/>
      <c r="C56" s="193"/>
      <c r="D56" s="193"/>
      <c r="E56" s="193"/>
      <c r="F56" s="193"/>
      <c r="G56" s="193"/>
      <c r="H56" s="193"/>
      <c r="I56" s="193"/>
    </row>
    <row r="57" ht="24" customHeight="1" spans="1:9">
      <c r="A57" s="195"/>
      <c r="B57" s="195"/>
      <c r="C57" s="195"/>
      <c r="D57" s="195"/>
      <c r="E57" s="195"/>
      <c r="F57" s="195"/>
      <c r="G57" s="195"/>
      <c r="H57" s="195"/>
      <c r="I57" s="195"/>
    </row>
    <row r="58" ht="24" customHeight="1" spans="1:9">
      <c r="A58" s="193"/>
      <c r="B58" s="193"/>
      <c r="C58" s="193"/>
      <c r="D58" s="193"/>
      <c r="E58" s="193"/>
      <c r="F58" s="193"/>
      <c r="G58" s="193"/>
      <c r="H58" s="193"/>
      <c r="I58" s="193"/>
    </row>
    <row r="59" ht="24" customHeight="1" spans="1:9">
      <c r="A59" s="195"/>
      <c r="B59" s="195"/>
      <c r="C59" s="195"/>
      <c r="D59" s="195"/>
      <c r="E59" s="195"/>
      <c r="F59" s="195"/>
      <c r="G59" s="195"/>
      <c r="H59" s="195"/>
      <c r="I59" s="195"/>
    </row>
    <row r="60" ht="24" customHeight="1" spans="1:9">
      <c r="A60" s="193"/>
      <c r="B60" s="193"/>
      <c r="C60" s="193"/>
      <c r="D60" s="193"/>
      <c r="E60" s="193"/>
      <c r="F60" s="193"/>
      <c r="G60" s="193"/>
      <c r="H60" s="193"/>
      <c r="I60" s="193"/>
    </row>
    <row r="61" ht="24" customHeight="1" spans="1:9">
      <c r="A61" s="195"/>
      <c r="B61" s="195"/>
      <c r="C61" s="195"/>
      <c r="D61" s="195"/>
      <c r="E61" s="195"/>
      <c r="F61" s="195"/>
      <c r="G61" s="195"/>
      <c r="H61" s="195"/>
      <c r="I61" s="195"/>
    </row>
    <row r="62" ht="24" customHeight="1" spans="1:9">
      <c r="A62" s="193"/>
      <c r="B62" s="193"/>
      <c r="C62" s="193"/>
      <c r="D62" s="193"/>
      <c r="E62" s="193"/>
      <c r="F62" s="193"/>
      <c r="G62" s="193"/>
      <c r="H62" s="193"/>
      <c r="I62" s="193"/>
    </row>
    <row r="63" ht="24" customHeight="1" spans="1:9">
      <c r="A63" s="195"/>
      <c r="B63" s="195"/>
      <c r="C63" s="195"/>
      <c r="D63" s="195"/>
      <c r="E63" s="195"/>
      <c r="F63" s="195"/>
      <c r="G63" s="195"/>
      <c r="H63" s="195"/>
      <c r="I63" s="195"/>
    </row>
    <row r="64" ht="24" customHeight="1" spans="1:9">
      <c r="A64" s="193"/>
      <c r="B64" s="193"/>
      <c r="C64" s="193"/>
      <c r="D64" s="193"/>
      <c r="E64" s="193"/>
      <c r="F64" s="193"/>
      <c r="G64" s="193"/>
      <c r="H64" s="193"/>
      <c r="I64" s="193"/>
    </row>
    <row r="65" ht="24" customHeight="1" spans="1:9">
      <c r="A65" s="195"/>
      <c r="B65" s="195"/>
      <c r="C65" s="195"/>
      <c r="D65" s="195"/>
      <c r="E65" s="195"/>
      <c r="F65" s="195"/>
      <c r="G65" s="195"/>
      <c r="H65" s="195"/>
      <c r="I65" s="195"/>
    </row>
    <row r="66" ht="24" customHeight="1" spans="1:9">
      <c r="A66" s="193"/>
      <c r="B66" s="193"/>
      <c r="C66" s="193"/>
      <c r="D66" s="193"/>
      <c r="E66" s="193"/>
      <c r="F66" s="193"/>
      <c r="G66" s="193"/>
      <c r="H66" s="193"/>
      <c r="I66" s="193"/>
    </row>
    <row r="67" ht="24" customHeight="1" spans="1:9">
      <c r="A67" s="195"/>
      <c r="B67" s="195"/>
      <c r="C67" s="195"/>
      <c r="D67" s="195"/>
      <c r="E67" s="195"/>
      <c r="F67" s="195"/>
      <c r="G67" s="195"/>
      <c r="H67" s="195"/>
      <c r="I67" s="195"/>
    </row>
  </sheetData>
  <mergeCells count="36">
    <mergeCell ref="A35:I35"/>
    <mergeCell ref="A36:I36"/>
    <mergeCell ref="A37:I37"/>
    <mergeCell ref="A38:I38"/>
    <mergeCell ref="A39:I39"/>
    <mergeCell ref="A40:I40"/>
    <mergeCell ref="A41:I41"/>
    <mergeCell ref="A42:I42"/>
    <mergeCell ref="A43:I43"/>
    <mergeCell ref="A44:I44"/>
    <mergeCell ref="A45:I45"/>
    <mergeCell ref="A46:I46"/>
    <mergeCell ref="A47:I47"/>
    <mergeCell ref="A48:I48"/>
    <mergeCell ref="A49:I49"/>
    <mergeCell ref="A50:I50"/>
    <mergeCell ref="A51:I51"/>
    <mergeCell ref="A52:I52"/>
    <mergeCell ref="A53:I53"/>
    <mergeCell ref="A54:I54"/>
    <mergeCell ref="A55:I55"/>
    <mergeCell ref="A56:I56"/>
    <mergeCell ref="A57:I57"/>
    <mergeCell ref="A58:I58"/>
    <mergeCell ref="A59:I59"/>
    <mergeCell ref="A60:I60"/>
    <mergeCell ref="A61:I61"/>
    <mergeCell ref="A62:I62"/>
    <mergeCell ref="A63:I63"/>
    <mergeCell ref="A64:I64"/>
    <mergeCell ref="A65:I65"/>
    <mergeCell ref="A66:I66"/>
    <mergeCell ref="A67:I67"/>
    <mergeCell ref="A2:A4"/>
    <mergeCell ref="A5:A12"/>
    <mergeCell ref="A13:A18"/>
  </mergeCells>
  <pageMargins left="0.75" right="0.75" top="1" bottom="1" header="0.5" footer="0.5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2">
    <tabColor theme="5"/>
  </sheetPr>
  <dimension ref="A1:T11"/>
  <sheetViews>
    <sheetView zoomScale="130" zoomScaleNormal="130" workbookViewId="0">
      <pane xSplit="1" ySplit="1" topLeftCell="B2" activePane="bottomRight" state="frozen"/>
      <selection/>
      <selection pane="topRight"/>
      <selection pane="bottomLeft"/>
      <selection pane="bottomRight" activeCell="C1" sqref="C1"/>
    </sheetView>
  </sheetViews>
  <sheetFormatPr defaultColWidth="9" defaultRowHeight="14.55"/>
  <cols>
    <col min="1" max="1" width="8.07207207207207" style="25" customWidth="1"/>
    <col min="2" max="2" width="10.6126126126126" style="25" customWidth="1"/>
    <col min="3" max="18" width="9.69369369369369" style="25" customWidth="1"/>
    <col min="19" max="19" width="5.91891891891892" style="25" customWidth="1"/>
    <col min="20" max="16384" width="9" style="25"/>
  </cols>
  <sheetData>
    <row r="1" ht="44.05" customHeight="1" spans="1:20">
      <c r="A1" s="26" t="s">
        <v>106</v>
      </c>
      <c r="B1" s="75" t="s">
        <v>107</v>
      </c>
      <c r="C1" s="75" t="s">
        <v>108</v>
      </c>
      <c r="D1" s="75" t="s">
        <v>109</v>
      </c>
      <c r="E1" s="75" t="s">
        <v>110</v>
      </c>
      <c r="F1" s="75" t="s">
        <v>111</v>
      </c>
      <c r="G1" s="75" t="s">
        <v>112</v>
      </c>
      <c r="H1" s="75" t="s">
        <v>113</v>
      </c>
      <c r="I1" s="75" t="s">
        <v>114</v>
      </c>
      <c r="J1" s="75" t="s">
        <v>115</v>
      </c>
      <c r="K1" s="75" t="s">
        <v>116</v>
      </c>
      <c r="L1" s="75" t="s">
        <v>117</v>
      </c>
      <c r="M1" s="75" t="s">
        <v>118</v>
      </c>
      <c r="N1" s="75" t="s">
        <v>119</v>
      </c>
      <c r="O1" s="75" t="s">
        <v>120</v>
      </c>
      <c r="P1" s="75" t="s">
        <v>121</v>
      </c>
      <c r="Q1" s="75" t="s">
        <v>122</v>
      </c>
      <c r="R1" s="75" t="s">
        <v>123</v>
      </c>
      <c r="S1" s="129" t="s">
        <v>124</v>
      </c>
      <c r="T1" s="130" t="s">
        <v>125</v>
      </c>
    </row>
    <row r="2" ht="24" customHeight="1" spans="1:20">
      <c r="A2" s="131" t="s">
        <v>52</v>
      </c>
      <c r="B2" s="90">
        <f>SUM(C2:N2)</f>
        <v>8093.17311009175</v>
      </c>
      <c r="C2" s="83">
        <v>732.94</v>
      </c>
      <c r="D2" s="83">
        <v>699.13</v>
      </c>
      <c r="E2" s="83">
        <v>669.14</v>
      </c>
      <c r="F2" s="83">
        <v>674.14</v>
      </c>
      <c r="G2" s="83">
        <v>653.32</v>
      </c>
      <c r="H2" s="83">
        <v>658.05</v>
      </c>
      <c r="I2" s="83">
        <v>667.560518348624</v>
      </c>
      <c r="J2" s="83">
        <v>672.560518348624</v>
      </c>
      <c r="K2" s="83">
        <v>695.580518348624</v>
      </c>
      <c r="L2" s="83">
        <v>658.280518348624</v>
      </c>
      <c r="M2" s="83">
        <v>637.900518348624</v>
      </c>
      <c r="N2" s="83">
        <v>674.570518348624</v>
      </c>
      <c r="O2" s="132">
        <f>SUM(C2:E2)</f>
        <v>2101.21</v>
      </c>
      <c r="P2" s="132">
        <f>SUM(F2:H2)</f>
        <v>1985.51</v>
      </c>
      <c r="Q2" s="132">
        <f>SUM(I2:K2)</f>
        <v>2035.70155504587</v>
      </c>
      <c r="R2" s="132">
        <f>SUM(L2:N2)</f>
        <v>1970.75155504587</v>
      </c>
      <c r="S2" s="83"/>
    </row>
    <row r="3" ht="24" customHeight="1" spans="1:20">
      <c r="A3" s="131" t="s">
        <v>53</v>
      </c>
      <c r="B3" s="90">
        <f t="shared" ref="B3:B11" si="0">SUM(C3:N3)</f>
        <v>620.831629715222</v>
      </c>
      <c r="C3" s="83">
        <v>51.2492576431693</v>
      </c>
      <c r="D3" s="83">
        <v>52.2484956431693</v>
      </c>
      <c r="E3" s="83">
        <v>52.7484956431693</v>
      </c>
      <c r="F3" s="83">
        <v>53.0666378095238</v>
      </c>
      <c r="G3" s="83">
        <v>53.9253218095238</v>
      </c>
      <c r="H3" s="83">
        <v>53.9522198095238</v>
      </c>
      <c r="I3" s="83">
        <v>54.0052768095238</v>
      </c>
      <c r="J3" s="83">
        <v>48.7693558095238</v>
      </c>
      <c r="K3" s="83">
        <v>49.2893558095238</v>
      </c>
      <c r="L3" s="83">
        <v>49.7409784761905</v>
      </c>
      <c r="M3" s="83">
        <v>50.3638469761905</v>
      </c>
      <c r="N3" s="83">
        <v>51.4723874761905</v>
      </c>
      <c r="O3" s="132">
        <f t="shared" ref="O3:O10" si="1">SUM(C3:E3)</f>
        <v>156.246248929508</v>
      </c>
      <c r="P3" s="132">
        <f t="shared" ref="P3:P10" si="2">SUM(F3:H3)</f>
        <v>160.944179428571</v>
      </c>
      <c r="Q3" s="132">
        <f t="shared" ref="Q3:Q10" si="3">SUM(I3:K3)</f>
        <v>152.063988428571</v>
      </c>
      <c r="R3" s="132">
        <f t="shared" ref="R3:R10" si="4">SUM(L3:N3)</f>
        <v>151.577212928571</v>
      </c>
      <c r="S3" s="83"/>
    </row>
    <row r="4" ht="24" customHeight="1" spans="1:20">
      <c r="A4" s="131" t="s">
        <v>54</v>
      </c>
      <c r="B4" s="90">
        <f t="shared" si="0"/>
        <v>6392.8</v>
      </c>
      <c r="C4" s="83">
        <v>518.42</v>
      </c>
      <c r="D4" s="83">
        <v>511.28</v>
      </c>
      <c r="E4" s="83">
        <v>515.08</v>
      </c>
      <c r="F4" s="83">
        <v>522.17</v>
      </c>
      <c r="G4" s="83">
        <v>527.6</v>
      </c>
      <c r="H4" s="83">
        <v>556.15</v>
      </c>
      <c r="I4" s="83">
        <v>539.7</v>
      </c>
      <c r="J4" s="83">
        <v>540.24</v>
      </c>
      <c r="K4" s="83">
        <v>538.77</v>
      </c>
      <c r="L4" s="83">
        <v>544.29</v>
      </c>
      <c r="M4" s="83">
        <v>536.67</v>
      </c>
      <c r="N4" s="83">
        <v>542.43</v>
      </c>
      <c r="O4" s="132">
        <f t="shared" si="1"/>
        <v>1544.78</v>
      </c>
      <c r="P4" s="132">
        <f t="shared" si="2"/>
        <v>1605.92</v>
      </c>
      <c r="Q4" s="132">
        <f t="shared" si="3"/>
        <v>1618.71</v>
      </c>
      <c r="R4" s="132">
        <f t="shared" si="4"/>
        <v>1623.39</v>
      </c>
      <c r="S4" s="83"/>
    </row>
    <row r="5" ht="24" customHeight="1" spans="1:20">
      <c r="A5" s="131" t="s">
        <v>55</v>
      </c>
      <c r="B5" s="90">
        <f t="shared" si="0"/>
        <v>1494.8761904762</v>
      </c>
      <c r="C5" s="83">
        <v>111.471428571429</v>
      </c>
      <c r="D5" s="83">
        <v>104.851428571429</v>
      </c>
      <c r="E5" s="83">
        <v>119.391428571429</v>
      </c>
      <c r="F5" s="83">
        <v>121.311428571429</v>
      </c>
      <c r="G5" s="83">
        <v>123.641428571429</v>
      </c>
      <c r="H5" s="83">
        <v>125.651428571429</v>
      </c>
      <c r="I5" s="83">
        <v>129.101428571429</v>
      </c>
      <c r="J5" s="83">
        <v>132.819047619048</v>
      </c>
      <c r="K5" s="83">
        <v>131.57</v>
      </c>
      <c r="L5" s="83">
        <v>130.409047619048</v>
      </c>
      <c r="M5" s="83">
        <v>131.899047619048</v>
      </c>
      <c r="N5" s="83">
        <v>132.759047619048</v>
      </c>
      <c r="O5" s="132">
        <f t="shared" si="1"/>
        <v>335.714285714287</v>
      </c>
      <c r="P5" s="132">
        <f t="shared" si="2"/>
        <v>370.604285714287</v>
      </c>
      <c r="Q5" s="132">
        <f t="shared" si="3"/>
        <v>393.490476190477</v>
      </c>
      <c r="R5" s="132">
        <f t="shared" si="4"/>
        <v>395.067142857144</v>
      </c>
      <c r="S5" s="83"/>
    </row>
    <row r="6" ht="24" customHeight="1" spans="1:20">
      <c r="A6" s="131" t="s">
        <v>56</v>
      </c>
      <c r="B6" s="90">
        <f t="shared" si="0"/>
        <v>709.51635684571</v>
      </c>
      <c r="C6" s="83">
        <v>35.6760064220184</v>
      </c>
      <c r="D6" s="83">
        <v>30.6972352007633</v>
      </c>
      <c r="E6" s="83">
        <v>30.8110792374605</v>
      </c>
      <c r="F6" s="83">
        <v>47.0911205218642</v>
      </c>
      <c r="G6" s="83">
        <v>58.2745333659009</v>
      </c>
      <c r="H6" s="83">
        <v>61.5253584749211</v>
      </c>
      <c r="I6" s="83">
        <v>71.7276589724771</v>
      </c>
      <c r="J6" s="83">
        <v>74.0033941732404</v>
      </c>
      <c r="K6" s="83">
        <v>78.4652338715596</v>
      </c>
      <c r="L6" s="83">
        <v>73.8255824954128</v>
      </c>
      <c r="M6" s="83">
        <v>73.7095770550459</v>
      </c>
      <c r="N6" s="83">
        <v>73.7095770550459</v>
      </c>
      <c r="O6" s="132">
        <f t="shared" si="1"/>
        <v>97.1843208602422</v>
      </c>
      <c r="P6" s="132">
        <f t="shared" si="2"/>
        <v>166.891012362686</v>
      </c>
      <c r="Q6" s="132">
        <f t="shared" si="3"/>
        <v>224.196287017277</v>
      </c>
      <c r="R6" s="132">
        <f t="shared" si="4"/>
        <v>221.244736605505</v>
      </c>
      <c r="S6" s="83"/>
    </row>
    <row r="7" ht="24" customHeight="1" spans="1:20">
      <c r="A7" s="131" t="s">
        <v>57</v>
      </c>
      <c r="B7" s="90">
        <f t="shared" si="0"/>
        <v>7640.86</v>
      </c>
      <c r="C7" s="83">
        <v>627.4</v>
      </c>
      <c r="D7" s="83">
        <v>501.26</v>
      </c>
      <c r="E7" s="83">
        <v>568.4</v>
      </c>
      <c r="F7" s="83">
        <v>621.71</v>
      </c>
      <c r="G7" s="83">
        <v>648.43</v>
      </c>
      <c r="H7" s="83">
        <v>636.67</v>
      </c>
      <c r="I7" s="83">
        <v>738.6</v>
      </c>
      <c r="J7" s="83">
        <v>710.2</v>
      </c>
      <c r="K7" s="83">
        <v>631.86</v>
      </c>
      <c r="L7" s="83">
        <v>656.96</v>
      </c>
      <c r="M7" s="83">
        <v>655.88</v>
      </c>
      <c r="N7" s="83">
        <v>643.49</v>
      </c>
      <c r="O7" s="132">
        <f t="shared" si="1"/>
        <v>1697.06</v>
      </c>
      <c r="P7" s="132">
        <f t="shared" si="2"/>
        <v>1906.81</v>
      </c>
      <c r="Q7" s="132">
        <f t="shared" si="3"/>
        <v>2080.66</v>
      </c>
      <c r="R7" s="132">
        <f t="shared" si="4"/>
        <v>1956.33</v>
      </c>
      <c r="S7" s="83"/>
    </row>
    <row r="8" ht="24" customHeight="1" spans="1:20">
      <c r="A8" s="131" t="s">
        <v>58</v>
      </c>
      <c r="B8" s="90">
        <f t="shared" si="0"/>
        <v>1454.99726287184</v>
      </c>
      <c r="C8" s="83">
        <v>88.7487450233685</v>
      </c>
      <c r="D8" s="83">
        <v>89.8053487969534</v>
      </c>
      <c r="E8" s="83">
        <v>102.239311061104</v>
      </c>
      <c r="F8" s="83">
        <v>112.080820495067</v>
      </c>
      <c r="G8" s="83">
        <v>133.300631815821</v>
      </c>
      <c r="H8" s="83">
        <v>123.262353305219</v>
      </c>
      <c r="I8" s="83">
        <v>132.824216721482</v>
      </c>
      <c r="J8" s="83">
        <v>133.560065778085</v>
      </c>
      <c r="K8" s="83">
        <v>134.934251785766</v>
      </c>
      <c r="L8" s="83">
        <v>140.847801627142</v>
      </c>
      <c r="M8" s="83">
        <v>134.687424268652</v>
      </c>
      <c r="N8" s="83">
        <v>128.70629219318</v>
      </c>
      <c r="O8" s="132">
        <f t="shared" si="1"/>
        <v>280.793404881426</v>
      </c>
      <c r="P8" s="132">
        <f t="shared" si="2"/>
        <v>368.643805616107</v>
      </c>
      <c r="Q8" s="132">
        <f t="shared" si="3"/>
        <v>401.318534285333</v>
      </c>
      <c r="R8" s="132">
        <f t="shared" si="4"/>
        <v>404.241518088974</v>
      </c>
      <c r="S8" s="83"/>
    </row>
    <row r="9" ht="24" customHeight="1" spans="1:20">
      <c r="A9" s="131" t="s">
        <v>59</v>
      </c>
      <c r="B9" s="90">
        <f t="shared" si="0"/>
        <v>0</v>
      </c>
      <c r="C9" s="83"/>
      <c r="D9" s="83"/>
      <c r="E9" s="83"/>
      <c r="F9" s="83"/>
      <c r="G9" s="83"/>
      <c r="H9" s="83"/>
      <c r="I9" s="83"/>
      <c r="J9" s="83"/>
      <c r="K9" s="83"/>
      <c r="L9" s="83"/>
      <c r="M9" s="83"/>
      <c r="N9" s="83"/>
      <c r="O9" s="132">
        <f t="shared" si="1"/>
        <v>0</v>
      </c>
      <c r="P9" s="132">
        <f t="shared" si="2"/>
        <v>0</v>
      </c>
      <c r="Q9" s="132">
        <f t="shared" si="3"/>
        <v>0</v>
      </c>
      <c r="R9" s="132">
        <f t="shared" si="4"/>
        <v>0</v>
      </c>
      <c r="S9" s="83"/>
    </row>
    <row r="10" ht="24" customHeight="1" spans="1:20">
      <c r="A10" s="131" t="s">
        <v>60</v>
      </c>
      <c r="B10" s="90">
        <f t="shared" si="0"/>
        <v>0</v>
      </c>
      <c r="C10" s="83"/>
      <c r="D10" s="83"/>
      <c r="E10" s="83"/>
      <c r="F10" s="83"/>
      <c r="G10" s="83"/>
      <c r="H10" s="83"/>
      <c r="I10" s="83"/>
      <c r="J10" s="83"/>
      <c r="K10" s="83"/>
      <c r="L10" s="83"/>
      <c r="M10" s="83"/>
      <c r="N10" s="83"/>
      <c r="O10" s="132">
        <f t="shared" si="1"/>
        <v>0</v>
      </c>
      <c r="P10" s="132">
        <f t="shared" si="2"/>
        <v>0</v>
      </c>
      <c r="Q10" s="132">
        <f t="shared" si="3"/>
        <v>0</v>
      </c>
      <c r="R10" s="132">
        <f t="shared" si="4"/>
        <v>0</v>
      </c>
      <c r="S10" s="83"/>
    </row>
    <row r="11" ht="24" customHeight="1" spans="1:20">
      <c r="A11" s="27" t="s">
        <v>107</v>
      </c>
      <c r="B11" s="90">
        <f t="shared" si="0"/>
        <v>26407.0545500007</v>
      </c>
      <c r="C11" s="90">
        <f>SUM(C2:C10)</f>
        <v>2165.90543765999</v>
      </c>
      <c r="D11" s="90">
        <f t="shared" ref="D11:R11" si="5">SUM(D2:D10)</f>
        <v>1989.27250821232</v>
      </c>
      <c r="E11" s="90">
        <f t="shared" si="5"/>
        <v>2057.81031451316</v>
      </c>
      <c r="F11" s="90">
        <f t="shared" si="5"/>
        <v>2151.57000739788</v>
      </c>
      <c r="G11" s="90">
        <f t="shared" si="5"/>
        <v>2198.49191556267</v>
      </c>
      <c r="H11" s="90">
        <f t="shared" si="5"/>
        <v>2215.26136016109</v>
      </c>
      <c r="I11" s="90">
        <f t="shared" si="5"/>
        <v>2333.51909942354</v>
      </c>
      <c r="J11" s="90">
        <f t="shared" si="5"/>
        <v>2312.15238172852</v>
      </c>
      <c r="K11" s="90">
        <f t="shared" si="5"/>
        <v>2260.46935981547</v>
      </c>
      <c r="L11" s="90">
        <f t="shared" si="5"/>
        <v>2254.35392856642</v>
      </c>
      <c r="M11" s="90">
        <f t="shared" si="5"/>
        <v>2221.11041426756</v>
      </c>
      <c r="N11" s="90">
        <f t="shared" si="5"/>
        <v>2247.13782269209</v>
      </c>
      <c r="O11" s="90">
        <f t="shared" si="5"/>
        <v>6212.98826038546</v>
      </c>
      <c r="P11" s="90">
        <f t="shared" si="5"/>
        <v>6565.32328312165</v>
      </c>
      <c r="Q11" s="90">
        <f t="shared" si="5"/>
        <v>6906.14084096753</v>
      </c>
      <c r="R11" s="90">
        <f t="shared" si="5"/>
        <v>6722.60216552607</v>
      </c>
      <c r="S11" s="90"/>
    </row>
  </sheetData>
  <pageMargins left="0.75" right="0.75" top="1" bottom="1" header="0.5" footer="0.5"/>
  <pageSetup paperSize="9" orientation="portrait"/>
  <headerFooter/>
  <ignoredErrors>
    <ignoredError sqref="A1:S6 A7:B8 O7:S8 A9:S11" formulaRange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9">
    <tabColor theme="5"/>
  </sheetPr>
  <dimension ref="A1:Q13"/>
  <sheetViews>
    <sheetView zoomScale="130" zoomScaleNormal="130" workbookViewId="0">
      <selection activeCell="F5" sqref="F5:H5"/>
    </sheetView>
  </sheetViews>
  <sheetFormatPr defaultColWidth="19.6126126126126" defaultRowHeight="14.1"/>
  <cols>
    <col min="1" max="1" width="4.07207207207207" style="121" customWidth="1"/>
    <col min="2" max="2" width="18.5315315315315" style="121" customWidth="1"/>
    <col min="3" max="4" width="9.37837837837838" style="121" customWidth="1"/>
    <col min="5" max="5" width="5.91891891891892" style="121" customWidth="1"/>
    <col min="6" max="14" width="8.61261261261261" style="121" customWidth="1"/>
    <col min="15" max="15" width="9.37837837837838" style="121" customWidth="1"/>
    <col min="16" max="17" width="8.61261261261261" style="121" customWidth="1"/>
    <col min="18" max="25" width="9" style="121" customWidth="1"/>
    <col min="26" max="16384" width="19.6126126126126" style="121"/>
  </cols>
  <sheetData>
    <row r="1" ht="24" customHeight="1" spans="1:17">
      <c r="A1" s="122" t="s">
        <v>126</v>
      </c>
      <c r="B1" s="122" t="s">
        <v>127</v>
      </c>
      <c r="C1" s="122" t="s">
        <v>128</v>
      </c>
      <c r="D1" s="122" t="s">
        <v>129</v>
      </c>
      <c r="E1" s="122" t="s">
        <v>130</v>
      </c>
      <c r="F1" s="122" t="s">
        <v>108</v>
      </c>
      <c r="G1" s="122" t="s">
        <v>109</v>
      </c>
      <c r="H1" s="122" t="s">
        <v>110</v>
      </c>
      <c r="I1" s="122" t="s">
        <v>111</v>
      </c>
      <c r="J1" s="122" t="s">
        <v>112</v>
      </c>
      <c r="K1" s="122" t="s">
        <v>113</v>
      </c>
      <c r="L1" s="122" t="s">
        <v>114</v>
      </c>
      <c r="M1" s="122" t="s">
        <v>115</v>
      </c>
      <c r="N1" s="122" t="s">
        <v>116</v>
      </c>
      <c r="O1" s="122" t="s">
        <v>117</v>
      </c>
      <c r="P1" s="122" t="s">
        <v>118</v>
      </c>
      <c r="Q1" s="122" t="s">
        <v>119</v>
      </c>
    </row>
    <row r="2" ht="24" customHeight="1" spans="1:17">
      <c r="A2" s="123" t="s">
        <v>62</v>
      </c>
      <c r="B2" s="124" t="s">
        <v>63</v>
      </c>
      <c r="C2" s="125">
        <v>30558.0616219399</v>
      </c>
      <c r="D2" s="125">
        <v>28181.139354</v>
      </c>
      <c r="E2" s="126">
        <v>0.922216196257902</v>
      </c>
      <c r="F2" s="127">
        <v>2407.580661</v>
      </c>
      <c r="G2" s="127">
        <v>2189.194954</v>
      </c>
      <c r="H2" s="127">
        <v>2310.295994</v>
      </c>
      <c r="I2" s="127">
        <v>2291.069721</v>
      </c>
      <c r="J2" s="127">
        <v>2312.961233</v>
      </c>
      <c r="K2" s="127">
        <v>2286.305422</v>
      </c>
      <c r="L2" s="127">
        <v>2408.098926</v>
      </c>
      <c r="M2" s="127">
        <v>2398.078986</v>
      </c>
      <c r="N2" s="127">
        <v>2344.144829</v>
      </c>
      <c r="O2" s="127">
        <v>2403.064892</v>
      </c>
      <c r="P2" s="127">
        <v>2379.512539</v>
      </c>
      <c r="Q2" s="127">
        <v>2450.831197</v>
      </c>
    </row>
    <row r="3" ht="24" customHeight="1" spans="1:17">
      <c r="A3" s="123"/>
      <c r="B3" s="124" t="s">
        <v>64</v>
      </c>
      <c r="C3" s="125">
        <v>12286.1219134633</v>
      </c>
      <c r="D3" s="125">
        <v>12945.722564</v>
      </c>
      <c r="E3" s="126">
        <v>1.05368664377438</v>
      </c>
      <c r="F3" s="127">
        <v>1207.531629</v>
      </c>
      <c r="G3" s="127">
        <v>1140.683105</v>
      </c>
      <c r="H3" s="127">
        <v>1195.001132</v>
      </c>
      <c r="I3" s="127">
        <v>1077.027476</v>
      </c>
      <c r="J3" s="127">
        <v>1159.865983</v>
      </c>
      <c r="K3" s="127">
        <v>1143.682958</v>
      </c>
      <c r="L3" s="127">
        <v>1318.213848</v>
      </c>
      <c r="M3" s="127">
        <v>1180.894506</v>
      </c>
      <c r="N3" s="127">
        <v>1066.439158</v>
      </c>
      <c r="O3" s="127">
        <v>1135.060173</v>
      </c>
      <c r="P3" s="127">
        <v>756.769458</v>
      </c>
      <c r="Q3" s="127">
        <v>564.553138</v>
      </c>
    </row>
    <row r="4" ht="24" customHeight="1" spans="1:17">
      <c r="A4" s="123"/>
      <c r="B4" s="124" t="s">
        <v>65</v>
      </c>
      <c r="C4" s="125">
        <v>12438.2109551724</v>
      </c>
      <c r="D4" s="125">
        <v>11696.9409</v>
      </c>
      <c r="E4" s="126">
        <v>0.940403804225224</v>
      </c>
      <c r="F4" s="127">
        <v>910.688242</v>
      </c>
      <c r="G4" s="127">
        <v>426.684388</v>
      </c>
      <c r="H4" s="127">
        <v>2503.354949</v>
      </c>
      <c r="I4" s="127">
        <v>-643.42971</v>
      </c>
      <c r="J4" s="127">
        <v>811.07116</v>
      </c>
      <c r="K4" s="127">
        <v>1448.686308</v>
      </c>
      <c r="L4" s="127">
        <v>3107.38649</v>
      </c>
      <c r="M4" s="127">
        <v>1343.971831</v>
      </c>
      <c r="N4" s="127">
        <v>897.279204</v>
      </c>
      <c r="O4" s="127">
        <v>-1020.101995</v>
      </c>
      <c r="P4" s="127">
        <v>1316.083367</v>
      </c>
      <c r="Q4" s="127">
        <v>595.266666</v>
      </c>
    </row>
    <row r="5" ht="24" customHeight="1" spans="1:17">
      <c r="A5" s="123" t="s">
        <v>66</v>
      </c>
      <c r="B5" s="124" t="s">
        <v>67</v>
      </c>
      <c r="C5" s="125">
        <v>13186.3240858621</v>
      </c>
      <c r="D5" s="125">
        <v>10699.739538</v>
      </c>
      <c r="E5" s="126">
        <v>0.811427010918977</v>
      </c>
      <c r="F5" s="127">
        <v>839.333109</v>
      </c>
      <c r="G5" s="127">
        <v>696.265588</v>
      </c>
      <c r="H5" s="127">
        <v>756.117038</v>
      </c>
      <c r="I5" s="127">
        <v>698.079176</v>
      </c>
      <c r="J5" s="127">
        <v>806.978959</v>
      </c>
      <c r="K5" s="127">
        <v>790.020213</v>
      </c>
      <c r="L5" s="127">
        <v>727.133641</v>
      </c>
      <c r="M5" s="127">
        <v>864.449354</v>
      </c>
      <c r="N5" s="127">
        <v>948.92149</v>
      </c>
      <c r="O5" s="127">
        <v>749.517493</v>
      </c>
      <c r="P5" s="127">
        <v>1280.735268</v>
      </c>
      <c r="Q5" s="127">
        <v>1542.188209</v>
      </c>
    </row>
    <row r="6" ht="24" customHeight="1" spans="1:17">
      <c r="A6" s="123"/>
      <c r="B6" s="124" t="s">
        <v>68</v>
      </c>
      <c r="C6" s="125">
        <v>6611.5022107619</v>
      </c>
      <c r="D6" s="125">
        <v>5911.962978</v>
      </c>
      <c r="E6" s="126">
        <v>0.89419360223109</v>
      </c>
      <c r="F6" s="127">
        <v>476.384215</v>
      </c>
      <c r="G6" s="127">
        <v>446.530467</v>
      </c>
      <c r="H6" s="127">
        <v>459.453519</v>
      </c>
      <c r="I6" s="127">
        <v>438.684134</v>
      </c>
      <c r="J6" s="127">
        <v>523.758199</v>
      </c>
      <c r="K6" s="127">
        <v>495.496867</v>
      </c>
      <c r="L6" s="127">
        <v>437.099936</v>
      </c>
      <c r="M6" s="127">
        <v>440.823813</v>
      </c>
      <c r="N6" s="127">
        <v>460.408321</v>
      </c>
      <c r="O6" s="127">
        <v>468.111052</v>
      </c>
      <c r="P6" s="127">
        <v>546.94898</v>
      </c>
      <c r="Q6" s="127">
        <v>718.263475</v>
      </c>
    </row>
    <row r="7" ht="24" customHeight="1" spans="1:17">
      <c r="A7" s="123"/>
      <c r="B7" s="128" t="s">
        <v>70</v>
      </c>
      <c r="C7" s="125">
        <v>4635.409125</v>
      </c>
      <c r="D7" s="125">
        <v>4540.508407</v>
      </c>
      <c r="E7" s="126">
        <v>0.979527002807978</v>
      </c>
      <c r="F7" s="127">
        <v>408.945153</v>
      </c>
      <c r="G7" s="127">
        <v>373.057746</v>
      </c>
      <c r="H7" s="127">
        <v>369.358214</v>
      </c>
      <c r="I7" s="127">
        <v>368.118446</v>
      </c>
      <c r="J7" s="127">
        <v>399.654642</v>
      </c>
      <c r="K7" s="127">
        <v>366.26882</v>
      </c>
      <c r="L7" s="127">
        <v>368.462546</v>
      </c>
      <c r="M7" s="127">
        <v>360.743105</v>
      </c>
      <c r="N7" s="127">
        <v>379.806146</v>
      </c>
      <c r="O7" s="127">
        <v>373.574932</v>
      </c>
      <c r="P7" s="127">
        <v>408.779001</v>
      </c>
      <c r="Q7" s="127">
        <v>363.739656</v>
      </c>
    </row>
    <row r="8" ht="24" customHeight="1" spans="1:17">
      <c r="A8" s="123"/>
      <c r="B8" s="128" t="s">
        <v>72</v>
      </c>
      <c r="C8" s="125">
        <v>1976.0930857619</v>
      </c>
      <c r="D8" s="125">
        <v>1371.454571</v>
      </c>
      <c r="E8" s="126">
        <v>0.694023262811641</v>
      </c>
      <c r="F8" s="127">
        <v>67.439062</v>
      </c>
      <c r="G8" s="127">
        <v>73.472721</v>
      </c>
      <c r="H8" s="127">
        <v>90.095305</v>
      </c>
      <c r="I8" s="127">
        <v>70.565688</v>
      </c>
      <c r="J8" s="127">
        <v>124.103557</v>
      </c>
      <c r="K8" s="127">
        <v>129.228047</v>
      </c>
      <c r="L8" s="127">
        <v>68.63739</v>
      </c>
      <c r="M8" s="127">
        <v>80.080708</v>
      </c>
      <c r="N8" s="127">
        <v>80.602175</v>
      </c>
      <c r="O8" s="127">
        <v>94.53612</v>
      </c>
      <c r="P8" s="127">
        <v>138.169979</v>
      </c>
      <c r="Q8" s="127">
        <v>354.523819</v>
      </c>
    </row>
    <row r="9" ht="24" customHeight="1" spans="1:17">
      <c r="A9" s="123"/>
      <c r="B9" s="124" t="s">
        <v>73</v>
      </c>
      <c r="C9" s="125">
        <v>6574.8318751002</v>
      </c>
      <c r="D9" s="125">
        <v>4787.77656</v>
      </c>
      <c r="E9" s="126">
        <v>0.728197564736518</v>
      </c>
      <c r="F9" s="127">
        <v>362.948894</v>
      </c>
      <c r="G9" s="127">
        <v>249.735121</v>
      </c>
      <c r="H9" s="127">
        <v>296.663519</v>
      </c>
      <c r="I9" s="127">
        <v>259.395042</v>
      </c>
      <c r="J9" s="127">
        <v>283.22076</v>
      </c>
      <c r="K9" s="127">
        <v>294.523346</v>
      </c>
      <c r="L9" s="127">
        <v>290.033705</v>
      </c>
      <c r="M9" s="127">
        <v>423.625541</v>
      </c>
      <c r="N9" s="127">
        <v>488.513169</v>
      </c>
      <c r="O9" s="127">
        <v>281.406441</v>
      </c>
      <c r="P9" s="127">
        <v>733.786288</v>
      </c>
      <c r="Q9" s="127">
        <v>823.924734</v>
      </c>
    </row>
    <row r="10" ht="24" customHeight="1" spans="1:17">
      <c r="A10" s="123"/>
      <c r="B10" s="128" t="s">
        <v>75</v>
      </c>
      <c r="C10" s="125">
        <v>4138.318938</v>
      </c>
      <c r="D10" s="125">
        <v>3025.147148</v>
      </c>
      <c r="E10" s="126">
        <v>0.731008700228895</v>
      </c>
      <c r="F10" s="127">
        <v>121.817297</v>
      </c>
      <c r="G10" s="127">
        <v>111.903722</v>
      </c>
      <c r="H10" s="127">
        <v>162.001367</v>
      </c>
      <c r="I10" s="127">
        <v>146.167954</v>
      </c>
      <c r="J10" s="127">
        <v>143.662116</v>
      </c>
      <c r="K10" s="127">
        <v>162.748211</v>
      </c>
      <c r="L10" s="127">
        <v>130.03204</v>
      </c>
      <c r="M10" s="127">
        <v>249.804605</v>
      </c>
      <c r="N10" s="127">
        <v>373.265227</v>
      </c>
      <c r="O10" s="127">
        <v>135.695958</v>
      </c>
      <c r="P10" s="127">
        <v>616.477669</v>
      </c>
      <c r="Q10" s="127">
        <v>671.570982</v>
      </c>
    </row>
    <row r="11" ht="24" customHeight="1" spans="1:17">
      <c r="A11" s="123"/>
      <c r="B11" s="128" t="s">
        <v>77</v>
      </c>
      <c r="C11" s="125">
        <v>2436.5029371002</v>
      </c>
      <c r="D11" s="125">
        <v>1762.629412</v>
      </c>
      <c r="E11" s="126">
        <v>0.723425933603754</v>
      </c>
      <c r="F11" s="127">
        <v>241.131597</v>
      </c>
      <c r="G11" s="127">
        <v>137.831399</v>
      </c>
      <c r="H11" s="127">
        <v>134.662152</v>
      </c>
      <c r="I11" s="127">
        <v>113.227088</v>
      </c>
      <c r="J11" s="127">
        <v>139.558644</v>
      </c>
      <c r="K11" s="127">
        <v>131.775135</v>
      </c>
      <c r="L11" s="127">
        <v>160.001665</v>
      </c>
      <c r="M11" s="127">
        <v>173.820936</v>
      </c>
      <c r="N11" s="127">
        <v>115.247942</v>
      </c>
      <c r="O11" s="127">
        <v>145.710483</v>
      </c>
      <c r="P11" s="127">
        <v>117.308619</v>
      </c>
      <c r="Q11" s="127">
        <v>152.353752</v>
      </c>
    </row>
    <row r="12" ht="24" customHeight="1" spans="1:17">
      <c r="A12" s="123"/>
      <c r="B12" s="124" t="s">
        <v>78</v>
      </c>
      <c r="C12" s="125">
        <v>1801.88</v>
      </c>
      <c r="D12" s="125">
        <v>515.908544</v>
      </c>
      <c r="E12" s="126">
        <v>0.286316815770196</v>
      </c>
      <c r="F12" s="127">
        <v>2.460841</v>
      </c>
      <c r="G12" s="127">
        <v>3.909588</v>
      </c>
      <c r="H12" s="127">
        <v>6.26</v>
      </c>
      <c r="I12" s="127">
        <v>5.13</v>
      </c>
      <c r="J12" s="127">
        <v>44.092211</v>
      </c>
      <c r="K12" s="127">
        <v>26.56</v>
      </c>
      <c r="L12" s="127">
        <v>32.23</v>
      </c>
      <c r="M12" s="127">
        <v>5.485002</v>
      </c>
      <c r="N12" s="127">
        <v>130.231361</v>
      </c>
      <c r="O12" s="127">
        <v>3.54</v>
      </c>
      <c r="P12" s="127">
        <v>137.98</v>
      </c>
      <c r="Q12" s="127">
        <v>118.029541</v>
      </c>
    </row>
    <row r="13" ht="18" customHeight="1"/>
  </sheetData>
  <mergeCells count="2">
    <mergeCell ref="A2:A4"/>
    <mergeCell ref="A5:A12"/>
  </mergeCells>
  <pageMargins left="0.7" right="0.7" top="0.75" bottom="0.75" header="0.3" footer="0.3"/>
  <pageSetup paperSize="9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>
    <tabColor theme="5"/>
  </sheetPr>
  <dimension ref="A1:N11"/>
  <sheetViews>
    <sheetView zoomScale="130" zoomScaleNormal="130" workbookViewId="0">
      <pane xSplit="2" ySplit="1" topLeftCell="C2" activePane="bottomRight" state="frozen"/>
      <selection/>
      <selection pane="topRight"/>
      <selection pane="bottomLeft"/>
      <selection pane="bottomRight" activeCell="G14" sqref="G14"/>
    </sheetView>
  </sheetViews>
  <sheetFormatPr defaultColWidth="9.84684684684685" defaultRowHeight="24" customHeight="1"/>
  <cols>
    <col min="1" max="1" width="8.84684684684685" style="117" customWidth="1"/>
    <col min="2" max="2" width="10.6126126126126" style="25" customWidth="1"/>
    <col min="3" max="14" width="9.69369369369369" style="25" customWidth="1"/>
    <col min="15" max="15" width="6.91891891891892" style="25" customWidth="1"/>
    <col min="16" max="16" width="9.84684684684685" style="25"/>
    <col min="17" max="17" width="12.4594594594595" style="25"/>
    <col min="18" max="16384" width="9.84684684684685" style="25"/>
  </cols>
  <sheetData>
    <row r="1" customHeight="1" spans="1:14">
      <c r="A1" s="118" t="s">
        <v>131</v>
      </c>
      <c r="B1" s="118" t="s">
        <v>107</v>
      </c>
      <c r="C1" s="118" t="s">
        <v>108</v>
      </c>
      <c r="D1" s="118" t="s">
        <v>109</v>
      </c>
      <c r="E1" s="118" t="s">
        <v>110</v>
      </c>
      <c r="F1" s="118" t="s">
        <v>111</v>
      </c>
      <c r="G1" s="118" t="s">
        <v>112</v>
      </c>
      <c r="H1" s="118" t="s">
        <v>113</v>
      </c>
      <c r="I1" s="118" t="s">
        <v>114</v>
      </c>
      <c r="J1" s="118" t="s">
        <v>115</v>
      </c>
      <c r="K1" s="118" t="s">
        <v>116</v>
      </c>
      <c r="L1" s="118" t="s">
        <v>117</v>
      </c>
      <c r="M1" s="118" t="s">
        <v>118</v>
      </c>
      <c r="N1" s="118" t="s">
        <v>119</v>
      </c>
    </row>
    <row r="2" customHeight="1" spans="1:14">
      <c r="A2" s="119" t="s">
        <v>52</v>
      </c>
      <c r="B2" s="36">
        <f>SUM(C2:N2)</f>
        <v>8883.633954</v>
      </c>
      <c r="C2" s="31">
        <v>729.336739</v>
      </c>
      <c r="D2" s="31">
        <v>719.886335</v>
      </c>
      <c r="E2" s="31">
        <v>723.075478</v>
      </c>
      <c r="F2" s="31">
        <v>660.432619</v>
      </c>
      <c r="G2" s="31">
        <v>664.38903</v>
      </c>
      <c r="H2" s="31">
        <v>648.150764</v>
      </c>
      <c r="I2" s="31">
        <v>706.884575</v>
      </c>
      <c r="J2" s="31">
        <v>750.77023</v>
      </c>
      <c r="K2" s="31">
        <v>760.987513</v>
      </c>
      <c r="L2" s="31">
        <v>753.240244</v>
      </c>
      <c r="M2" s="31">
        <v>811.208039</v>
      </c>
      <c r="N2" s="31">
        <v>955.272388</v>
      </c>
    </row>
    <row r="3" customHeight="1" spans="1:14">
      <c r="A3" s="119" t="s">
        <v>53</v>
      </c>
      <c r="B3" s="36">
        <f t="shared" ref="B3:B10" si="0">SUM(C3:N3)</f>
        <v>744.72</v>
      </c>
      <c r="C3" s="31">
        <v>49.42</v>
      </c>
      <c r="D3" s="31">
        <v>74.06</v>
      </c>
      <c r="E3" s="31">
        <v>50.16</v>
      </c>
      <c r="F3" s="31">
        <v>79.52</v>
      </c>
      <c r="G3" s="31">
        <v>51.64</v>
      </c>
      <c r="H3" s="31">
        <v>63.78</v>
      </c>
      <c r="I3" s="31">
        <v>51.24</v>
      </c>
      <c r="J3" s="31">
        <v>52.15</v>
      </c>
      <c r="K3" s="31">
        <v>77.91</v>
      </c>
      <c r="L3" s="31">
        <v>69.29</v>
      </c>
      <c r="M3" s="31">
        <v>52.62</v>
      </c>
      <c r="N3" s="31">
        <v>72.93</v>
      </c>
    </row>
    <row r="4" customHeight="1" spans="1:14">
      <c r="A4" s="119" t="s">
        <v>54</v>
      </c>
      <c r="B4" s="36">
        <f t="shared" si="0"/>
        <v>6811.244216</v>
      </c>
      <c r="C4" s="31">
        <v>572.837086</v>
      </c>
      <c r="D4" s="31">
        <v>565.304031</v>
      </c>
      <c r="E4" s="31">
        <v>575.663609</v>
      </c>
      <c r="F4" s="31">
        <v>577.571872</v>
      </c>
      <c r="G4" s="31">
        <v>580.973935</v>
      </c>
      <c r="H4" s="31">
        <v>593.948499</v>
      </c>
      <c r="I4" s="31">
        <v>552.751057</v>
      </c>
      <c r="J4" s="31">
        <v>564.042367</v>
      </c>
      <c r="K4" s="31">
        <v>577.223151</v>
      </c>
      <c r="L4" s="31">
        <v>533.705821</v>
      </c>
      <c r="M4" s="31">
        <v>555.615577</v>
      </c>
      <c r="N4" s="31">
        <v>561.607211</v>
      </c>
    </row>
    <row r="5" customHeight="1" spans="1:14">
      <c r="A5" s="119" t="s">
        <v>55</v>
      </c>
      <c r="B5" s="36">
        <f t="shared" si="0"/>
        <v>1372.83</v>
      </c>
      <c r="C5" s="31">
        <v>111.6</v>
      </c>
      <c r="D5" s="31">
        <v>120.92</v>
      </c>
      <c r="E5" s="31">
        <v>113.45</v>
      </c>
      <c r="F5" s="31">
        <v>120.32</v>
      </c>
      <c r="G5" s="31">
        <v>111.4</v>
      </c>
      <c r="H5" s="31">
        <v>106.45</v>
      </c>
      <c r="I5" s="31">
        <v>110.76</v>
      </c>
      <c r="J5" s="31">
        <v>103.39</v>
      </c>
      <c r="K5" s="31">
        <v>119.5</v>
      </c>
      <c r="L5" s="31">
        <v>126.5</v>
      </c>
      <c r="M5" s="31">
        <v>118.9</v>
      </c>
      <c r="N5" s="31">
        <v>109.64</v>
      </c>
    </row>
    <row r="6" customHeight="1" spans="1:14">
      <c r="A6" s="119" t="s">
        <v>56</v>
      </c>
      <c r="B6" s="36">
        <f t="shared" si="0"/>
        <v>708.339225</v>
      </c>
      <c r="C6" s="31">
        <v>60.893351</v>
      </c>
      <c r="D6" s="31">
        <v>61.44702</v>
      </c>
      <c r="E6" s="31">
        <v>62.937243</v>
      </c>
      <c r="F6" s="31">
        <v>58.140368</v>
      </c>
      <c r="G6" s="31">
        <v>54.59992</v>
      </c>
      <c r="H6" s="31">
        <v>57.112126</v>
      </c>
      <c r="I6" s="31">
        <v>57.107671</v>
      </c>
      <c r="J6" s="31">
        <v>57.864961</v>
      </c>
      <c r="K6" s="31">
        <v>58.017674</v>
      </c>
      <c r="L6" s="31">
        <v>58.010279</v>
      </c>
      <c r="M6" s="31">
        <v>59.447189</v>
      </c>
      <c r="N6" s="31">
        <v>62.761423</v>
      </c>
    </row>
    <row r="7" customHeight="1" spans="1:14">
      <c r="A7" s="119" t="s">
        <v>57</v>
      </c>
      <c r="B7" s="36">
        <f t="shared" si="0"/>
        <v>7549.28</v>
      </c>
      <c r="C7" s="31">
        <v>638.59</v>
      </c>
      <c r="D7" s="31">
        <v>508.88</v>
      </c>
      <c r="E7" s="31">
        <v>583.66</v>
      </c>
      <c r="F7" s="31">
        <v>632.44</v>
      </c>
      <c r="G7" s="31">
        <v>669.89</v>
      </c>
      <c r="H7" s="31">
        <v>654.76</v>
      </c>
      <c r="I7" s="31">
        <v>751.06</v>
      </c>
      <c r="J7" s="31">
        <v>672.56</v>
      </c>
      <c r="K7" s="31">
        <v>585.23</v>
      </c>
      <c r="L7" s="31">
        <v>673.95</v>
      </c>
      <c r="M7" s="31">
        <v>623.86</v>
      </c>
      <c r="N7" s="31">
        <v>554.4</v>
      </c>
    </row>
    <row r="8" customHeight="1" spans="1:14">
      <c r="A8" s="119" t="s">
        <v>58</v>
      </c>
      <c r="B8" s="36">
        <f t="shared" si="0"/>
        <v>1317.021117</v>
      </c>
      <c r="C8" s="31">
        <v>122.070553</v>
      </c>
      <c r="D8" s="31">
        <v>81.181808</v>
      </c>
      <c r="E8" s="31">
        <v>97.998313</v>
      </c>
      <c r="F8" s="31">
        <v>102.574815</v>
      </c>
      <c r="G8" s="31">
        <v>114.977634</v>
      </c>
      <c r="H8" s="31">
        <v>96.161043</v>
      </c>
      <c r="I8" s="31">
        <v>113.346138</v>
      </c>
      <c r="J8" s="31">
        <v>129.571562</v>
      </c>
      <c r="K8" s="31">
        <v>113.185232</v>
      </c>
      <c r="L8" s="31">
        <v>138.985576</v>
      </c>
      <c r="M8" s="31">
        <v>123.142682</v>
      </c>
      <c r="N8" s="31">
        <v>83.825761</v>
      </c>
    </row>
    <row r="9" customHeight="1" spans="1:14">
      <c r="A9" s="119" t="s">
        <v>59</v>
      </c>
      <c r="B9" s="36">
        <f t="shared" si="0"/>
        <v>585.657025</v>
      </c>
      <c r="C9" s="31">
        <v>106.320885</v>
      </c>
      <c r="D9" s="31">
        <v>42.534918</v>
      </c>
      <c r="E9" s="31">
        <v>75.209191</v>
      </c>
      <c r="F9" s="31">
        <v>32.272233</v>
      </c>
      <c r="G9" s="31">
        <v>43.14</v>
      </c>
      <c r="H9" s="31">
        <v>47.282986</v>
      </c>
      <c r="I9" s="31">
        <v>52.31881</v>
      </c>
      <c r="J9" s="31">
        <v>40.126594</v>
      </c>
      <c r="K9" s="31">
        <v>41.531773</v>
      </c>
      <c r="L9" s="31">
        <v>32.941035</v>
      </c>
      <c r="M9" s="31">
        <v>27.427461</v>
      </c>
      <c r="N9" s="31">
        <v>44.551139</v>
      </c>
    </row>
    <row r="10" customHeight="1" spans="1:14">
      <c r="A10" s="119" t="s">
        <v>60</v>
      </c>
      <c r="B10" s="36">
        <f t="shared" si="0"/>
        <v>208.413817</v>
      </c>
      <c r="C10" s="31">
        <v>16.512047</v>
      </c>
      <c r="D10" s="31">
        <v>14.980842</v>
      </c>
      <c r="E10" s="31">
        <v>28.14216</v>
      </c>
      <c r="F10" s="31">
        <v>27.797814</v>
      </c>
      <c r="G10" s="31">
        <v>21.950714</v>
      </c>
      <c r="H10" s="31">
        <v>18.660004</v>
      </c>
      <c r="I10" s="31">
        <v>12.630675</v>
      </c>
      <c r="J10" s="31">
        <v>27.603272</v>
      </c>
      <c r="K10" s="31">
        <v>10.559486</v>
      </c>
      <c r="L10" s="31">
        <v>16.441937</v>
      </c>
      <c r="M10" s="31">
        <v>7.291591</v>
      </c>
      <c r="N10" s="31">
        <v>5.843275</v>
      </c>
    </row>
    <row r="11" customHeight="1" spans="1:14">
      <c r="A11" s="119" t="s">
        <v>132</v>
      </c>
      <c r="B11" s="120">
        <f>SUM(B2:B10)</f>
        <v>28181.139354</v>
      </c>
      <c r="C11" s="120">
        <f t="shared" ref="C11:N11" si="1">SUM(C2:C10)</f>
        <v>2407.580661</v>
      </c>
      <c r="D11" s="120">
        <f t="shared" si="1"/>
        <v>2189.194954</v>
      </c>
      <c r="E11" s="120">
        <f t="shared" si="1"/>
        <v>2310.295994</v>
      </c>
      <c r="F11" s="120">
        <f t="shared" si="1"/>
        <v>2291.069721</v>
      </c>
      <c r="G11" s="120">
        <f t="shared" si="1"/>
        <v>2312.961233</v>
      </c>
      <c r="H11" s="120">
        <f t="shared" si="1"/>
        <v>2286.305422</v>
      </c>
      <c r="I11" s="120">
        <f t="shared" si="1"/>
        <v>2408.098926</v>
      </c>
      <c r="J11" s="120">
        <f t="shared" si="1"/>
        <v>2398.078986</v>
      </c>
      <c r="K11" s="120">
        <f t="shared" si="1"/>
        <v>2344.144829</v>
      </c>
      <c r="L11" s="120">
        <f t="shared" si="1"/>
        <v>2403.064892</v>
      </c>
      <c r="M11" s="120">
        <f t="shared" si="1"/>
        <v>2379.512539</v>
      </c>
      <c r="N11" s="120">
        <f t="shared" si="1"/>
        <v>2450.831197</v>
      </c>
    </row>
  </sheetData>
  <pageMargins left="0.7" right="0.7" top="0.75" bottom="0.75" header="0.3" footer="0.3"/>
  <pageSetup paperSize="9" orientation="portrait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/>
  <dimension ref="A1:I1"/>
  <sheetViews>
    <sheetView workbookViewId="0">
      <selection activeCell="G2" sqref="G2"/>
    </sheetView>
  </sheetViews>
  <sheetFormatPr defaultColWidth="9" defaultRowHeight="14.55"/>
  <sheetData>
    <row r="1" spans="1:9">
      <c r="A1">
        <v>65535</v>
      </c>
      <c r="B1">
        <v>65535</v>
      </c>
      <c r="C1">
        <v>65535</v>
      </c>
      <c r="D1">
        <v>65535</v>
      </c>
      <c r="E1">
        <v>65535</v>
      </c>
      <c r="F1">
        <v>65535</v>
      </c>
      <c r="G1">
        <v>65535</v>
      </c>
      <c r="H1">
        <v>65535</v>
      </c>
      <c r="I1">
        <v>65535</v>
      </c>
    </row>
  </sheetData>
  <pageMargins left="0.7" right="0.7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"/>
  <dimension ref="A1:I1"/>
  <sheetViews>
    <sheetView workbookViewId="0">
      <selection activeCell="G2" sqref="G2"/>
    </sheetView>
  </sheetViews>
  <sheetFormatPr defaultColWidth="9" defaultRowHeight="14.55"/>
  <sheetData>
    <row r="1" spans="1:9">
      <c r="A1" t="s">
        <v>133</v>
      </c>
      <c r="B1" t="s">
        <v>133</v>
      </c>
      <c r="C1" t="s">
        <v>133</v>
      </c>
      <c r="D1" t="s">
        <v>133</v>
      </c>
      <c r="E1" t="s">
        <v>133</v>
      </c>
      <c r="F1" t="s">
        <v>133</v>
      </c>
      <c r="G1" t="s">
        <v>133</v>
      </c>
      <c r="H1" t="s">
        <v>133</v>
      </c>
      <c r="I1" t="s">
        <v>133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1"/>
  <dimension ref="A1:B18"/>
  <sheetViews>
    <sheetView workbookViewId="0">
      <selection activeCell="B2" sqref="B2"/>
    </sheetView>
  </sheetViews>
  <sheetFormatPr defaultColWidth="8.69369369369369" defaultRowHeight="14.55" outlineLevelCol="1"/>
  <cols>
    <col min="2" max="2" width="66.0720720720721" customWidth="1"/>
  </cols>
  <sheetData>
    <row r="1" ht="24" customHeight="1" spans="1:2">
      <c r="A1" s="114" t="s">
        <v>49</v>
      </c>
      <c r="B1" s="114" t="s">
        <v>134</v>
      </c>
    </row>
    <row r="2" ht="24" customHeight="1" spans="1:2">
      <c r="A2" s="115">
        <v>1</v>
      </c>
      <c r="B2" s="116"/>
    </row>
    <row r="3" ht="24" customHeight="1" spans="1:2">
      <c r="A3" s="115">
        <v>2</v>
      </c>
      <c r="B3" s="116"/>
    </row>
    <row r="4" ht="24" customHeight="1" spans="1:2">
      <c r="A4" s="115">
        <v>3</v>
      </c>
      <c r="B4" s="116"/>
    </row>
    <row r="5" ht="24" customHeight="1" spans="1:2">
      <c r="A5" s="115">
        <v>4</v>
      </c>
      <c r="B5" s="116"/>
    </row>
    <row r="6" ht="24" customHeight="1" spans="1:2">
      <c r="A6" s="115">
        <v>5</v>
      </c>
      <c r="B6" s="116"/>
    </row>
    <row r="7" ht="24" customHeight="1" spans="1:2">
      <c r="A7" s="115">
        <v>6</v>
      </c>
      <c r="B7" s="116"/>
    </row>
    <row r="8" ht="24" customHeight="1" spans="1:2">
      <c r="A8" s="115">
        <v>7</v>
      </c>
      <c r="B8" s="116"/>
    </row>
    <row r="9" ht="24" customHeight="1" spans="1:2">
      <c r="A9" s="115">
        <v>8</v>
      </c>
      <c r="B9" s="116"/>
    </row>
    <row r="10" ht="24" customHeight="1" spans="1:2">
      <c r="A10" s="115">
        <v>9</v>
      </c>
      <c r="B10" s="116"/>
    </row>
    <row r="11" ht="24" customHeight="1" spans="1:2">
      <c r="A11" s="115">
        <v>10</v>
      </c>
      <c r="B11" s="116"/>
    </row>
    <row r="12" ht="24" customHeight="1" spans="1:2">
      <c r="A12" s="115">
        <v>11</v>
      </c>
      <c r="B12" s="116"/>
    </row>
    <row r="13" ht="24" customHeight="1" spans="1:2">
      <c r="A13" s="115">
        <v>12</v>
      </c>
      <c r="B13" s="116"/>
    </row>
    <row r="14" ht="24" customHeight="1" spans="1:2">
      <c r="A14" s="115">
        <v>13</v>
      </c>
      <c r="B14" s="116"/>
    </row>
    <row r="15" ht="24" customHeight="1" spans="1:2">
      <c r="A15" s="115">
        <v>14</v>
      </c>
      <c r="B15" s="116"/>
    </row>
    <row r="16" ht="24" customHeight="1" spans="1:2">
      <c r="A16" s="115">
        <v>15</v>
      </c>
      <c r="B16" s="116"/>
    </row>
    <row r="17" ht="24" customHeight="1" spans="1:2">
      <c r="A17" s="115">
        <v>16</v>
      </c>
      <c r="B17" s="116"/>
    </row>
    <row r="18" ht="24" customHeight="1" spans="1:2">
      <c r="A18" s="115">
        <v>17</v>
      </c>
      <c r="B18" s="116"/>
    </row>
  </sheetData>
  <pageMargins left="0.75" right="0.75" top="1" bottom="1" header="0.5" footer="0.5"/>
  <pageSetup paperSize="9" orientation="portrait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6">
    <tabColor theme="4"/>
  </sheetPr>
  <dimension ref="A1:F18"/>
  <sheetViews>
    <sheetView tabSelected="1" topLeftCell="A7" workbookViewId="0">
      <selection activeCell="F23" sqref="F23"/>
    </sheetView>
  </sheetViews>
  <sheetFormatPr defaultColWidth="11" defaultRowHeight="24" customHeight="1" outlineLevelCol="5"/>
  <cols>
    <col min="1" max="1" width="8.07207207207207" style="107" customWidth="1"/>
    <col min="2" max="2" width="4.91891891891892" style="107" customWidth="1"/>
    <col min="3" max="3" width="14.8468468468468" style="107" customWidth="1"/>
    <col min="4" max="4" width="6.37837837837838" style="107" customWidth="1"/>
    <col min="5" max="5" width="5.91891891891892" style="107" customWidth="1"/>
    <col min="6" max="6" width="37.4594594594595" style="107" customWidth="1"/>
    <col min="7" max="7" width="11" style="107" customWidth="1"/>
    <col min="8" max="8" width="16.8468468468468" style="107" customWidth="1"/>
    <col min="9" max="9" width="57.8468468468468" style="107" customWidth="1"/>
    <col min="10" max="16384" width="11" style="107"/>
  </cols>
  <sheetData>
    <row r="1" ht="28" customHeight="1" spans="1:6">
      <c r="A1" s="108" t="str">
        <f>A2&amp;A3</f>
      </c>
      <c r="C1" s="109" t="s">
        <v>131</v>
      </c>
      <c r="E1" s="109" t="s">
        <v>49</v>
      </c>
      <c r="F1" s="109" t="s">
        <v>50</v>
      </c>
    </row>
    <row r="2" customHeight="1" spans="1:6">
      <c r="A2" s="110">
        <v>4</v>
      </c>
      <c r="C2" s="110" t="s">
        <v>52</v>
      </c>
      <c r="E2" s="111">
        <v>1</v>
      </c>
      <c r="F2" s="111" t="s">
        <v>63</v>
      </c>
    </row>
    <row r="3" customHeight="1" spans="1:6">
      <c r="A3" s="108" t="s">
        <v>135</v>
      </c>
      <c r="C3" s="110" t="s">
        <v>53</v>
      </c>
      <c r="E3" s="111">
        <v>2</v>
      </c>
      <c r="F3" s="111" t="s">
        <v>64</v>
      </c>
    </row>
    <row r="4" customHeight="1" spans="1:6">
      <c r="A4" s="110">
        <v>2026</v>
      </c>
      <c r="C4" s="110" t="s">
        <v>54</v>
      </c>
      <c r="E4" s="111">
        <v>3</v>
      </c>
      <c r="F4" s="111" t="s">
        <v>65</v>
      </c>
    </row>
    <row r="5" customHeight="1" spans="1:6">
      <c r="A5" s="108" t="s">
        <v>136</v>
      </c>
      <c r="C5" s="110" t="s">
        <v>55</v>
      </c>
      <c r="E5" s="111">
        <v>4</v>
      </c>
      <c r="F5" s="111" t="s">
        <v>67</v>
      </c>
    </row>
    <row r="6" customHeight="1" spans="1:6">
      <c r="C6" s="110" t="s">
        <v>56</v>
      </c>
      <c r="E6" s="111">
        <v>4.1</v>
      </c>
      <c r="F6" s="111" t="s">
        <v>68</v>
      </c>
    </row>
    <row r="7" customHeight="1" spans="1:6">
      <c r="A7" s="109" t="s">
        <v>137</v>
      </c>
      <c r="C7" s="110" t="s">
        <v>57</v>
      </c>
      <c r="E7" s="112" t="s">
        <v>69</v>
      </c>
      <c r="F7" s="112" t="s">
        <v>70</v>
      </c>
    </row>
    <row r="8" customHeight="1" spans="1:6">
      <c r="A8" s="113">
        <f>A2/12</f>
      </c>
      <c r="C8" s="110" t="s">
        <v>58</v>
      </c>
      <c r="E8" s="112" t="s">
        <v>71</v>
      </c>
      <c r="F8" s="112" t="s">
        <v>72</v>
      </c>
    </row>
    <row r="9" customHeight="1" spans="1:6">
      <c r="C9" s="110" t="s">
        <v>59</v>
      </c>
      <c r="E9" s="111">
        <v>4.2</v>
      </c>
      <c r="F9" s="111" t="s">
        <v>73</v>
      </c>
    </row>
    <row r="10" customHeight="1" spans="1:6">
      <c r="C10" s="110" t="s">
        <v>60</v>
      </c>
      <c r="E10" s="112" t="s">
        <v>74</v>
      </c>
      <c r="F10" s="112" t="s">
        <v>75</v>
      </c>
    </row>
    <row r="11" customHeight="1" spans="1:6">
      <c r="E11" s="112" t="s">
        <v>76</v>
      </c>
      <c r="F11" s="112" t="s">
        <v>77</v>
      </c>
    </row>
    <row r="12" customHeight="1" spans="1:6">
      <c r="E12" s="111">
        <v>5</v>
      </c>
      <c r="F12" s="111" t="s">
        <v>78</v>
      </c>
    </row>
    <row r="13" customHeight="1" spans="1:6">
      <c r="E13" s="111">
        <v>6</v>
      </c>
      <c r="F13" s="111" t="s">
        <v>80</v>
      </c>
    </row>
    <row r="14" customHeight="1" spans="1:6">
      <c r="E14" s="111">
        <v>7</v>
      </c>
      <c r="F14" s="111" t="s">
        <v>81</v>
      </c>
    </row>
    <row r="15" customHeight="1" spans="1:6">
      <c r="E15" s="111">
        <v>8</v>
      </c>
      <c r="F15" s="111" t="s">
        <v>82</v>
      </c>
    </row>
    <row r="16" customHeight="1" spans="1:6">
      <c r="E16" s="111">
        <v>9</v>
      </c>
      <c r="F16" s="111" t="s">
        <v>83</v>
      </c>
    </row>
    <row r="17" customHeight="1" spans="5:6">
      <c r="E17" s="111">
        <v>10</v>
      </c>
      <c r="F17" s="111" t="s">
        <v>84</v>
      </c>
    </row>
    <row r="18" customHeight="1" spans="5:6">
      <c r="E18" s="111">
        <v>11</v>
      </c>
      <c r="F18" s="111" t="s">
        <v>85</v>
      </c>
    </row>
  </sheetData>
  <pageMargins left="0.75" right="0.75" top="1" bottom="1" header="0.5" footer="0.5"/>
  <pageSetup paperSize="9" orientation="portrait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5">
    <tabColor theme="7"/>
  </sheetPr>
  <dimension ref="A1:T24"/>
  <sheetViews>
    <sheetView zoomScale="115" zoomScaleNormal="115" workbookViewId="0">
      <pane xSplit="3" ySplit="1" topLeftCell="D2" activePane="bottomRight" state="frozen"/>
      <selection/>
      <selection pane="topRight"/>
      <selection pane="bottomLeft"/>
      <selection pane="bottomRight" activeCell="E23" sqref="E23"/>
    </sheetView>
  </sheetViews>
  <sheetFormatPr defaultColWidth="19.6126126126126" defaultRowHeight="14.55"/>
  <cols>
    <col min="1" max="1" width="9.37837837837838" style="25" customWidth="1"/>
    <col min="2" max="2" width="7.45945945945946" style="25" customWidth="1"/>
    <col min="3" max="3" width="22.5315315315315" style="25" customWidth="1"/>
    <col min="4" max="5" width="14.6126126126126" style="25" customWidth="1"/>
    <col min="6" max="6" width="9.61261261261261" style="25" customWidth="1"/>
    <col min="7" max="18" width="8.84684684684685" style="25" customWidth="1"/>
    <col min="19" max="19" width="9" style="25" customWidth="1"/>
    <col min="20" max="20" width="12.5315315315315" style="25" customWidth="1"/>
    <col min="21" max="25" width="9" style="25" customWidth="1"/>
    <col min="26" max="16384" width="19.6126126126126" style="25"/>
  </cols>
  <sheetData>
    <row r="1" ht="18" customHeight="1" spans="1:20">
      <c r="A1" s="35" t="s">
        <v>48</v>
      </c>
      <c r="B1" s="35" t="s">
        <v>49</v>
      </c>
      <c r="C1" s="35" t="s">
        <v>50</v>
      </c>
      <c r="D1" s="35" t="s">
        <v>128</v>
      </c>
      <c r="E1" s="35" t="s">
        <v>129</v>
      </c>
      <c r="F1" s="35" t="s">
        <v>130</v>
      </c>
      <c r="G1" s="35" t="s">
        <v>108</v>
      </c>
      <c r="H1" s="35" t="s">
        <v>109</v>
      </c>
      <c r="I1" s="35" t="s">
        <v>110</v>
      </c>
      <c r="J1" s="35" t="s">
        <v>111</v>
      </c>
      <c r="K1" s="35" t="s">
        <v>112</v>
      </c>
      <c r="L1" s="35" t="s">
        <v>113</v>
      </c>
      <c r="M1" s="35" t="s">
        <v>114</v>
      </c>
      <c r="N1" s="35" t="s">
        <v>115</v>
      </c>
      <c r="O1" s="35" t="s">
        <v>116</v>
      </c>
      <c r="P1" s="35" t="s">
        <v>117</v>
      </c>
      <c r="Q1" s="35" t="s">
        <v>118</v>
      </c>
      <c r="R1" s="35" t="s">
        <v>119</v>
      </c>
      <c r="S1" s="35" t="s">
        <v>138</v>
      </c>
      <c r="T1" s="35" t="str">
        <f>"上年"&amp;填写页!A1&amp;"累计"</f>
        <v>上年4月累计</v>
      </c>
    </row>
    <row r="2" ht="18" customHeight="1" spans="1:20">
      <c r="A2" s="99" t="s">
        <v>62</v>
      </c>
      <c r="B2" s="100">
        <v>1</v>
      </c>
      <c r="C2" s="100" t="s">
        <v>63</v>
      </c>
      <c r="D2" s="101">
        <f>SUM(北京中言:君康经纪!D2)</f>
        <v>27810.97822036</v>
      </c>
      <c r="E2" s="101">
        <f>SUM(北京中言:君康经纪!E2)</f>
        <v>6293.550245</v>
      </c>
      <c r="F2" s="102">
        <f>IFERROR(MAX(1+(E2-D2)/ABS(D2),0),)</f>
        <v>0.226297334640052</v>
      </c>
      <c r="G2" s="101">
        <f>IF(VALUE(SUBSTITUTE(G$1,"月",""))&lt;=填写页!$A$2,SUM(北京中言:君康经纪!G2),0)</f>
        <v>2008.217692</v>
      </c>
      <c r="H2" s="101">
        <f>IF(VALUE(SUBSTITUTE(H$1,"月",""))&lt;=填写页!$A$2,SUM(北京中言:君康经纪!H2),0)</f>
        <v>1773.748913</v>
      </c>
      <c r="I2" s="101">
        <f>IF(VALUE(SUBSTITUTE(I$1,"月",""))&lt;=填写页!$A$2,SUM(北京中言:君康经纪!I2),0)</f>
        <v>2511.58364</v>
      </c>
      <c r="J2" s="101">
        <f>IF(VALUE(SUBSTITUTE(J$1,"月",""))&lt;=填写页!$A$2,SUM(北京中言:君康经纪!J2),0)</f>
        <v>0</v>
      </c>
      <c r="K2" s="101">
        <f>IF(VALUE(SUBSTITUTE(K$1,"月",""))&lt;=填写页!$A$2,SUM(北京中言:君康经纪!K2),0)</f>
        <v>0</v>
      </c>
      <c r="L2" s="101">
        <f>IF(VALUE(SUBSTITUTE(L$1,"月",""))&lt;=填写页!$A$2,SUM(北京中言:君康经纪!L2),0)</f>
        <v>0</v>
      </c>
      <c r="M2" s="101">
        <f>IF(VALUE(SUBSTITUTE(M$1,"月",""))&lt;=填写页!$A$2,SUM(北京中言:君康经纪!M2),0)</f>
        <v>0</v>
      </c>
      <c r="N2" s="101">
        <f>IF(VALUE(SUBSTITUTE(N$1,"月",""))&lt;=填写页!$A$2,SUM(北京中言:君康经纪!N2),0)</f>
        <v>0</v>
      </c>
      <c r="O2" s="101">
        <f>IF(VALUE(SUBSTITUTE(O$1,"月",""))&lt;=填写页!$A$2,SUM(北京中言:君康经纪!O2),0)</f>
        <v>0</v>
      </c>
      <c r="P2" s="101">
        <f>IF(VALUE(SUBSTITUTE(P$1,"月",""))&lt;=填写页!$A$2,SUM(北京中言:君康经纪!P2),0)</f>
        <v>0</v>
      </c>
      <c r="Q2" s="101">
        <f>IF(VALUE(SUBSTITUTE(Q$1,"月",""))&lt;=填写页!$A$2,SUM(北京中言:君康经纪!Q2),0)</f>
        <v>0</v>
      </c>
      <c r="R2" s="101">
        <f>IF(VALUE(SUBSTITUTE(R$1,"月",""))&lt;=填写页!$A$2,SUM(北京中言:君康经纪!R2),0)</f>
        <v>0</v>
      </c>
      <c r="S2" s="102">
        <f ca="1">IFERROR(E2/T2-1,)</f>
        <v>-0.315780219154341</v>
      </c>
      <c r="T2" s="101">
        <f ca="1">SUM(INDEX(总指标历史分期!$F2:$Q2,1,1):INDEX(总指标历史分期!$F2:$Q2,1,MATCH(填写页!$A$1,总指标历史分期!$F$1:$Q$1,0)))</f>
        <v>9198.14133</v>
      </c>
    </row>
    <row r="3" ht="18" customHeight="1" spans="1:20">
      <c r="A3" s="99"/>
      <c r="B3" s="100">
        <v>2</v>
      </c>
      <c r="C3" s="100" t="s">
        <v>64</v>
      </c>
      <c r="D3" s="101">
        <f>SUM(北京中言:君康经纪!D3)</f>
        <v>12461.6738492242</v>
      </c>
      <c r="E3" s="101">
        <f>SUM(北京中言:君康经纪!E3)</f>
        <v>3304.042112</v>
      </c>
      <c r="F3" s="102">
        <f t="shared" ref="F3:F12" si="0">IFERROR(MAX(1+(E3-D3)/ABS(D3),0),)</f>
        <v>0.265136301268685</v>
      </c>
      <c r="G3" s="101">
        <f>IF(VALUE(SUBSTITUTE(G$1,"月",""))&lt;=填写页!$A$2,SUM(北京中言:君康经纪!G3),0)</f>
        <v>957.606565</v>
      </c>
      <c r="H3" s="101">
        <f>IF(VALUE(SUBSTITUTE(H$1,"月",""))&lt;=填写页!$A$2,SUM(北京中言:君康经纪!H3),0)</f>
        <v>796.556658</v>
      </c>
      <c r="I3" s="101">
        <f>IF(VALUE(SUBSTITUTE(I$1,"月",""))&lt;=填写页!$A$2,SUM(北京中言:君康经纪!I3),0)</f>
        <v>1549.878889</v>
      </c>
      <c r="J3" s="101">
        <f>IF(VALUE(SUBSTITUTE(J$1,"月",""))&lt;=填写页!$A$2,SUM(北京中言:君康经纪!J3),0)</f>
        <v>0</v>
      </c>
      <c r="K3" s="101">
        <f>IF(VALUE(SUBSTITUTE(K$1,"月",""))&lt;=填写页!$A$2,SUM(北京中言:君康经纪!K3),0)</f>
        <v>0</v>
      </c>
      <c r="L3" s="101">
        <f>IF(VALUE(SUBSTITUTE(L$1,"月",""))&lt;=填写页!$A$2,SUM(北京中言:君康经纪!L3),0)</f>
        <v>0</v>
      </c>
      <c r="M3" s="101">
        <f>IF(VALUE(SUBSTITUTE(M$1,"月",""))&lt;=填写页!$A$2,SUM(北京中言:君康经纪!M3),0)</f>
        <v>0</v>
      </c>
      <c r="N3" s="101">
        <f>IF(VALUE(SUBSTITUTE(N$1,"月",""))&lt;=填写页!$A$2,SUM(北京中言:君康经纪!N3),0)</f>
        <v>0</v>
      </c>
      <c r="O3" s="101">
        <f>IF(VALUE(SUBSTITUTE(O$1,"月",""))&lt;=填写页!$A$2,SUM(北京中言:君康经纪!O3),0)</f>
        <v>0</v>
      </c>
      <c r="P3" s="101">
        <f>IF(VALUE(SUBSTITUTE(P$1,"月",""))&lt;=填写页!$A$2,SUM(北京中言:君康经纪!P3),0)</f>
        <v>0</v>
      </c>
      <c r="Q3" s="101">
        <f>IF(VALUE(SUBSTITUTE(Q$1,"月",""))&lt;=填写页!$A$2,SUM(北京中言:君康经纪!Q3),0)</f>
        <v>0</v>
      </c>
      <c r="R3" s="101">
        <f>IF(VALUE(SUBSTITUTE(R$1,"月",""))&lt;=填写页!$A$2,SUM(北京中言:君康经纪!R3),0)</f>
        <v>0</v>
      </c>
      <c r="S3" s="102">
        <f ca="1">IFERROR(E3/T3-1,)</f>
        <v>-0.284877036245075</v>
      </c>
      <c r="T3" s="101">
        <f ca="1">SUM(INDEX(总指标历史分期!$F3:$Q3,1,1):INDEX(总指标历史分期!$F3:$Q3,1,MATCH(填写页!$A$1,总指标历史分期!$F$1:$Q$1,0)))</f>
        <v>4620.243342</v>
      </c>
    </row>
    <row r="4" ht="18" customHeight="1" spans="1:20">
      <c r="A4" s="99"/>
      <c r="B4" s="100">
        <v>3</v>
      </c>
      <c r="C4" s="100" t="s">
        <v>65</v>
      </c>
      <c r="D4" s="101">
        <f>SUM(北京中言:君康经纪!D4)</f>
        <v>7797.32818277049</v>
      </c>
      <c r="E4" s="101">
        <f>SUM(北京中言:君康经纪!E4)</f>
        <v>2565.334169</v>
      </c>
      <c r="F4" s="102">
        <f t="shared" si="0"/>
        <v>0.329001692485964</v>
      </c>
      <c r="G4" s="101">
        <f>IF(VALUE(SUBSTITUTE(G$1,"月",""))&lt;=填写页!$A$2,SUM(北京中言:君康经纪!G4),0)</f>
        <v>661.080849</v>
      </c>
      <c r="H4" s="101">
        <f>IF(VALUE(SUBSTITUTE(H$1,"月",""))&lt;=填写页!$A$2,SUM(北京中言:君康经纪!H4),0)</f>
        <v>1290.535612</v>
      </c>
      <c r="I4" s="101">
        <f>IF(VALUE(SUBSTITUTE(I$1,"月",""))&lt;=填写页!$A$2,SUM(北京中言:君康经纪!I4),0)</f>
        <v>613.717708</v>
      </c>
      <c r="J4" s="101">
        <f>IF(VALUE(SUBSTITUTE(J$1,"月",""))&lt;=填写页!$A$2,SUM(北京中言:君康经纪!J4),0)</f>
        <v>0</v>
      </c>
      <c r="K4" s="101">
        <f>IF(VALUE(SUBSTITUTE(K$1,"月",""))&lt;=填写页!$A$2,SUM(北京中言:君康经纪!K4),0)</f>
        <v>0</v>
      </c>
      <c r="L4" s="101">
        <f>IF(VALUE(SUBSTITUTE(L$1,"月",""))&lt;=填写页!$A$2,SUM(北京中言:君康经纪!L4),0)</f>
        <v>0</v>
      </c>
      <c r="M4" s="101">
        <f>IF(VALUE(SUBSTITUTE(M$1,"月",""))&lt;=填写页!$A$2,SUM(北京中言:君康经纪!M4),0)</f>
        <v>0</v>
      </c>
      <c r="N4" s="101">
        <f>IF(VALUE(SUBSTITUTE(N$1,"月",""))&lt;=填写页!$A$2,SUM(北京中言:君康经纪!N4),0)</f>
        <v>0</v>
      </c>
      <c r="O4" s="101">
        <f>IF(VALUE(SUBSTITUTE(O$1,"月",""))&lt;=填写页!$A$2,SUM(北京中言:君康经纪!O4),0)</f>
        <v>0</v>
      </c>
      <c r="P4" s="101">
        <f>IF(VALUE(SUBSTITUTE(P$1,"月",""))&lt;=填写页!$A$2,SUM(北京中言:君康经纪!P4),0)</f>
        <v>0</v>
      </c>
      <c r="Q4" s="101">
        <f>IF(VALUE(SUBSTITUTE(Q$1,"月",""))&lt;=填写页!$A$2,SUM(北京中言:君康经纪!Q4),0)</f>
        <v>0</v>
      </c>
      <c r="R4" s="101">
        <f>IF(VALUE(SUBSTITUTE(R$1,"月",""))&lt;=填写页!$A$2,SUM(北京中言:君康经纪!R4),0)</f>
        <v>0</v>
      </c>
      <c r="S4" s="102">
        <f ca="1">IFERROR(E4/T4-1,)</f>
        <v>-0.197655559754792</v>
      </c>
      <c r="T4" s="101">
        <f ca="1">SUM(INDEX(总指标历史分期!$F4:$Q4,1,1):INDEX(总指标历史分期!$F4:$Q4,1,MATCH(填写页!$A$1,总指标历史分期!$F$1:$Q$1,0)))</f>
        <v>3197.297869</v>
      </c>
    </row>
    <row r="5" ht="18" customHeight="1" spans="1:20">
      <c r="A5" s="99" t="s">
        <v>66</v>
      </c>
      <c r="B5" s="100">
        <v>4</v>
      </c>
      <c r="C5" s="100" t="s">
        <v>67</v>
      </c>
      <c r="D5" s="101">
        <f>SUM(北京中言:君康经纪!D5)</f>
        <v>11893.2522838012</v>
      </c>
      <c r="E5" s="101">
        <f>SUM(北京中言:君康经纪!E5)</f>
        <v>1956.318092</v>
      </c>
      <c r="F5" s="102">
        <f t="shared" si="0"/>
        <v>0.16448974976042</v>
      </c>
      <c r="G5" s="101">
        <f>IF(VALUE(SUBSTITUTE(G$1,"月",""))&lt;=填写页!$A$2,SUM(北京中言:君康经纪!G5),0)</f>
        <v>693.537941</v>
      </c>
      <c r="H5" s="101">
        <f>IF(VALUE(SUBSTITUTE(H$1,"月",""))&lt;=填写页!$A$2,SUM(北京中言:君康经纪!H5),0)</f>
        <v>618.834128</v>
      </c>
      <c r="I5" s="101">
        <f>IF(VALUE(SUBSTITUTE(I$1,"月",""))&lt;=填写页!$A$2,SUM(北京中言:君康经纪!I5),0)</f>
        <v>643.946023</v>
      </c>
      <c r="J5" s="101">
        <f>IF(VALUE(SUBSTITUTE(J$1,"月",""))&lt;=填写页!$A$2,SUM(北京中言:君康经纪!J5),0)</f>
        <v>0</v>
      </c>
      <c r="K5" s="101">
        <f>IF(VALUE(SUBSTITUTE(K$1,"月",""))&lt;=填写页!$A$2,SUM(北京中言:君康经纪!K5),0)</f>
        <v>0</v>
      </c>
      <c r="L5" s="101">
        <f>IF(VALUE(SUBSTITUTE(L$1,"月",""))&lt;=填写页!$A$2,SUM(北京中言:君康经纪!L5),0)</f>
        <v>0</v>
      </c>
      <c r="M5" s="101">
        <f>IF(VALUE(SUBSTITUTE(M$1,"月",""))&lt;=填写页!$A$2,SUM(北京中言:君康经纪!M5),0)</f>
        <v>0</v>
      </c>
      <c r="N5" s="101">
        <f>IF(VALUE(SUBSTITUTE(N$1,"月",""))&lt;=填写页!$A$2,SUM(北京中言:君康经纪!N5),0)</f>
        <v>0</v>
      </c>
      <c r="O5" s="101">
        <f>IF(VALUE(SUBSTITUTE(O$1,"月",""))&lt;=填写页!$A$2,SUM(北京中言:君康经纪!O5),0)</f>
        <v>0</v>
      </c>
      <c r="P5" s="101">
        <f>IF(VALUE(SUBSTITUTE(P$1,"月",""))&lt;=填写页!$A$2,SUM(北京中言:君康经纪!P5),0)</f>
        <v>0</v>
      </c>
      <c r="Q5" s="101">
        <f>IF(VALUE(SUBSTITUTE(Q$1,"月",""))&lt;=填写页!$A$2,SUM(北京中言:君康经纪!Q5),0)</f>
        <v>0</v>
      </c>
      <c r="R5" s="101">
        <f>IF(VALUE(SUBSTITUTE(R$1,"月",""))&lt;=填写页!$A$2,SUM(北京中言:君康经纪!R5),0)</f>
        <v>0</v>
      </c>
      <c r="S5" s="102">
        <f ca="1">IFERROR(E5/T5-1,)</f>
        <v>-0.34566813101382</v>
      </c>
      <c r="T5" s="101">
        <f ca="1">SUM(INDEX(总指标历史分期!$F5:$Q5,1,1):INDEX(总指标历史分期!$F5:$Q5,1,MATCH(填写页!$A$1,总指标历史分期!$F$1:$Q$1,0)))</f>
        <v>2989.794911</v>
      </c>
    </row>
    <row r="6" ht="18" customHeight="1" spans="1:20">
      <c r="A6" s="99"/>
      <c r="B6" s="100">
        <v>4.1</v>
      </c>
      <c r="C6" s="100" t="s">
        <v>68</v>
      </c>
      <c r="D6" s="101">
        <f>SUM(北京中言:君康经纪!D6)</f>
        <v>6663.42343798794</v>
      </c>
      <c r="E6" s="101">
        <f>SUM(北京中言:君康经纪!E6)</f>
        <v>1242.673128</v>
      </c>
      <c r="F6" s="102">
        <f t="shared" si="0"/>
        <v>0.186491694481783</v>
      </c>
      <c r="G6" s="101">
        <f>IF(VALUE(SUBSTITUTE(G$1,"月",""))&lt;=填写页!$A$2,SUM(北京中言:君康经纪!G6),0)</f>
        <v>435.906976</v>
      </c>
      <c r="H6" s="101">
        <f>IF(VALUE(SUBSTITUTE(H$1,"月",""))&lt;=填写页!$A$2,SUM(北京中言:君康经纪!H6),0)</f>
        <v>408.362922</v>
      </c>
      <c r="I6" s="101">
        <f>IF(VALUE(SUBSTITUTE(I$1,"月",""))&lt;=填写页!$A$2,SUM(北京中言:君康经纪!I6),0)</f>
        <v>398.40323</v>
      </c>
      <c r="J6" s="101">
        <f>IF(VALUE(SUBSTITUTE(J$1,"月",""))&lt;=填写页!$A$2,SUM(北京中言:君康经纪!J6),0)</f>
        <v>0</v>
      </c>
      <c r="K6" s="101">
        <f>IF(VALUE(SUBSTITUTE(K$1,"月",""))&lt;=填写页!$A$2,SUM(北京中言:君康经纪!K6),0)</f>
        <v>0</v>
      </c>
      <c r="L6" s="101">
        <f>IF(VALUE(SUBSTITUTE(L$1,"月",""))&lt;=填写页!$A$2,SUM(北京中言:君康经纪!L6),0)</f>
        <v>0</v>
      </c>
      <c r="M6" s="101">
        <f>IF(VALUE(SUBSTITUTE(M$1,"月",""))&lt;=填写页!$A$2,SUM(北京中言:君康经纪!M6),0)</f>
        <v>0</v>
      </c>
      <c r="N6" s="101">
        <f>IF(VALUE(SUBSTITUTE(N$1,"月",""))&lt;=填写页!$A$2,SUM(北京中言:君康经纪!N6),0)</f>
        <v>0</v>
      </c>
      <c r="O6" s="101">
        <f>IF(VALUE(SUBSTITUTE(O$1,"月",""))&lt;=填写页!$A$2,SUM(北京中言:君康经纪!O6),0)</f>
        <v>0</v>
      </c>
      <c r="P6" s="101">
        <f>IF(VALUE(SUBSTITUTE(P$1,"月",""))&lt;=填写页!$A$2,SUM(北京中言:君康经纪!P6),0)</f>
        <v>0</v>
      </c>
      <c r="Q6" s="101">
        <f>IF(VALUE(SUBSTITUTE(Q$1,"月",""))&lt;=填写页!$A$2,SUM(北京中言:君康经纪!Q6),0)</f>
        <v>0</v>
      </c>
      <c r="R6" s="101">
        <f>IF(VALUE(SUBSTITUTE(R$1,"月",""))&lt;=填写页!$A$2,SUM(北京中言:君康经纪!R6),0)</f>
        <v>0</v>
      </c>
    </row>
    <row r="7" ht="18" customHeight="1" spans="1:20">
      <c r="A7" s="99"/>
      <c r="B7" s="100" t="s">
        <v>69</v>
      </c>
      <c r="C7" s="103" t="s">
        <v>70</v>
      </c>
      <c r="D7" s="104">
        <f>SUM(北京中言:君康经纪!D7)</f>
        <v>4472.1740331504</v>
      </c>
      <c r="E7" s="104">
        <f>SUM(北京中言:君康经纪!E7)</f>
        <v>1059.034126</v>
      </c>
      <c r="F7" s="105">
        <f t="shared" si="0"/>
        <v>0.236805213336917</v>
      </c>
      <c r="G7" s="101">
        <f>IF(VALUE(SUBSTITUTE(G$1,"月",""))&lt;=填写页!$A$2,SUM(北京中言:君康经纪!G7),0)</f>
        <v>368.597248</v>
      </c>
      <c r="H7" s="101">
        <f>IF(VALUE(SUBSTITUTE(H$1,"月",""))&lt;=填写页!$A$2,SUM(北京中言:君康经纪!H7),0)</f>
        <v>355.165413</v>
      </c>
      <c r="I7" s="101">
        <f>IF(VALUE(SUBSTITUTE(I$1,"月",""))&lt;=填写页!$A$2,SUM(北京中言:君康经纪!I7),0)</f>
        <v>335.271465</v>
      </c>
      <c r="J7" s="101">
        <f>IF(VALUE(SUBSTITUTE(J$1,"月",""))&lt;=填写页!$A$2,SUM(北京中言:君康经纪!J7),0)</f>
        <v>0</v>
      </c>
      <c r="K7" s="101">
        <f>IF(VALUE(SUBSTITUTE(K$1,"月",""))&lt;=填写页!$A$2,SUM(北京中言:君康经纪!K7),0)</f>
        <v>0</v>
      </c>
      <c r="L7" s="101">
        <f>IF(VALUE(SUBSTITUTE(L$1,"月",""))&lt;=填写页!$A$2,SUM(北京中言:君康经纪!L7),0)</f>
        <v>0</v>
      </c>
      <c r="M7" s="101">
        <f>IF(VALUE(SUBSTITUTE(M$1,"月",""))&lt;=填写页!$A$2,SUM(北京中言:君康经纪!M7),0)</f>
        <v>0</v>
      </c>
      <c r="N7" s="101">
        <f>IF(VALUE(SUBSTITUTE(N$1,"月",""))&lt;=填写页!$A$2,SUM(北京中言:君康经纪!N7),0)</f>
        <v>0</v>
      </c>
      <c r="O7" s="101">
        <f>IF(VALUE(SUBSTITUTE(O$1,"月",""))&lt;=填写页!$A$2,SUM(北京中言:君康经纪!O7),0)</f>
        <v>0</v>
      </c>
      <c r="P7" s="101">
        <f>IF(VALUE(SUBSTITUTE(P$1,"月",""))&lt;=填写页!$A$2,SUM(北京中言:君康经纪!P7),0)</f>
        <v>0</v>
      </c>
      <c r="Q7" s="101">
        <f>IF(VALUE(SUBSTITUTE(Q$1,"月",""))&lt;=填写页!$A$2,SUM(北京中言:君康经纪!Q7),0)</f>
        <v>0</v>
      </c>
      <c r="R7" s="101">
        <f>IF(VALUE(SUBSTITUTE(R$1,"月",""))&lt;=填写页!$A$2,SUM(北京中言:君康经纪!R7),0)</f>
        <v>0</v>
      </c>
    </row>
    <row r="8" ht="18" customHeight="1" spans="1:20">
      <c r="A8" s="99"/>
      <c r="B8" s="100" t="s">
        <v>71</v>
      </c>
      <c r="C8" s="103" t="s">
        <v>72</v>
      </c>
      <c r="D8" s="104">
        <f>SUM(北京中言:君康经纪!D8)</f>
        <v>2191.24940483754</v>
      </c>
      <c r="E8" s="104">
        <f>SUM(北京中言:君康经纪!E8)</f>
        <v>183.739002</v>
      </c>
      <c r="F8" s="105">
        <f t="shared" si="0"/>
        <v>0.0838512501563565</v>
      </c>
      <c r="G8" s="101">
        <f>IF(VALUE(SUBSTITUTE(G$1,"月",""))&lt;=填写页!$A$2,SUM(北京中言:君康经纪!G8),0)</f>
        <v>67.409728</v>
      </c>
      <c r="H8" s="101">
        <f>IF(VALUE(SUBSTITUTE(H$1,"月",""))&lt;=填写页!$A$2,SUM(北京中言:君康经纪!H8),0)</f>
        <v>53.197509</v>
      </c>
      <c r="I8" s="101">
        <f>IF(VALUE(SUBSTITUTE(I$1,"月",""))&lt;=填写页!$A$2,SUM(北京中言:君康经纪!I8),0)</f>
        <v>63.131765</v>
      </c>
      <c r="J8" s="101">
        <f>IF(VALUE(SUBSTITUTE(J$1,"月",""))&lt;=填写页!$A$2,SUM(北京中言:君康经纪!J8),0)</f>
        <v>0</v>
      </c>
      <c r="K8" s="101">
        <f>IF(VALUE(SUBSTITUTE(K$1,"月",""))&lt;=填写页!$A$2,SUM(北京中言:君康经纪!K8),0)</f>
        <v>0</v>
      </c>
      <c r="L8" s="101">
        <f>IF(VALUE(SUBSTITUTE(L$1,"月",""))&lt;=填写页!$A$2,SUM(北京中言:君康经纪!L8),0)</f>
        <v>0</v>
      </c>
      <c r="M8" s="101">
        <f>IF(VALUE(SUBSTITUTE(M$1,"月",""))&lt;=填写页!$A$2,SUM(北京中言:君康经纪!M8),0)</f>
        <v>0</v>
      </c>
      <c r="N8" s="101">
        <f>IF(VALUE(SUBSTITUTE(N$1,"月",""))&lt;=填写页!$A$2,SUM(北京中言:君康经纪!N8),0)</f>
        <v>0</v>
      </c>
      <c r="O8" s="101">
        <f>IF(VALUE(SUBSTITUTE(O$1,"月",""))&lt;=填写页!$A$2,SUM(北京中言:君康经纪!O8),0)</f>
        <v>0</v>
      </c>
      <c r="P8" s="101">
        <f>IF(VALUE(SUBSTITUTE(P$1,"月",""))&lt;=填写页!$A$2,SUM(北京中言:君康经纪!P8),0)</f>
        <v>0</v>
      </c>
      <c r="Q8" s="101">
        <f>IF(VALUE(SUBSTITUTE(Q$1,"月",""))&lt;=填写页!$A$2,SUM(北京中言:君康经纪!Q8),0)</f>
        <v>0</v>
      </c>
      <c r="R8" s="101">
        <f>IF(VALUE(SUBSTITUTE(R$1,"月",""))&lt;=填写页!$A$2,SUM(北京中言:君康经纪!R8),0)</f>
        <v>0</v>
      </c>
    </row>
    <row r="9" ht="18" customHeight="1" spans="1:20">
      <c r="A9" s="99"/>
      <c r="B9" s="100">
        <v>4.2</v>
      </c>
      <c r="C9" s="100" t="s">
        <v>73</v>
      </c>
      <c r="D9" s="101">
        <f>SUM(北京中言:君康经纪!D9)</f>
        <v>5229.82884581326</v>
      </c>
      <c r="E9" s="101">
        <f>SUM(北京中言:君康经纪!E9)</f>
        <v>713.644964</v>
      </c>
      <c r="F9" s="102">
        <f t="shared" si="0"/>
        <v>0.136456657577104</v>
      </c>
      <c r="G9" s="101">
        <f>IF(VALUE(SUBSTITUTE(G$1,"月",""))&lt;=填写页!$A$2,SUM(北京中言:君康经纪!G9),0)</f>
        <v>257.630965</v>
      </c>
      <c r="H9" s="101">
        <f>IF(VALUE(SUBSTITUTE(H$1,"月",""))&lt;=填写页!$A$2,SUM(北京中言:君康经纪!H9),0)</f>
        <v>210.471206</v>
      </c>
      <c r="I9" s="101">
        <f>IF(VALUE(SUBSTITUTE(I$1,"月",""))&lt;=填写页!$A$2,SUM(北京中言:君康经纪!I9),0)</f>
        <v>245.542793</v>
      </c>
      <c r="J9" s="101">
        <f>IF(VALUE(SUBSTITUTE(J$1,"月",""))&lt;=填写页!$A$2,SUM(北京中言:君康经纪!J9),0)</f>
        <v>0</v>
      </c>
      <c r="K9" s="101">
        <f>IF(VALUE(SUBSTITUTE(K$1,"月",""))&lt;=填写页!$A$2,SUM(北京中言:君康经纪!K9),0)</f>
        <v>0</v>
      </c>
      <c r="L9" s="101">
        <f>IF(VALUE(SUBSTITUTE(L$1,"月",""))&lt;=填写页!$A$2,SUM(北京中言:君康经纪!L9),0)</f>
        <v>0</v>
      </c>
      <c r="M9" s="101">
        <f>IF(VALUE(SUBSTITUTE(M$1,"月",""))&lt;=填写页!$A$2,SUM(北京中言:君康经纪!M9),0)</f>
        <v>0</v>
      </c>
      <c r="N9" s="101">
        <f>IF(VALUE(SUBSTITUTE(N$1,"月",""))&lt;=填写页!$A$2,SUM(北京中言:君康经纪!N9),0)</f>
        <v>0</v>
      </c>
      <c r="O9" s="101">
        <f>IF(VALUE(SUBSTITUTE(O$1,"月",""))&lt;=填写页!$A$2,SUM(北京中言:君康经纪!O9),0)</f>
        <v>0</v>
      </c>
      <c r="P9" s="101">
        <f>IF(VALUE(SUBSTITUTE(P$1,"月",""))&lt;=填写页!$A$2,SUM(北京中言:君康经纪!P9),0)</f>
        <v>0</v>
      </c>
      <c r="Q9" s="101">
        <f>IF(VALUE(SUBSTITUTE(Q$1,"月",""))&lt;=填写页!$A$2,SUM(北京中言:君康经纪!Q9),0)</f>
        <v>0</v>
      </c>
      <c r="R9" s="101">
        <f>IF(VALUE(SUBSTITUTE(R$1,"月",""))&lt;=填写页!$A$2,SUM(北京中言:君康经纪!R9),0)</f>
        <v>0</v>
      </c>
    </row>
    <row r="10" ht="18" customHeight="1" spans="1:20">
      <c r="A10" s="99"/>
      <c r="B10" s="100" t="s">
        <v>74</v>
      </c>
      <c r="C10" s="103" t="s">
        <v>75</v>
      </c>
      <c r="D10" s="104">
        <f>SUM(北京中言:君康经纪!D10)</f>
        <v>2989.9257424</v>
      </c>
      <c r="E10" s="104">
        <f>SUM(北京中言:君康经纪!E10)</f>
        <v>325.839668</v>
      </c>
      <c r="F10" s="105">
        <f t="shared" si="0"/>
        <v>0.108979184124636</v>
      </c>
      <c r="G10" s="101">
        <f>IF(VALUE(SUBSTITUTE(G$1,"月",""))&lt;=填写页!$A$2,SUM(北京中言:君康经纪!G10),0)</f>
        <v>97.129076</v>
      </c>
      <c r="H10" s="101">
        <f>IF(VALUE(SUBSTITUTE(H$1,"月",""))&lt;=填写页!$A$2,SUM(北京中言:君康经纪!H10),0)</f>
        <v>83.805597</v>
      </c>
      <c r="I10" s="101">
        <f>IF(VALUE(SUBSTITUTE(I$1,"月",""))&lt;=填写页!$A$2,SUM(北京中言:君康经纪!I10),0)</f>
        <v>144.904995</v>
      </c>
      <c r="J10" s="101">
        <f>IF(VALUE(SUBSTITUTE(J$1,"月",""))&lt;=填写页!$A$2,SUM(北京中言:君康经纪!J10),0)</f>
        <v>0</v>
      </c>
      <c r="K10" s="101">
        <f>IF(VALUE(SUBSTITUTE(K$1,"月",""))&lt;=填写页!$A$2,SUM(北京中言:君康经纪!K10),0)</f>
        <v>0</v>
      </c>
      <c r="L10" s="101">
        <f>IF(VALUE(SUBSTITUTE(L$1,"月",""))&lt;=填写页!$A$2,SUM(北京中言:君康经纪!L10),0)</f>
        <v>0</v>
      </c>
      <c r="M10" s="101">
        <f>IF(VALUE(SUBSTITUTE(M$1,"月",""))&lt;=填写页!$A$2,SUM(北京中言:君康经纪!M10),0)</f>
        <v>0</v>
      </c>
      <c r="N10" s="101">
        <f>IF(VALUE(SUBSTITUTE(N$1,"月",""))&lt;=填写页!$A$2,SUM(北京中言:君康经纪!N10),0)</f>
        <v>0</v>
      </c>
      <c r="O10" s="101">
        <f>IF(VALUE(SUBSTITUTE(O$1,"月",""))&lt;=填写页!$A$2,SUM(北京中言:君康经纪!O10),0)</f>
        <v>0</v>
      </c>
      <c r="P10" s="101">
        <f>IF(VALUE(SUBSTITUTE(P$1,"月",""))&lt;=填写页!$A$2,SUM(北京中言:君康经纪!P10),0)</f>
        <v>0</v>
      </c>
      <c r="Q10" s="101">
        <f>IF(VALUE(SUBSTITUTE(Q$1,"月",""))&lt;=填写页!$A$2,SUM(北京中言:君康经纪!Q10),0)</f>
        <v>0</v>
      </c>
      <c r="R10" s="101">
        <f>IF(VALUE(SUBSTITUTE(R$1,"月",""))&lt;=填写页!$A$2,SUM(北京中言:君康经纪!R10),0)</f>
        <v>0</v>
      </c>
    </row>
    <row r="11" ht="18" customHeight="1" spans="1:20">
      <c r="A11" s="99"/>
      <c r="B11" s="100" t="s">
        <v>76</v>
      </c>
      <c r="C11" s="103" t="s">
        <v>77</v>
      </c>
      <c r="D11" s="104">
        <f>SUM(北京中言:君康经纪!D11)</f>
        <v>2239.90310341326</v>
      </c>
      <c r="E11" s="104">
        <f>SUM(北京中言:君康经纪!E11)</f>
        <v>387.805296</v>
      </c>
      <c r="F11" s="105">
        <f t="shared" si="0"/>
        <v>0.173134853650163</v>
      </c>
      <c r="G11" s="101">
        <f>IF(VALUE(SUBSTITUTE(G$1,"月",""))&lt;=填写页!$A$2,SUM(北京中言:君康经纪!G11),0)</f>
        <v>160.501889</v>
      </c>
      <c r="H11" s="101">
        <f>IF(VALUE(SUBSTITUTE(H$1,"月",""))&lt;=填写页!$A$2,SUM(北京中言:君康经纪!H11),0)</f>
        <v>126.665609</v>
      </c>
      <c r="I11" s="101">
        <f>IF(VALUE(SUBSTITUTE(I$1,"月",""))&lt;=填写页!$A$2,SUM(北京中言:君康经纪!I11),0)</f>
        <v>100.637798</v>
      </c>
      <c r="J11" s="101">
        <f>IF(VALUE(SUBSTITUTE(J$1,"月",""))&lt;=填写页!$A$2,SUM(北京中言:君康经纪!J11),0)</f>
        <v>0</v>
      </c>
      <c r="K11" s="101">
        <f>IF(VALUE(SUBSTITUTE(K$1,"月",""))&lt;=填写页!$A$2,SUM(北京中言:君康经纪!K11),0)</f>
        <v>0</v>
      </c>
      <c r="L11" s="101">
        <f>IF(VALUE(SUBSTITUTE(L$1,"月",""))&lt;=填写页!$A$2,SUM(北京中言:君康经纪!L11),0)</f>
        <v>0</v>
      </c>
      <c r="M11" s="101">
        <f>IF(VALUE(SUBSTITUTE(M$1,"月",""))&lt;=填写页!$A$2,SUM(北京中言:君康经纪!M11),0)</f>
        <v>0</v>
      </c>
      <c r="N11" s="101">
        <f>IF(VALUE(SUBSTITUTE(N$1,"月",""))&lt;=填写页!$A$2,SUM(北京中言:君康经纪!N11),0)</f>
        <v>0</v>
      </c>
      <c r="O11" s="101">
        <f>IF(VALUE(SUBSTITUTE(O$1,"月",""))&lt;=填写页!$A$2,SUM(北京中言:君康经纪!O11),0)</f>
        <v>0</v>
      </c>
      <c r="P11" s="101">
        <f>IF(VALUE(SUBSTITUTE(P$1,"月",""))&lt;=填写页!$A$2,SUM(北京中言:君康经纪!P11),0)</f>
        <v>0</v>
      </c>
      <c r="Q11" s="101">
        <f>IF(VALUE(SUBSTITUTE(Q$1,"月",""))&lt;=填写页!$A$2,SUM(北京中言:君康经纪!Q11),0)</f>
        <v>0</v>
      </c>
      <c r="R11" s="101">
        <f>IF(VALUE(SUBSTITUTE(R$1,"月",""))&lt;=填写页!$A$2,SUM(北京中言:君康经纪!R11),0)</f>
        <v>0</v>
      </c>
    </row>
    <row r="12" ht="18" customHeight="1" spans="1:20">
      <c r="A12" s="99"/>
      <c r="B12" s="100">
        <v>5</v>
      </c>
      <c r="C12" s="100" t="s">
        <v>78</v>
      </c>
      <c r="D12" s="101">
        <f>SUM(北京中言:君康经纪!D12)</f>
        <v>1648.888</v>
      </c>
      <c r="E12" s="101">
        <f>SUM(北京中言:君康经纪!E12)</f>
        <v>10.135942</v>
      </c>
      <c r="F12" s="102">
        <f t="shared" si="0"/>
        <v>0.00614713794993949</v>
      </c>
      <c r="G12" s="101">
        <f>IF(VALUE(SUBSTITUTE(G$1,"月",""))&lt;=填写页!$A$2,SUM(北京中言:君康经纪!G12),0)</f>
        <v>4.72</v>
      </c>
      <c r="H12" s="101">
        <f>IF(VALUE(SUBSTITUTE(H$1,"月",""))&lt;=填写页!$A$2,SUM(北京中言:君康经纪!H12),0)</f>
        <v>3.48</v>
      </c>
      <c r="I12" s="101">
        <f>IF(VALUE(SUBSTITUTE(I$1,"月",""))&lt;=填写页!$A$2,SUM(北京中言:君康经纪!I12),0)</f>
        <v>1.935942</v>
      </c>
      <c r="J12" s="101">
        <f>IF(VALUE(SUBSTITUTE(J$1,"月",""))&lt;=填写页!$A$2,SUM(北京中言:君康经纪!J12),0)</f>
        <v>0</v>
      </c>
      <c r="K12" s="101">
        <f>IF(VALUE(SUBSTITUTE(K$1,"月",""))&lt;=填写页!$A$2,SUM(北京中言:君康经纪!K12),0)</f>
        <v>0</v>
      </c>
      <c r="L12" s="101">
        <f>IF(VALUE(SUBSTITUTE(L$1,"月",""))&lt;=填写页!$A$2,SUM(北京中言:君康经纪!L12),0)</f>
        <v>0</v>
      </c>
      <c r="M12" s="101">
        <f>IF(VALUE(SUBSTITUTE(M$1,"月",""))&lt;=填写页!$A$2,SUM(北京中言:君康经纪!M12),0)</f>
        <v>0</v>
      </c>
      <c r="N12" s="101">
        <f>IF(VALUE(SUBSTITUTE(N$1,"月",""))&lt;=填写页!$A$2,SUM(北京中言:君康经纪!N12),0)</f>
        <v>0</v>
      </c>
      <c r="O12" s="101">
        <f>IF(VALUE(SUBSTITUTE(O$1,"月",""))&lt;=填写页!$A$2,SUM(北京中言:君康经纪!O12),0)</f>
        <v>0</v>
      </c>
      <c r="P12" s="101">
        <f>IF(VALUE(SUBSTITUTE(P$1,"月",""))&lt;=填写页!$A$2,SUM(北京中言:君康经纪!P12),0)</f>
        <v>0</v>
      </c>
      <c r="Q12" s="101">
        <f>IF(VALUE(SUBSTITUTE(Q$1,"月",""))&lt;=填写页!$A$2,SUM(北京中言:君康经纪!Q12),0)</f>
        <v>0</v>
      </c>
      <c r="R12" s="101">
        <f>IF(VALUE(SUBSTITUTE(R$1,"月",""))&lt;=填写页!$A$2,SUM(北京中言:君康经纪!R12),0)</f>
        <v>0</v>
      </c>
    </row>
    <row r="13" ht="18" customHeight="1"/>
    <row r="14" ht="18" customHeight="1" spans="1:20">
      <c r="F14" s="106"/>
      <c r="G14" s="106"/>
      <c r="H14" s="106"/>
    </row>
    <row r="15" ht="18" customHeight="1" spans="1:20">
      <c r="F15" s="106"/>
      <c r="G15" s="106"/>
      <c r="H15" s="106"/>
    </row>
    <row r="16" ht="18" customHeight="1" spans="1:20">
      <c r="F16" s="106"/>
      <c r="G16" s="106"/>
      <c r="H16" s="106"/>
    </row>
    <row r="17" ht="18" customHeight="1" spans="6:8">
      <c r="F17" s="106"/>
      <c r="G17" s="106"/>
      <c r="H17" s="106"/>
    </row>
    <row r="18" ht="18" customHeight="1" spans="6:8">
      <c r="F18" s="106"/>
      <c r="G18" s="106"/>
      <c r="H18" s="106"/>
    </row>
    <row r="19" ht="18" customHeight="1" spans="6:8">
      <c r="F19" s="106"/>
      <c r="G19" s="106"/>
      <c r="H19" s="106"/>
    </row>
    <row r="20" ht="18" customHeight="1" spans="6:8">
      <c r="F20" s="106"/>
      <c r="G20" s="106"/>
      <c r="H20" s="106"/>
    </row>
    <row r="21" ht="18" customHeight="1" spans="6:8">
      <c r="F21" s="106"/>
      <c r="G21" s="106"/>
      <c r="H21" s="106"/>
    </row>
    <row r="22" ht="18" customHeight="1" spans="6:8">
      <c r="F22" s="106"/>
      <c r="G22" s="106"/>
      <c r="H22" s="106"/>
    </row>
    <row r="23" ht="18" customHeight="1" spans="6:8">
      <c r="F23" s="106"/>
      <c r="G23" s="106"/>
      <c r="H23" s="106"/>
    </row>
    <row r="24" ht="18" customHeight="1" spans="6:8">
      <c r="F24" s="106"/>
      <c r="G24" s="106"/>
      <c r="H24" s="106"/>
    </row>
  </sheetData>
  <mergeCells count="2">
    <mergeCell ref="A2:A4"/>
    <mergeCell ref="A5:A12"/>
  </mergeCells>
  <pageMargins left="0.75" right="0.75" top="1" bottom="1" header="0.5" footer="0.5"/>
  <pageSetup paperSize="9" orientation="portrait"/>
  <headerFooter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2">
    <tabColor theme="7"/>
  </sheetPr>
  <dimension ref="A1:S108"/>
  <sheetViews>
    <sheetView zoomScale="115" zoomScaleNormal="115" workbookViewId="0">
      <selection activeCell="C2" sqref="C2:G10"/>
    </sheetView>
  </sheetViews>
  <sheetFormatPr defaultColWidth="5.91891891891892" defaultRowHeight="16" customHeight="1"/>
  <cols>
    <col min="1" max="1" width="6.53153153153153" style="25" customWidth="1"/>
    <col min="2" max="2" width="12.1531531531532" style="25" customWidth="1"/>
    <col min="3" max="3" width="14" style="25" customWidth="1"/>
    <col min="4" max="4" width="13" style="25" customWidth="1"/>
    <col min="5" max="5" width="19.3783783783784" style="25" customWidth="1"/>
    <col min="6" max="7" width="17.4594594594595" style="25" customWidth="1"/>
    <col min="8" max="10" width="15.3783783783784" style="25" customWidth="1"/>
    <col min="11" max="11" width="14.1531531531532" style="25" customWidth="1"/>
    <col min="12" max="12" width="13.9189189189189" style="25" customWidth="1"/>
    <col min="13" max="13" width="13.6936936936937" style="25" customWidth="1"/>
    <col min="14" max="14" width="11.6126126126126" style="25" customWidth="1"/>
    <col min="15" max="15" width="11.9189189189189" style="25" customWidth="1"/>
    <col min="16" max="16" width="10.9189189189189" style="25" customWidth="1"/>
    <col min="17" max="17" width="12.4594594594595" style="25" customWidth="1"/>
    <col min="18" max="16384" width="5.91891891891892" style="25"/>
  </cols>
  <sheetData>
    <row r="1" customHeight="1" spans="1:19">
      <c r="A1" s="75" t="s">
        <v>49</v>
      </c>
      <c r="B1" s="75" t="s">
        <v>131</v>
      </c>
      <c r="C1" s="76" t="s">
        <v>139</v>
      </c>
      <c r="D1" s="76" t="s">
        <v>140</v>
      </c>
      <c r="E1" s="77" t="s">
        <v>141</v>
      </c>
      <c r="F1" s="77" t="s">
        <v>142</v>
      </c>
      <c r="G1" s="77" t="s">
        <v>51</v>
      </c>
      <c r="H1" s="78" t="s">
        <v>143</v>
      </c>
      <c r="I1" s="78" t="s">
        <v>144</v>
      </c>
      <c r="J1" s="78" t="s">
        <v>145</v>
      </c>
      <c r="K1" s="79" t="s">
        <v>146</v>
      </c>
      <c r="L1" s="79" t="s">
        <v>138</v>
      </c>
      <c r="M1" s="80" t="s">
        <v>147</v>
      </c>
      <c r="N1" s="80" t="s">
        <v>148</v>
      </c>
      <c r="O1" s="75" t="s">
        <v>131</v>
      </c>
      <c r="P1" s="75" t="s">
        <v>149</v>
      </c>
      <c r="Q1" s="75" t="s">
        <v>150</v>
      </c>
    </row>
    <row r="2" customHeight="1" spans="1:19">
      <c r="A2" s="81">
        <v>1</v>
      </c>
      <c r="B2" s="82" t="s">
        <v>52</v>
      </c>
      <c r="C2" s="83">
        <f ca="1" t="array" ref="C2">INDEX(INDIRECT("'"&amp;$B2&amp;"'!$G$2:$R$2"),0,MATCH(填写页!$A$1,INDIRECT("'"&amp;$B2&amp;"'!$G$1:$R$1"),0))</f>
        <v>0</v>
      </c>
      <c r="D2" s="83">
        <f ca="1" t="array" ref="D2">INDIRECT("'"&amp;$B2&amp;"'!$E$2")</f>
        <v>2295.837013</v>
      </c>
      <c r="E2" s="83">
        <f t="array" ref="E2">INDEX(分解计划!C2:N2,0,MATCH(填写页!$A$1,分解计划!$C$1:$N$1,0))</f>
        <v>674.14</v>
      </c>
      <c r="F2" s="83">
        <f ca="1">SUM(分解计划!$C2:INDEX(分解计划!C2:N2,0,MATCH(填写页!$A$1,分解计划!$C$1:$N$1,0)))</f>
        <v>2775.35</v>
      </c>
      <c r="G2" s="83">
        <f ca="1" t="array" ref="G2">INDIRECT("'"&amp;$B2&amp;"'!$D$2")</f>
        <v>8093.17311009175</v>
      </c>
      <c r="H2" s="84">
        <f ca="1" t="shared" ref="H2:H11" si="0">IFERROR(C2/E2,)</f>
        <v>0</v>
      </c>
      <c r="I2" s="85">
        <f ca="1" t="shared" ref="I2:I11" si="1">IFERROR(D2/F2,)</f>
        <v>0.827224318734574</v>
      </c>
      <c r="J2" s="84">
        <f ca="1" t="shared" ref="J2:J11" si="2">IFERROR(D2/G2,)</f>
        <v>0.283675757551413</v>
      </c>
      <c r="K2" s="83">
        <f ca="1">SUM(营收历史分体分期!$C2:INDEX(营收历史分体分期!$C2:$M2,0,MATCH(填写页!$A$1,营收历史分体分期!$C$1:$M$1,0)))</f>
        <v>2832.731171</v>
      </c>
      <c r="L2" s="84">
        <f ca="1" t="shared" ref="L2:L11" si="3">IFERROR(D2/K2-1,0)</f>
        <v>-0.189532336670856</v>
      </c>
      <c r="M2" s="83">
        <v>955.272388</v>
      </c>
      <c r="N2" s="84">
        <f ca="1" t="shared" ref="N2:N10" si="4">IFERROR($C2/$M2-1,)</f>
        <v>-1</v>
      </c>
      <c r="O2" s="86" t="s">
        <v>52</v>
      </c>
      <c r="P2" s="87">
        <f ca="1" t="shared" ref="P2:P10" si="5">D2-K2</f>
        <v>-536.894158000001</v>
      </c>
      <c r="Q2" s="88">
        <f ca="1" t="shared" ref="Q2:Q10" si="6">P2/K2</f>
        <v>-0.189532336670856</v>
      </c>
      <c r="S2" s="89" t="s">
        <v>151</v>
      </c>
    </row>
    <row r="3" customHeight="1" spans="1:19">
      <c r="A3" s="81">
        <v>2</v>
      </c>
      <c r="B3" s="82" t="s">
        <v>53</v>
      </c>
      <c r="C3" s="83">
        <f ca="1" t="array" ref="C3">INDEX(INDIRECT("'"&amp;$B3&amp;"'!$G$2:$R$2"),0,MATCH(填写页!$A$1,INDIRECT("'"&amp;$B3&amp;"'!$G$1:$R$1"),0))</f>
        <v>0</v>
      </c>
      <c r="D3" s="83">
        <f ca="1" t="array" ref="D3">INDIRECT("'"&amp;$B3&amp;"'!$E$2")</f>
        <v>157.69</v>
      </c>
      <c r="E3" s="83">
        <f t="array" ref="E3">INDEX(分解计划!C3:N3,0,MATCH(填写页!$A$1,分解计划!$C$1:$N$1,0))</f>
        <v>53.0666378095238</v>
      </c>
      <c r="F3" s="83">
        <f ca="1">SUM(分解计划!$C3:INDEX(分解计划!C3:N3,0,MATCH(填写页!$A$1,分解计划!$C$1:$N$1,0)))</f>
        <v>209.312886739032</v>
      </c>
      <c r="G3" s="83">
        <f ca="1" t="array" ref="G3">INDIRECT("'"&amp;$B3&amp;"'!$D$2")</f>
        <v>620.831629715222</v>
      </c>
      <c r="H3" s="84">
        <f ca="1" t="shared" si="0"/>
        <v>0</v>
      </c>
      <c r="I3" s="85">
        <f ca="1" t="shared" si="1"/>
        <v>0.753369763595137</v>
      </c>
      <c r="J3" s="84">
        <f ca="1" t="shared" si="2"/>
        <v>0.253998012427835</v>
      </c>
      <c r="K3" s="83">
        <f ca="1">SUM(营收历史分体分期!$C3:INDEX(营收历史分体分期!$C3:$M3,0,MATCH(填写页!$A$1,营收历史分体分期!$C$1:$M$1,0)))</f>
        <v>253.16</v>
      </c>
      <c r="L3" s="84">
        <f ca="1" t="shared" si="3"/>
        <v>-0.377113288039185</v>
      </c>
      <c r="M3" s="83">
        <v>72.93</v>
      </c>
      <c r="N3" s="84">
        <f ca="1" t="shared" si="4"/>
        <v>-1</v>
      </c>
      <c r="O3" s="86" t="s">
        <v>53</v>
      </c>
      <c r="P3" s="87">
        <f ca="1" t="shared" si="5"/>
        <v>-95.47</v>
      </c>
      <c r="Q3" s="88">
        <f ca="1" t="shared" si="6"/>
        <v>-0.377113288039185</v>
      </c>
    </row>
    <row r="4" customHeight="1" spans="1:19">
      <c r="A4" s="81">
        <v>3</v>
      </c>
      <c r="B4" s="82" t="s">
        <v>54</v>
      </c>
      <c r="C4" s="83">
        <f ca="1" t="array" ref="C4">INDEX(INDIRECT("'"&amp;$B4&amp;"'!$G$2:$R$2"),0,MATCH(填写页!$A$1,INDIRECT("'"&amp;$B4&amp;"'!$G$1:$R$1"),0))</f>
        <v>0</v>
      </c>
      <c r="D4" s="83">
        <f ca="1" t="array" ref="D4">INDIRECT("'"&amp;$B4&amp;"'!$E$2")</f>
        <v>1569.409395</v>
      </c>
      <c r="E4" s="83">
        <f t="array" ref="E4">INDEX(分解计划!C4:N4,0,MATCH(填写页!$A$1,分解计划!$C$1:$N$1,0))</f>
        <v>522.17</v>
      </c>
      <c r="F4" s="83">
        <f ca="1">SUM(分解计划!$C4:INDEX(分解计划!C4:N4,0,MATCH(填写页!$A$1,分解计划!$C$1:$N$1,0)))</f>
        <v>2066.95</v>
      </c>
      <c r="G4" s="83">
        <f ca="1" t="array" ref="G4">INDIRECT("'"&amp;$B4&amp;"'!$D$2")</f>
        <v>6392.8</v>
      </c>
      <c r="H4" s="84">
        <f ca="1" t="shared" si="0"/>
        <v>0</v>
      </c>
      <c r="I4" s="85">
        <f ca="1" t="shared" si="1"/>
        <v>0.759287546868574</v>
      </c>
      <c r="J4" s="84">
        <f ca="1" t="shared" si="2"/>
        <v>0.245496401420348</v>
      </c>
      <c r="K4" s="83">
        <f ca="1">SUM(营收历史分体分期!$C4:INDEX(营收历史分体分期!$C4:$M4,0,MATCH(填写页!$A$1,营收历史分体分期!$C$1:$M$1,0)))</f>
        <v>2291.376598</v>
      </c>
      <c r="L4" s="84">
        <f ca="1" t="shared" si="3"/>
        <v>-0.315080115433735</v>
      </c>
      <c r="M4" s="83">
        <v>561.607211</v>
      </c>
      <c r="N4" s="84">
        <f ca="1" t="shared" si="4"/>
        <v>-1</v>
      </c>
      <c r="O4" s="86" t="s">
        <v>54</v>
      </c>
      <c r="P4" s="87">
        <f ca="1" t="shared" si="5"/>
        <v>-721.967203</v>
      </c>
      <c r="Q4" s="88">
        <f ca="1" t="shared" si="6"/>
        <v>-0.315080115433735</v>
      </c>
    </row>
    <row r="5" customHeight="1" spans="1:19">
      <c r="A5" s="81">
        <v>4</v>
      </c>
      <c r="B5" s="82" t="s">
        <v>55</v>
      </c>
      <c r="C5" s="83">
        <f ca="1" t="array" ref="C5">INDEX(INDIRECT("'"&amp;$B5&amp;"'!$G$2:$R$2"),0,MATCH(填写页!$A$1,INDIRECT("'"&amp;$B5&amp;"'!$G$1:$R$1"),0))</f>
        <v>0</v>
      </c>
      <c r="D5" s="83">
        <f ca="1" t="array" ref="D5">INDIRECT("'"&amp;$B5&amp;"'!$E$2")</f>
        <v>310.7</v>
      </c>
      <c r="E5" s="83">
        <f t="array" ref="E5">INDEX(分解计划!C5:N5,0,MATCH(填写页!$A$1,分解计划!$C$1:$N$1,0))</f>
        <v>121.311428571429</v>
      </c>
      <c r="F5" s="83">
        <f ca="1">SUM(分解计划!$C5:INDEX(分解计划!C5:N5,0,MATCH(填写页!$A$1,分解计划!$C$1:$N$1,0)))</f>
        <v>457.025714285716</v>
      </c>
      <c r="G5" s="83">
        <f ca="1" t="array" ref="G5">INDIRECT("'"&amp;$B5&amp;"'!$D$2")</f>
        <v>1494.87619047619</v>
      </c>
      <c r="H5" s="84">
        <f ca="1" t="shared" si="0"/>
        <v>0</v>
      </c>
      <c r="I5" s="85">
        <f ca="1" t="shared" si="1"/>
        <v>0.679830456554489</v>
      </c>
      <c r="J5" s="84">
        <f ca="1" t="shared" si="2"/>
        <v>0.207843299652145</v>
      </c>
      <c r="K5" s="83">
        <f ca="1">SUM(营收历史分体分期!$C5:INDEX(营收历史分体分期!$C5:$M5,0,MATCH(填写页!$A$1,营收历史分体分期!$C$1:$M$1,0)))</f>
        <v>466.29</v>
      </c>
      <c r="L5" s="84">
        <f ca="1" t="shared" si="3"/>
        <v>-0.333676467434429</v>
      </c>
      <c r="M5" s="83">
        <v>109.64</v>
      </c>
      <c r="N5" s="84">
        <f ca="1" t="shared" si="4"/>
        <v>-1</v>
      </c>
      <c r="O5" s="86" t="s">
        <v>55</v>
      </c>
      <c r="P5" s="87">
        <f ca="1" t="shared" si="5"/>
        <v>-155.59</v>
      </c>
      <c r="Q5" s="88">
        <f ca="1" t="shared" si="6"/>
        <v>-0.333676467434429</v>
      </c>
    </row>
    <row r="6" customHeight="1" spans="1:19">
      <c r="A6" s="81">
        <v>5</v>
      </c>
      <c r="B6" s="82" t="s">
        <v>56</v>
      </c>
      <c r="C6" s="83">
        <f ca="1" t="array" ref="C6">INDEX(INDIRECT("'"&amp;$B6&amp;"'!$G$2:$R$2"),0,MATCH(填写页!$A$1,INDIRECT("'"&amp;$B6&amp;"'!$G$1:$R$1"),0))</f>
        <v>0</v>
      </c>
      <c r="D6" s="83">
        <f ca="1" t="array" ref="D6">INDIRECT("'"&amp;$B6&amp;"'!$E$2")</f>
        <v>130.577645</v>
      </c>
      <c r="E6" s="83">
        <f t="array" ref="E6">INDEX(分解计划!C6:N6,0,MATCH(填写页!$A$1,分解计划!$C$1:$N$1,0))</f>
        <v>47.0911205218642</v>
      </c>
      <c r="F6" s="83">
        <f ca="1">SUM(分解计划!$C6:INDEX(分解计划!C6:N6,0,MATCH(填写页!$A$1,分解计划!$C$1:$N$1,0)))</f>
        <v>144.275441382106</v>
      </c>
      <c r="G6" s="83">
        <f ca="1" t="array" ref="G6">INDIRECT("'"&amp;$B6&amp;"'!$D$2")</f>
        <v>709.51635684571</v>
      </c>
      <c r="H6" s="84">
        <f ca="1" t="shared" si="0"/>
        <v>0</v>
      </c>
      <c r="I6" s="85">
        <f ca="1" t="shared" si="1"/>
        <v>0.905058017838057</v>
      </c>
      <c r="J6" s="84">
        <f ca="1" t="shared" si="2"/>
        <v>0.184037540135801</v>
      </c>
      <c r="K6" s="83">
        <f ca="1">SUM(营收历史分体分期!$C6:INDEX(营收历史分体分期!$C6:$M6,0,MATCH(填写页!$A$1,营收历史分体分期!$C$1:$M$1,0)))</f>
        <v>243.417982</v>
      </c>
      <c r="L6" s="84">
        <f ca="1" t="shared" si="3"/>
        <v>-0.463566151000299</v>
      </c>
      <c r="M6" s="83">
        <v>62.761423</v>
      </c>
      <c r="N6" s="84">
        <f ca="1" t="shared" si="4"/>
        <v>-1</v>
      </c>
      <c r="O6" s="86" t="s">
        <v>56</v>
      </c>
      <c r="P6" s="87">
        <f ca="1" t="shared" si="5"/>
        <v>-112.840337</v>
      </c>
      <c r="Q6" s="88">
        <f ca="1" t="shared" si="6"/>
        <v>-0.463566151000299</v>
      </c>
    </row>
    <row r="7" customHeight="1" spans="1:19">
      <c r="A7" s="81">
        <v>6</v>
      </c>
      <c r="B7" s="82" t="s">
        <v>57</v>
      </c>
      <c r="C7" s="83">
        <f ca="1" t="array" ref="C7">INDEX(INDIRECT("'"&amp;$B7&amp;"'!$G$2:$R$2"),0,MATCH(填写页!$A$1,INDIRECT("'"&amp;$B7&amp;"'!$G$1:$R$1"),0))</f>
        <v>0</v>
      </c>
      <c r="D7" s="83">
        <f ca="1" t="array" ref="D7">INDIRECT("'"&amp;$B7&amp;"'!$E$2")</f>
        <v>1487.36</v>
      </c>
      <c r="E7" s="83">
        <f t="array" ref="E7">INDEX(分解计划!C7:N7,0,MATCH(填写页!$A$1,分解计划!$C$1:$N$1,0))</f>
        <v>621.71</v>
      </c>
      <c r="F7" s="83">
        <f ca="1">SUM(分解计划!$C7:INDEX(分解计划!C7:N7,0,MATCH(填写页!$A$1,分解计划!$C$1:$N$1,0)))</f>
        <v>2318.77</v>
      </c>
      <c r="G7" s="83">
        <f ca="1" t="array" ref="G7">INDIRECT("'"&amp;$B7&amp;"'!$D$2")</f>
        <v>7640.86</v>
      </c>
      <c r="H7" s="84">
        <f ca="1" t="shared" si="0"/>
        <v>0</v>
      </c>
      <c r="I7" s="85">
        <f ca="1" t="shared" si="1"/>
        <v>0.64144352393726</v>
      </c>
      <c r="J7" s="84">
        <f ca="1" t="shared" si="2"/>
        <v>0.194658716427208</v>
      </c>
      <c r="K7" s="83">
        <f ca="1">SUM(营收历史分体分期!$C7:INDEX(营收历史分体分期!$C7:$M7,0,MATCH(填写页!$A$1,营收历史分体分期!$C$1:$M$1,0)))</f>
        <v>2363.57</v>
      </c>
      <c r="L7" s="84">
        <f ca="1" t="shared" si="3"/>
        <v>-0.370714639295642</v>
      </c>
      <c r="M7" s="83">
        <v>554.4</v>
      </c>
      <c r="N7" s="84">
        <f ca="1" t="shared" si="4"/>
        <v>-1</v>
      </c>
      <c r="O7" s="86" t="s">
        <v>57</v>
      </c>
      <c r="P7" s="87">
        <f ca="1" t="shared" si="5"/>
        <v>-876.21</v>
      </c>
      <c r="Q7" s="88">
        <f ca="1" t="shared" si="6"/>
        <v>-0.370714639295642</v>
      </c>
    </row>
    <row r="8" customHeight="1" spans="1:19">
      <c r="A8" s="81">
        <v>7</v>
      </c>
      <c r="B8" s="82" t="s">
        <v>58</v>
      </c>
      <c r="C8" s="83">
        <f ca="1" t="array" ref="C8">INDEX(INDIRECT("'"&amp;$B8&amp;"'!$G$2:$R$2"),0,MATCH(填写页!$A$1,INDIRECT("'"&amp;$B8&amp;"'!$G$1:$R$1"),0))</f>
        <v>0</v>
      </c>
      <c r="D8" s="83">
        <f ca="1" t="array" ref="D8">INDIRECT("'"&amp;$B8&amp;"'!$E$2")</f>
        <v>223.360914</v>
      </c>
      <c r="E8" s="83">
        <f t="array" ref="E8">INDEX(分解计划!C8:N8,0,MATCH(填写页!$A$1,分解计划!$C$1:$N$1,0))</f>
        <v>112.080820495067</v>
      </c>
      <c r="F8" s="83">
        <f ca="1">SUM(分解计划!$C8:INDEX(分解计划!C8:N8,0,MATCH(填写页!$A$1,分解计划!$C$1:$N$1,0)))</f>
        <v>392.874225376493</v>
      </c>
      <c r="G8" s="83">
        <f ca="1" t="array" ref="G8">INDIRECT("'"&amp;$B8&amp;"'!$D$2")</f>
        <v>1454.99726287184</v>
      </c>
      <c r="H8" s="84">
        <f ca="1" t="shared" si="0"/>
        <v>0</v>
      </c>
      <c r="I8" s="85">
        <f ca="1" t="shared" si="1"/>
        <v>0.568530332540783</v>
      </c>
      <c r="J8" s="84">
        <f ca="1" t="shared" si="2"/>
        <v>0.153512944456772</v>
      </c>
      <c r="K8" s="83">
        <f ca="1">SUM(营收历史分体分期!$C8:INDEX(营收历史分体分期!$C8:$M8,0,MATCH(填写页!$A$1,营收历史分体分期!$C$1:$M$1,0)))</f>
        <v>403.825489</v>
      </c>
      <c r="L8" s="84">
        <f ca="1" t="shared" si="3"/>
        <v>-0.446887529182191</v>
      </c>
      <c r="M8" s="83">
        <v>83.825761</v>
      </c>
      <c r="N8" s="84">
        <f ca="1" t="shared" si="4"/>
        <v>-1</v>
      </c>
      <c r="O8" s="86" t="s">
        <v>58</v>
      </c>
      <c r="P8" s="87">
        <f ca="1" t="shared" si="5"/>
        <v>-180.464575</v>
      </c>
      <c r="Q8" s="88">
        <f ca="1" t="shared" si="6"/>
        <v>-0.446887529182191</v>
      </c>
    </row>
    <row r="9" customHeight="1" spans="1:19">
      <c r="A9" s="81">
        <v>8</v>
      </c>
      <c r="B9" s="82" t="s">
        <v>59</v>
      </c>
      <c r="C9" s="83">
        <f ca="1" t="array" ref="C9">INDEX(INDIRECT("'"&amp;$B9&amp;"'!$G$2:$R$2"),0,MATCH(填写页!$A$1,INDIRECT("'"&amp;$B9&amp;"'!$G$1:$R$1"),0))</f>
        <v>0</v>
      </c>
      <c r="D9" s="83">
        <f ca="1" t="array" ref="D9">INDIRECT("'"&amp;$B9&amp;"'!$E$2")</f>
        <v>83.977952</v>
      </c>
      <c r="E9" s="83">
        <f t="array" ref="E9">INDEX(分解计划!C9:N9,0,MATCH(填写页!$A$1,分解计划!$C$1:$N$1,0))</f>
        <v>0</v>
      </c>
      <c r="F9" s="83">
        <f ca="1">SUM(分解计划!$C9:INDEX(分解计划!C9:N9,0,MATCH(填写页!$A$1,分解计划!$C$1:$N$1,0)))</f>
        <v>0</v>
      </c>
      <c r="G9" s="83">
        <f ca="1" t="array" ref="G9">INDIRECT("'"&amp;$B9&amp;"'!$D$2")</f>
        <v>755.361936223396</v>
      </c>
      <c r="H9" s="84">
        <f ca="1" t="shared" si="0"/>
        <v>0</v>
      </c>
      <c r="I9" s="85">
        <f ca="1" t="shared" si="1"/>
        <v>0</v>
      </c>
      <c r="J9" s="84">
        <f ca="1" t="shared" si="2"/>
        <v>0.111175779414921</v>
      </c>
      <c r="K9" s="83">
        <f ca="1">SUM(营收历史分体分期!$C9:INDEX(营收历史分体分期!$C9:$M9,0,MATCH(填写页!$A$1,营收历史分体分期!$C$1:$M$1,0)))</f>
        <v>256.337227</v>
      </c>
      <c r="L9" s="84">
        <f ca="1" t="shared" si="3"/>
        <v>-0.672392679819385</v>
      </c>
      <c r="M9" s="83">
        <v>44.551139</v>
      </c>
      <c r="N9" s="84">
        <f ca="1" t="shared" si="4"/>
        <v>-1</v>
      </c>
      <c r="O9" s="86" t="s">
        <v>59</v>
      </c>
      <c r="P9" s="87">
        <f ca="1" t="shared" si="5"/>
        <v>-172.359275</v>
      </c>
      <c r="Q9" s="88">
        <f ca="1" t="shared" si="6"/>
        <v>-0.672392679819385</v>
      </c>
    </row>
    <row r="10" customHeight="1" spans="1:19">
      <c r="A10" s="81">
        <v>9</v>
      </c>
      <c r="B10" s="82" t="s">
        <v>60</v>
      </c>
      <c r="C10" s="83">
        <f ca="1" t="array" ref="C10">INDEX(INDIRECT("'"&amp;$B10&amp;"'!$G$2:$R$2"),0,MATCH(填写页!$A$1,INDIRECT("'"&amp;$B10&amp;"'!$G$1:$R$1"),0))</f>
        <v>0</v>
      </c>
      <c r="D10" s="83">
        <f ca="1" t="array" ref="D10">INDIRECT("'"&amp;$B10&amp;"'!$E$2")</f>
        <v>34.637326</v>
      </c>
      <c r="E10" s="83">
        <f t="array" ref="E10">INDEX(分解计划!C10:N10,0,MATCH(填写页!$A$1,分解计划!$C$1:$N$1,0))</f>
        <v>0</v>
      </c>
      <c r="F10" s="83">
        <f ca="1">SUM(分解计划!$C10:INDEX(分解计划!C10:N10,0,MATCH(填写页!$A$1,分解计划!$C$1:$N$1,0)))</f>
        <v>0</v>
      </c>
      <c r="G10" s="83">
        <f ca="1" t="array" ref="G10">INDIRECT("'"&amp;$B10&amp;"'!$D$2")</f>
        <v>648.561734135849</v>
      </c>
      <c r="H10" s="84">
        <f ca="1" t="shared" si="0"/>
        <v>0</v>
      </c>
      <c r="I10" s="85">
        <f ca="1" t="shared" si="1"/>
        <v>0</v>
      </c>
      <c r="J10" s="84">
        <f ca="1" t="shared" si="2"/>
        <v>0.0534063670070686</v>
      </c>
      <c r="K10" s="83">
        <f ca="1">SUM(营收历史分体分期!$C10:INDEX(营收历史分体分期!$C10:$M10,0,MATCH(填写页!$A$1,营收历史分体分期!$C$1:$M$1,0)))</f>
        <v>87.432863</v>
      </c>
      <c r="L10" s="84">
        <f ca="1" t="shared" si="3"/>
        <v>-0.603840880745264</v>
      </c>
      <c r="M10" s="83">
        <v>5.843275</v>
      </c>
      <c r="N10" s="84">
        <f ca="1" t="shared" si="4"/>
        <v>-1</v>
      </c>
      <c r="O10" s="86" t="s">
        <v>60</v>
      </c>
      <c r="P10" s="87">
        <f ca="1" t="shared" si="5"/>
        <v>-52.795537</v>
      </c>
      <c r="Q10" s="88">
        <f ca="1" t="shared" si="6"/>
        <v>-0.603840880745264</v>
      </c>
    </row>
    <row r="11" customHeight="1" spans="1:19">
      <c r="A11" s="27" t="s">
        <v>107</v>
      </c>
      <c r="B11" s="27"/>
      <c r="C11" s="90">
        <f ca="1" t="shared" ref="C11:G11" si="7">SUM(C2:C10)</f>
        <v>0</v>
      </c>
      <c r="D11" s="90">
        <f ca="1" t="shared" si="7"/>
        <v>6293.550245</v>
      </c>
      <c r="E11" s="90">
        <f t="shared" si="7"/>
        <v>2151.57000739788</v>
      </c>
      <c r="F11" s="90">
        <f ca="1" t="shared" si="7"/>
        <v>8364.55826778335</v>
      </c>
      <c r="G11" s="90">
        <f ca="1" t="shared" si="7"/>
        <v>27810.97822036</v>
      </c>
      <c r="H11" s="91">
        <f ca="1" t="shared" si="0"/>
        <v>0</v>
      </c>
      <c r="I11" s="92">
        <f ca="1" t="shared" si="1"/>
        <v>0.752406767161875</v>
      </c>
      <c r="J11" s="91">
        <f ca="1" t="shared" si="2"/>
        <v>0.226297334640052</v>
      </c>
      <c r="K11" s="90">
        <f ca="1">SUM(营收历史分体分期!$C11:INDEX(营收历史分体分期!$C11:$M21,0,MATCH(填写页!$A$1,营收历史分体分期!$C$1:$M$1,0)))</f>
        <v>9198.14133</v>
      </c>
      <c r="L11" s="91">
        <f ca="1" t="shared" si="3"/>
        <v>-0.315780219154341</v>
      </c>
      <c r="M11" s="90">
        <f>SUM(M2:M10)</f>
        <v>2450.831197</v>
      </c>
      <c r="N11" s="91">
        <f ca="1">IFERROR($C11/M11-1,)</f>
        <v>-1</v>
      </c>
    </row>
    <row r="29" customHeight="1" spans="2:5">
      <c r="B29" s="75" t="s">
        <v>131</v>
      </c>
      <c r="C29" s="75" t="s">
        <v>141</v>
      </c>
      <c r="D29" s="75" t="s">
        <v>139</v>
      </c>
      <c r="E29" s="75" t="s">
        <v>143</v>
      </c>
    </row>
    <row r="30" customHeight="1" spans="2:5">
      <c r="B30" s="82" t="s">
        <v>52</v>
      </c>
      <c r="C30" s="83">
        <f t="array" ref="C30:C38">E2:E10</f>
        <v>674.14</v>
      </c>
      <c r="D30" s="83">
        <f ca="1" t="array" ref="D30:D38">C2:C10</f>
        <v>0</v>
      </c>
      <c r="E30" s="93">
        <f ca="1" t="shared" ref="E30:E38" si="8">IFERROR(D30/C30,)</f>
        <v>0</v>
      </c>
    </row>
    <row r="31" customHeight="1" spans="2:5">
      <c r="B31" s="82" t="s">
        <v>53</v>
      </c>
      <c r="C31" s="83">
        <v>53.0666378095238</v>
      </c>
      <c r="D31" s="83">
        <v>0</v>
      </c>
      <c r="E31" s="93">
        <f ca="1" t="shared" si="8"/>
        <v>0</v>
      </c>
    </row>
    <row r="32" customHeight="1" spans="2:5">
      <c r="B32" s="82" t="s">
        <v>54</v>
      </c>
      <c r="C32" s="83">
        <v>522.17</v>
      </c>
      <c r="D32" s="83">
        <v>0</v>
      </c>
      <c r="E32" s="93">
        <f ca="1" t="shared" si="8"/>
        <v>0</v>
      </c>
    </row>
    <row r="33" customHeight="1" spans="2:6">
      <c r="B33" s="82" t="s">
        <v>55</v>
      </c>
      <c r="C33" s="83">
        <v>121.311428571429</v>
      </c>
      <c r="D33" s="83">
        <v>0</v>
      </c>
      <c r="E33" s="93">
        <f ca="1" t="shared" si="8"/>
        <v>0</v>
      </c>
    </row>
    <row r="34" customHeight="1" spans="2:6">
      <c r="B34" s="82" t="s">
        <v>56</v>
      </c>
      <c r="C34" s="83">
        <v>47.0911205218642</v>
      </c>
      <c r="D34" s="83">
        <v>0</v>
      </c>
      <c r="E34" s="93">
        <f ca="1" t="shared" si="8"/>
        <v>0</v>
      </c>
    </row>
    <row r="35" customHeight="1" spans="2:6">
      <c r="B35" s="82" t="s">
        <v>57</v>
      </c>
      <c r="C35" s="83">
        <v>621.71</v>
      </c>
      <c r="D35" s="83">
        <v>0</v>
      </c>
      <c r="E35" s="93">
        <f ca="1" t="shared" si="8"/>
        <v>0</v>
      </c>
    </row>
    <row r="36" customHeight="1" spans="2:6">
      <c r="B36" s="82" t="s">
        <v>58</v>
      </c>
      <c r="C36" s="83">
        <v>112.080820495067</v>
      </c>
      <c r="D36" s="83">
        <v>0</v>
      </c>
      <c r="E36" s="93">
        <f ca="1" t="shared" si="8"/>
        <v>0</v>
      </c>
    </row>
    <row r="37" customHeight="1" spans="2:6">
      <c r="B37" s="82" t="s">
        <v>59</v>
      </c>
      <c r="C37" s="83">
        <v>0</v>
      </c>
      <c r="D37" s="83">
        <v>0</v>
      </c>
      <c r="E37" s="93">
        <f ca="1" t="shared" si="8"/>
        <v>0</v>
      </c>
    </row>
    <row r="38" customHeight="1" spans="2:6">
      <c r="B38" s="82" t="s">
        <v>60</v>
      </c>
      <c r="C38" s="83">
        <v>0</v>
      </c>
      <c r="D38" s="83">
        <v>0</v>
      </c>
      <c r="E38" s="93">
        <f ca="1" t="shared" si="8"/>
        <v>0</v>
      </c>
    </row>
    <row r="39" customHeight="1" spans="2:6">
      <c r="B39" s="75"/>
      <c r="C39" s="75" t="s">
        <v>141</v>
      </c>
      <c r="D39" s="75" t="s">
        <v>139</v>
      </c>
      <c r="E39" s="75" t="s">
        <v>143</v>
      </c>
      <c r="F39" s="94" t="s">
        <v>152</v>
      </c>
    </row>
    <row r="40" customHeight="1" spans="2:6">
      <c r="B40" s="27" t="s">
        <v>107</v>
      </c>
      <c r="C40" s="83">
        <f>SUM(C30:C38)</f>
        <v>2151.57000739788</v>
      </c>
      <c r="D40" s="83">
        <f ca="1">SUM(D30:D38)</f>
        <v>0</v>
      </c>
      <c r="E40" s="95">
        <f ca="1" t="shared" ref="E40:E51" si="9">IFERROR(D40/C40,)</f>
        <v>0</v>
      </c>
      <c r="F40" s="95">
        <f ca="1">1-E40</f>
        <v>1</v>
      </c>
    </row>
    <row r="42" customHeight="1" spans="2:6">
      <c r="B42" s="75" t="s">
        <v>131</v>
      </c>
      <c r="C42" s="75" t="s">
        <v>153</v>
      </c>
      <c r="D42" s="75" t="s">
        <v>140</v>
      </c>
      <c r="E42" s="75" t="s">
        <v>154</v>
      </c>
    </row>
    <row r="43" customHeight="1" spans="2:6">
      <c r="B43" s="27" t="s">
        <v>52</v>
      </c>
      <c r="C43" s="83">
        <f ca="1" t="array" ref="C43:C51">F2:F10</f>
        <v>2775.35</v>
      </c>
      <c r="D43" s="83">
        <f ca="1" t="array" ref="D43:D51">D2:D10</f>
        <v>2295.837013</v>
      </c>
      <c r="E43" s="93">
        <f ca="1" t="shared" si="9"/>
        <v>0.827224318734574</v>
      </c>
    </row>
    <row r="44" customHeight="1" spans="2:6">
      <c r="B44" s="27" t="s">
        <v>53</v>
      </c>
      <c r="C44" s="83">
        <v>209.312886739032</v>
      </c>
      <c r="D44" s="83">
        <v>157.69</v>
      </c>
      <c r="E44" s="93">
        <f ca="1" t="shared" si="9"/>
        <v>0.753369763595137</v>
      </c>
    </row>
    <row r="45" customHeight="1" spans="2:6">
      <c r="B45" s="27" t="s">
        <v>54</v>
      </c>
      <c r="C45" s="83">
        <v>2066.95</v>
      </c>
      <c r="D45" s="83">
        <v>1569.409395</v>
      </c>
      <c r="E45" s="93">
        <f ca="1" t="shared" si="9"/>
        <v>0.759287546868574</v>
      </c>
    </row>
    <row r="46" customHeight="1" spans="2:6">
      <c r="B46" s="27" t="s">
        <v>55</v>
      </c>
      <c r="C46" s="83">
        <v>457.025714285716</v>
      </c>
      <c r="D46" s="83">
        <v>310.7</v>
      </c>
      <c r="E46" s="93">
        <f ca="1" t="shared" si="9"/>
        <v>0.679830456554489</v>
      </c>
    </row>
    <row r="47" customHeight="1" spans="2:6">
      <c r="B47" s="27" t="s">
        <v>56</v>
      </c>
      <c r="C47" s="83">
        <v>144.275441382106</v>
      </c>
      <c r="D47" s="83">
        <v>130.577645</v>
      </c>
      <c r="E47" s="93">
        <f ca="1" t="shared" si="9"/>
        <v>0.905058017838057</v>
      </c>
    </row>
    <row r="48" customHeight="1" spans="2:6">
      <c r="B48" s="27" t="s">
        <v>57</v>
      </c>
      <c r="C48" s="83">
        <v>2318.77</v>
      </c>
      <c r="D48" s="83">
        <v>1487.36</v>
      </c>
      <c r="E48" s="93">
        <f ca="1" t="shared" si="9"/>
        <v>0.64144352393726</v>
      </c>
    </row>
    <row r="49" customHeight="1" spans="2:6">
      <c r="B49" s="27" t="s">
        <v>58</v>
      </c>
      <c r="C49" s="83">
        <v>392.874225376493</v>
      </c>
      <c r="D49" s="83">
        <v>223.360914</v>
      </c>
      <c r="E49" s="93">
        <f ca="1" t="shared" si="9"/>
        <v>0.568530332540783</v>
      </c>
    </row>
    <row r="50" customHeight="1" spans="2:6">
      <c r="B50" s="27" t="s">
        <v>59</v>
      </c>
      <c r="C50" s="83">
        <v>0</v>
      </c>
      <c r="D50" s="83">
        <v>83.977952</v>
      </c>
      <c r="E50" s="93">
        <f ca="1" t="shared" si="9"/>
        <v>0</v>
      </c>
    </row>
    <row r="51" customHeight="1" spans="2:6">
      <c r="B51" s="27" t="s">
        <v>60</v>
      </c>
      <c r="C51" s="83">
        <v>0</v>
      </c>
      <c r="D51" s="83">
        <v>34.637326</v>
      </c>
      <c r="E51" s="93">
        <f ca="1" t="shared" si="9"/>
        <v>0</v>
      </c>
    </row>
    <row r="52" customHeight="1" spans="2:6">
      <c r="B52" s="75"/>
      <c r="C52" s="75" t="s">
        <v>155</v>
      </c>
      <c r="D52" s="75" t="s">
        <v>156</v>
      </c>
      <c r="E52" s="75" t="s">
        <v>154</v>
      </c>
      <c r="F52" s="94" t="s">
        <v>152</v>
      </c>
    </row>
    <row r="53" customHeight="1" spans="2:6">
      <c r="B53" s="27" t="s">
        <v>107</v>
      </c>
      <c r="C53" s="83">
        <f ca="1">SUM(C43:C51)</f>
        <v>8364.55826778335</v>
      </c>
      <c r="D53" s="83">
        <f ca="1">SUM(D43:D51)</f>
        <v>6293.550245</v>
      </c>
      <c r="E53" s="95">
        <f ca="1" t="shared" ref="E53:E64" si="10">IFERROR(D53/C53,)</f>
        <v>0.752406767161875</v>
      </c>
      <c r="F53" s="95">
        <f ca="1">1-E53</f>
        <v>0.247593232838125</v>
      </c>
    </row>
    <row r="55" customHeight="1" spans="2:6">
      <c r="B55" s="75" t="s">
        <v>131</v>
      </c>
      <c r="C55" s="75" t="s">
        <v>51</v>
      </c>
      <c r="D55" s="75" t="s">
        <v>157</v>
      </c>
      <c r="E55" s="75" t="s">
        <v>145</v>
      </c>
    </row>
    <row r="56" customHeight="1" spans="2:6">
      <c r="B56" s="27" t="s">
        <v>52</v>
      </c>
      <c r="C56" s="83">
        <f ca="1" t="array" ref="C56:C64">G2:G10</f>
        <v>8093.17311009175</v>
      </c>
      <c r="D56" s="83">
        <f ca="1" t="array" ref="D56:D64">D2:D10</f>
        <v>2295.837013</v>
      </c>
      <c r="E56" s="93">
        <f ca="1" t="shared" si="10"/>
        <v>0.283675757551413</v>
      </c>
    </row>
    <row r="57" customHeight="1" spans="2:6">
      <c r="B57" s="27" t="s">
        <v>53</v>
      </c>
      <c r="C57" s="83">
        <v>620.831629715222</v>
      </c>
      <c r="D57" s="83">
        <v>157.69</v>
      </c>
      <c r="E57" s="93">
        <f ca="1" t="shared" si="10"/>
        <v>0.253998012427835</v>
      </c>
    </row>
    <row r="58" customHeight="1" spans="2:6">
      <c r="B58" s="27" t="s">
        <v>54</v>
      </c>
      <c r="C58" s="83">
        <v>6392.8</v>
      </c>
      <c r="D58" s="83">
        <v>1569.409395</v>
      </c>
      <c r="E58" s="93">
        <f ca="1" t="shared" si="10"/>
        <v>0.245496401420348</v>
      </c>
    </row>
    <row r="59" customHeight="1" spans="2:6">
      <c r="B59" s="27" t="s">
        <v>55</v>
      </c>
      <c r="C59" s="83">
        <v>1494.87619047619</v>
      </c>
      <c r="D59" s="83">
        <v>310.7</v>
      </c>
      <c r="E59" s="93">
        <f ca="1" t="shared" si="10"/>
        <v>0.207843299652145</v>
      </c>
    </row>
    <row r="60" customHeight="1" spans="2:6">
      <c r="B60" s="27" t="s">
        <v>56</v>
      </c>
      <c r="C60" s="83">
        <v>709.51635684571</v>
      </c>
      <c r="D60" s="83">
        <v>130.577645</v>
      </c>
      <c r="E60" s="93">
        <f ca="1" t="shared" si="10"/>
        <v>0.184037540135801</v>
      </c>
    </row>
    <row r="61" customHeight="1" spans="2:6">
      <c r="B61" s="27" t="s">
        <v>57</v>
      </c>
      <c r="C61" s="83">
        <v>7640.86</v>
      </c>
      <c r="D61" s="83">
        <v>1487.36</v>
      </c>
      <c r="E61" s="93">
        <f ca="1" t="shared" si="10"/>
        <v>0.194658716427208</v>
      </c>
    </row>
    <row r="62" customHeight="1" spans="2:6">
      <c r="B62" s="27" t="s">
        <v>58</v>
      </c>
      <c r="C62" s="83">
        <v>1454.99726287184</v>
      </c>
      <c r="D62" s="83">
        <v>223.360914</v>
      </c>
      <c r="E62" s="93">
        <f ca="1" t="shared" si="10"/>
        <v>0.153512944456772</v>
      </c>
    </row>
    <row r="63" customHeight="1" spans="2:6">
      <c r="B63" s="27" t="s">
        <v>59</v>
      </c>
      <c r="C63" s="83">
        <v>755.361936223396</v>
      </c>
      <c r="D63" s="83">
        <v>83.977952</v>
      </c>
      <c r="E63" s="93">
        <f ca="1" t="shared" si="10"/>
        <v>0.111175779414921</v>
      </c>
    </row>
    <row r="64" customHeight="1" spans="2:6">
      <c r="B64" s="27" t="s">
        <v>60</v>
      </c>
      <c r="C64" s="83">
        <v>648.561734135849</v>
      </c>
      <c r="D64" s="83">
        <v>34.637326</v>
      </c>
      <c r="E64" s="93">
        <f ca="1" t="shared" si="10"/>
        <v>0.0534063670070686</v>
      </c>
    </row>
    <row r="65" customHeight="1" spans="2:15">
      <c r="B65" s="75"/>
      <c r="C65" s="75" t="s">
        <v>51</v>
      </c>
      <c r="D65" s="75" t="s">
        <v>157</v>
      </c>
      <c r="E65" s="75" t="s">
        <v>145</v>
      </c>
      <c r="F65" s="94" t="s">
        <v>152</v>
      </c>
    </row>
    <row r="66" customHeight="1" spans="2:15">
      <c r="B66" s="27" t="s">
        <v>107</v>
      </c>
      <c r="C66" s="83">
        <f ca="1">SUM(C56:C64)</f>
        <v>27810.97822036</v>
      </c>
      <c r="D66" s="83">
        <f ca="1">SUM(D56:D64)</f>
        <v>6293.550245</v>
      </c>
      <c r="E66" s="95">
        <f ca="1">IFERROR(D66/C66,)</f>
        <v>0.226297334640052</v>
      </c>
      <c r="F66" s="95">
        <f ca="1">1-E66</f>
        <v>0.773702665359948</v>
      </c>
    </row>
    <row r="69" customHeight="1" spans="2:15">
      <c r="B69" s="75" t="s">
        <v>50</v>
      </c>
      <c r="C69" s="75" t="s">
        <v>108</v>
      </c>
      <c r="D69" s="75" t="s">
        <v>109</v>
      </c>
      <c r="E69" s="75" t="s">
        <v>110</v>
      </c>
      <c r="F69" s="75" t="s">
        <v>111</v>
      </c>
      <c r="G69" s="75" t="s">
        <v>112</v>
      </c>
      <c r="H69" s="75" t="s">
        <v>113</v>
      </c>
      <c r="I69" s="75" t="s">
        <v>114</v>
      </c>
      <c r="J69" s="75" t="s">
        <v>115</v>
      </c>
      <c r="K69" s="75" t="s">
        <v>116</v>
      </c>
      <c r="L69" s="75" t="s">
        <v>117</v>
      </c>
      <c r="M69" s="75" t="s">
        <v>118</v>
      </c>
      <c r="N69" s="75" t="s">
        <v>119</v>
      </c>
    </row>
    <row r="70" customHeight="1" spans="2:15">
      <c r="B70" s="27" t="s">
        <v>158</v>
      </c>
      <c r="C70" s="83">
        <f t="array" ref="C70:O70">营收历史分体分期!B11:N11</f>
        <v>28181.139354</v>
      </c>
      <c r="D70" s="83">
        <v>2407.580661</v>
      </c>
      <c r="E70" s="83">
        <v>2189.194954</v>
      </c>
      <c r="F70" s="83">
        <v>2310.295994</v>
      </c>
      <c r="G70" s="83">
        <v>2291.069721</v>
      </c>
      <c r="H70" s="83">
        <v>2312.961233</v>
      </c>
      <c r="I70" s="83">
        <v>2286.305422</v>
      </c>
      <c r="J70" s="83">
        <v>2408.098926</v>
      </c>
      <c r="K70" s="83">
        <v>2398.078986</v>
      </c>
      <c r="L70" s="83">
        <v>2344.144829</v>
      </c>
      <c r="M70" s="83">
        <v>2403.064892</v>
      </c>
      <c r="N70" s="83">
        <v>2379.512539</v>
      </c>
      <c r="O70" s="25">
        <v>2450.831197</v>
      </c>
    </row>
    <row r="71" customHeight="1" spans="2:15">
      <c r="B71" s="27" t="s">
        <v>159</v>
      </c>
      <c r="C71" s="83">
        <f ca="1" t="array" ref="C71:K71">整体!G2:INDEX(整体!G2:R2,0,MATCH(填写页!$A$1,整体!$G$1:$R$1,0))</f>
        <v>2008.217692</v>
      </c>
      <c r="D71" s="83">
        <v>1773.748913</v>
      </c>
      <c r="E71" s="83">
        <v>2511.58364</v>
      </c>
      <c r="F71" s="83">
        <v>0</v>
      </c>
      <c r="G71" s="83" t="e">
        <v>#N/A</v>
      </c>
      <c r="H71" s="83" t="e">
        <v>#N/A</v>
      </c>
      <c r="I71" s="83" t="e">
        <v>#N/A</v>
      </c>
      <c r="J71" s="83" t="e">
        <v>#N/A</v>
      </c>
      <c r="K71" s="83" t="e">
        <v>#N/A</v>
      </c>
      <c r="L71" s="83"/>
      <c r="M71" s="83"/>
      <c r="N71" s="83"/>
    </row>
    <row r="72" customHeight="1" spans="2:15">
      <c r="B72" s="27" t="s">
        <v>160</v>
      </c>
      <c r="C72" s="96">
        <f ca="1">IF(COLUMN()-2&gt;MATCH(填写页!$A$1,$C$69:$N$69,0),NA(),IF(C$71&lt;&gt;0,IFERROR((C$71-C$70)/ABS(C$70),NA()),NA()))</f>
        <v>-0.928738946045666</v>
      </c>
      <c r="D72" s="96">
        <f ca="1">IF(COLUMN()-2&gt;MATCH(填写页!$A$1,$C$69:$N$69,0),NA(),IF(D$71&lt;&gt;0,IFERROR((D$71-D$70)/ABS(D$70),NA()),NA()))</f>
        <v>-0.26326501050093</v>
      </c>
      <c r="E72" s="96">
        <f ca="1">IF(COLUMN()-2&gt;MATCH(填写页!$A$1,$C$69:$N$69,0),NA(),IF(E$71&lt;&gt;0,IFERROR((E$71-E$70)/ABS(E$70),NA()),NA()))</f>
        <v>0.147263579888555</v>
      </c>
      <c r="F72" s="96" t="e">
        <f ca="1">IF(COLUMN()-2&gt;MATCH(填写页!$A$1,$C$69:$N$69,0),NA(),IF(F$71&lt;&gt;0,IFERROR((F$71-F$70)/ABS(F$70),NA()),NA()))</f>
        <v>#N/A</v>
      </c>
      <c r="G72" s="96" t="e">
        <f ca="1">IF(COLUMN()-2&gt;MATCH(填写页!$A$1,$C$69:$N$69,0),NA(),IF(G$71&lt;&gt;0,IFERROR((G$71-G$70)/ABS(G$70),NA()),NA()))</f>
        <v>#N/A</v>
      </c>
      <c r="H72" s="96" t="e">
        <f ca="1">IF(COLUMN()-2&gt;MATCH(填写页!$A$1,$C$69:$N$69,0),NA(),IF(H$71&lt;&gt;0,IFERROR((H$71-H$70)/ABS(H$70),NA()),NA()))</f>
        <v>#N/A</v>
      </c>
      <c r="I72" s="96" t="e">
        <f ca="1">IF(COLUMN()-2&gt;MATCH(填写页!$A$1,$C$69:$N$69,0),NA(),IF(I$71&lt;&gt;0,IFERROR((I$71-I$70)/ABS(I$70),NA()),NA()))</f>
        <v>#N/A</v>
      </c>
      <c r="J72" s="96" t="e">
        <f ca="1">IF(COLUMN()-2&gt;MATCH(填写页!$A$1,$C$69:$N$69,0),NA(),IF(J$71&lt;&gt;0,IFERROR((J$71-J$70)/ABS(J$70),NA()),NA()))</f>
        <v>#N/A</v>
      </c>
      <c r="K72" s="96" t="e">
        <f ca="1">IF(COLUMN()-2&gt;MATCH(填写页!$A$1,$C$69:$N$69,0),NA(),IF(K$71&lt;&gt;0,IFERROR((K$71-K$70)/ABS(K$70),NA()),NA()))</f>
        <v>#N/A</v>
      </c>
      <c r="L72" s="96" t="e">
        <f>IF(COLUMN()-2&gt;MATCH(填写页!$A$1,$C$69:$N$69,0),NA(),IF(L$71&lt;&gt;0,IFERROR((L$71-L$70)/ABS(L$70),NA()),NA()))</f>
        <v>#N/A</v>
      </c>
      <c r="M72" s="96" t="e">
        <f>IF(COLUMN()-2&gt;MATCH(填写页!$A$1,$C$69:$N$69,0),NA(),IF(M$71&lt;&gt;0,IFERROR((M$71-M$70)/ABS(M$70),NA()),NA()))</f>
        <v>#N/A</v>
      </c>
      <c r="N72" s="96" t="e">
        <f>IF(COLUMN()-2&gt;MATCH(填写页!$A$1,$C$69:$N$69,0),NA(),IF(N$71&lt;&gt;0,IFERROR((N$71-N$70)/ABS(N$70),NA()),NA()))</f>
        <v>#N/A</v>
      </c>
    </row>
    <row r="73" customHeight="1" spans="2:15">
      <c r="B73" s="27" t="s">
        <v>161</v>
      </c>
      <c r="C73" s="96"/>
      <c r="D73" s="96">
        <f ca="1">IF(COLUMN()-3&gt;MATCH(填写页!$A$1,$C$69:$N$69,0),NA(),IF(D$71&lt;&gt;0,IFERROR((D$71-C$71)/ABS(C$71),NA()),NA()))</f>
        <v>-0.116754662571711</v>
      </c>
      <c r="E73" s="96">
        <f ca="1">IF(COLUMN()-3&gt;MATCH(填写页!$A$1,$C$69:$N$69,0),NA(),IF(E$71&lt;&gt;0,IFERROR((E$71-D$71)/ABS(D$71),NA()),NA()))</f>
        <v>0.41597473103004</v>
      </c>
      <c r="F73" s="96" t="e">
        <f ca="1">IF(COLUMN()-3&gt;MATCH(填写页!$A$1,$C$69:$N$69,0),NA(),IF(F$71&lt;&gt;0,IFERROR((F$71-E$71)/ABS(E$71),NA()),NA()))</f>
        <v>#N/A</v>
      </c>
      <c r="G73" s="96" t="e">
        <f ca="1">IF(COLUMN()-3&gt;MATCH(填写页!$A$1,$C$69:$N$69,0),NA(),IF(G$71&lt;&gt;0,IFERROR((G$71-F$71)/ABS(F$71),NA()),NA()))</f>
        <v>#N/A</v>
      </c>
      <c r="H73" s="96" t="e">
        <f ca="1">IF(COLUMN()-3&gt;MATCH(填写页!$A$1,$C$69:$N$69,0),NA(),IF(H$71&lt;&gt;0,IFERROR((H$71-G$71)/ABS(G$71),NA()),NA()))</f>
        <v>#N/A</v>
      </c>
      <c r="I73" s="96" t="e">
        <f ca="1">IF(COLUMN()-3&gt;MATCH(填写页!$A$1,$C$69:$N$69,0),NA(),IF(I$71&lt;&gt;0,IFERROR((I$71-H$71)/ABS(H$71),NA()),NA()))</f>
        <v>#N/A</v>
      </c>
      <c r="J73" s="96" t="e">
        <f ca="1">IF(COLUMN()-3&gt;MATCH(填写页!$A$1,$C$69:$N$69,0),NA(),IF(J$71&lt;&gt;0,IFERROR((J$71-I$71)/ABS(I$71),NA()),NA()))</f>
        <v>#N/A</v>
      </c>
      <c r="K73" s="96" t="e">
        <f ca="1">IF(COLUMN()-3&gt;MATCH(填写页!$A$1,$C$69:$N$69,0),NA(),IF(K$71&lt;&gt;0,IFERROR((K$71-J$71)/ABS(J$71),NA()),NA()))</f>
        <v>#N/A</v>
      </c>
      <c r="L73" s="96" t="e">
        <f ca="1">IF(COLUMN()-3&gt;MATCH(填写页!$A$1,$C$69:$N$69,0),NA(),IF(L$71&lt;&gt;0,IFERROR((L$71-K$71)/ABS(K$71),NA()),NA()))</f>
        <v>#N/A</v>
      </c>
      <c r="M73" s="96" t="e">
        <f>IF(COLUMN()-3&gt;MATCH(填写页!$A$1,$C$69:$N$69,0),NA(),IF(M$71&lt;&gt;0,IFERROR((M$71-L$71)/ABS(L$71),NA()),NA()))</f>
        <v>#N/A</v>
      </c>
      <c r="N73" s="96" t="e">
        <f>IF(COLUMN()-3&gt;MATCH(填写页!$A$1,$C$69:$N$69,0),NA(),IF(N$71&lt;&gt;0,IFERROR((N$71-M$71)/ABS(M$71),NA()),NA()))</f>
        <v>#N/A</v>
      </c>
    </row>
    <row r="95" customHeight="1" spans="1:8">
      <c r="A95" s="52"/>
      <c r="B95" s="75" t="s">
        <v>162</v>
      </c>
      <c r="C95" s="75" t="s">
        <v>163</v>
      </c>
      <c r="D95" s="75" t="s">
        <v>164</v>
      </c>
      <c r="E95" s="75" t="s">
        <v>165</v>
      </c>
      <c r="F95" s="75" t="s">
        <v>161</v>
      </c>
      <c r="G95" s="75" t="s">
        <v>166</v>
      </c>
      <c r="H95" s="75" t="s">
        <v>167</v>
      </c>
    </row>
    <row r="96" customHeight="1" spans="1:8">
      <c r="A96" s="27" t="s">
        <v>108</v>
      </c>
      <c r="B96" s="42">
        <v>2407.580661</v>
      </c>
      <c r="C96" s="42">
        <f>整体!G2</f>
        <v>2008.217692</v>
      </c>
      <c r="D96" s="97">
        <f>IF(C96&lt;&gt;0,C96/SUM($C$96:$C$107),NA())</f>
        <v>0.319091389410207</v>
      </c>
      <c r="E96" s="97">
        <f>IF(C96&lt;&gt;0,C96/B96-1,NA())</f>
        <v>-0.165877295606006</v>
      </c>
      <c r="F96" s="97">
        <f>C96/B107-1</f>
        <v>-0.180597303291141</v>
      </c>
      <c r="G96" s="52">
        <v>0</v>
      </c>
      <c r="H96" s="52">
        <v>0</v>
      </c>
    </row>
    <row r="97" customHeight="1" spans="1:8">
      <c r="A97" s="27" t="s">
        <v>109</v>
      </c>
      <c r="B97" s="42">
        <v>2189.194954</v>
      </c>
      <c r="C97" s="42">
        <f>整体!H2</f>
        <v>1773.748913</v>
      </c>
      <c r="D97" s="97">
        <f>IF(C97&lt;&gt;0,C97/SUM($C$96:$C$107),NA())</f>
        <v>0.28183598191008</v>
      </c>
      <c r="E97" s="97">
        <f>IF(C97&lt;&gt;0,C97/B97-1,NA())</f>
        <v>-0.189771148632019</v>
      </c>
      <c r="F97" s="97">
        <f>IF(C97&lt;&gt;0,C97/C96-1,NA())</f>
        <v>-0.116754662571711</v>
      </c>
      <c r="G97" s="52">
        <v>0</v>
      </c>
      <c r="H97" s="52">
        <v>0</v>
      </c>
    </row>
    <row r="98" customHeight="1" spans="1:8">
      <c r="A98" s="27" t="s">
        <v>110</v>
      </c>
      <c r="B98" s="42">
        <v>2310.295994</v>
      </c>
      <c r="C98" s="42">
        <f>整体!I2</f>
        <v>2511.58364</v>
      </c>
      <c r="D98" s="97">
        <f>IF(C98&lt;&gt;0,C98/SUM($C$96:$C$107),NA())</f>
        <v>0.399072628679713</v>
      </c>
      <c r="E98" s="97">
        <f>IF(C98&lt;&gt;0,C98/B98-1,NA())</f>
        <v>0.087126345075591</v>
      </c>
      <c r="F98" s="97">
        <f>IF(C98&lt;&gt;0,C98/C97-1,NA())</f>
        <v>0.415974731030039</v>
      </c>
      <c r="G98" s="52">
        <v>0</v>
      </c>
      <c r="H98" s="52">
        <v>0</v>
      </c>
    </row>
    <row r="99" customHeight="1" spans="1:8">
      <c r="A99" s="27" t="s">
        <v>111</v>
      </c>
      <c r="B99" s="42">
        <v>2291.069721</v>
      </c>
      <c r="C99" s="42"/>
      <c r="D99" s="97" t="e">
        <f t="shared" ref="D99:D107" si="11">IF(C99&lt;&gt;0,C99/SUM($C$96:$C$107),NA())</f>
        <v>#N/A</v>
      </c>
      <c r="E99" s="97" t="e">
        <f t="shared" ref="E99:E107" si="12">IF(C99&lt;&gt;0,C99/B99-1,NA())</f>
        <v>#N/A</v>
      </c>
      <c r="F99" s="97" t="e">
        <f t="shared" ref="F99:F107" si="13">IF(C99&lt;&gt;0,C99/C98-1,NA())</f>
        <v>#N/A</v>
      </c>
      <c r="G99" s="52">
        <v>0</v>
      </c>
      <c r="H99" s="52">
        <v>0</v>
      </c>
    </row>
    <row r="100" customHeight="1" spans="1:8">
      <c r="A100" s="27" t="s">
        <v>112</v>
      </c>
      <c r="B100" s="42">
        <v>2312.961233</v>
      </c>
      <c r="C100" s="42"/>
      <c r="D100" s="97" t="e">
        <f t="shared" si="11"/>
        <v>#N/A</v>
      </c>
      <c r="E100" s="97" t="e">
        <f t="shared" si="12"/>
        <v>#N/A</v>
      </c>
      <c r="F100" s="97" t="e">
        <f t="shared" si="13"/>
        <v>#N/A</v>
      </c>
      <c r="G100" s="52">
        <v>0</v>
      </c>
      <c r="H100" s="52">
        <v>0</v>
      </c>
    </row>
    <row r="101" customHeight="1" spans="1:8">
      <c r="A101" s="27" t="s">
        <v>113</v>
      </c>
      <c r="B101" s="42">
        <v>2286.305422</v>
      </c>
      <c r="C101" s="42"/>
      <c r="D101" s="97" t="e">
        <f t="shared" si="11"/>
        <v>#N/A</v>
      </c>
      <c r="E101" s="97" t="e">
        <f t="shared" si="12"/>
        <v>#N/A</v>
      </c>
      <c r="F101" s="97" t="e">
        <f t="shared" si="13"/>
        <v>#N/A</v>
      </c>
      <c r="G101" s="52">
        <v>0</v>
      </c>
      <c r="H101" s="52">
        <v>0</v>
      </c>
    </row>
    <row r="102" customHeight="1" spans="1:8">
      <c r="A102" s="27" t="s">
        <v>114</v>
      </c>
      <c r="B102" s="42">
        <v>2408.098926</v>
      </c>
      <c r="C102" s="42"/>
      <c r="D102" s="97" t="e">
        <f t="shared" si="11"/>
        <v>#N/A</v>
      </c>
      <c r="E102" s="97" t="e">
        <f t="shared" si="12"/>
        <v>#N/A</v>
      </c>
      <c r="F102" s="97" t="e">
        <f t="shared" si="13"/>
        <v>#N/A</v>
      </c>
      <c r="G102" s="52">
        <v>0</v>
      </c>
      <c r="H102" s="52">
        <v>0</v>
      </c>
    </row>
    <row r="103" customHeight="1" spans="1:8">
      <c r="A103" s="27" t="s">
        <v>115</v>
      </c>
      <c r="B103" s="42">
        <v>2398.078986</v>
      </c>
      <c r="C103" s="42"/>
      <c r="D103" s="97" t="e">
        <f t="shared" si="11"/>
        <v>#N/A</v>
      </c>
      <c r="E103" s="97" t="e">
        <f t="shared" si="12"/>
        <v>#N/A</v>
      </c>
      <c r="F103" s="97" t="e">
        <f t="shared" si="13"/>
        <v>#N/A</v>
      </c>
      <c r="G103" s="52">
        <v>0</v>
      </c>
      <c r="H103" s="52">
        <v>0</v>
      </c>
    </row>
    <row r="104" customHeight="1" spans="1:8">
      <c r="A104" s="27" t="s">
        <v>116</v>
      </c>
      <c r="B104" s="42">
        <v>2344.144829</v>
      </c>
      <c r="C104" s="42"/>
      <c r="D104" s="97" t="e">
        <f t="shared" si="11"/>
        <v>#N/A</v>
      </c>
      <c r="E104" s="97" t="e">
        <f t="shared" si="12"/>
        <v>#N/A</v>
      </c>
      <c r="F104" s="97" t="e">
        <f t="shared" si="13"/>
        <v>#N/A</v>
      </c>
      <c r="G104" s="52">
        <v>0</v>
      </c>
      <c r="H104" s="52">
        <v>0</v>
      </c>
    </row>
    <row r="105" customHeight="1" spans="1:8">
      <c r="A105" s="27" t="s">
        <v>117</v>
      </c>
      <c r="B105" s="42">
        <v>2403.064892</v>
      </c>
      <c r="C105" s="42"/>
      <c r="D105" s="97" t="e">
        <f t="shared" si="11"/>
        <v>#N/A</v>
      </c>
      <c r="E105" s="97" t="e">
        <f t="shared" si="12"/>
        <v>#N/A</v>
      </c>
      <c r="F105" s="97" t="e">
        <f t="shared" si="13"/>
        <v>#N/A</v>
      </c>
      <c r="G105" s="52">
        <v>0</v>
      </c>
      <c r="H105" s="52">
        <v>0</v>
      </c>
    </row>
    <row r="106" customHeight="1" spans="1:8">
      <c r="A106" s="27" t="s">
        <v>118</v>
      </c>
      <c r="B106" s="42">
        <v>2379.512539</v>
      </c>
      <c r="C106" s="42"/>
      <c r="D106" s="97" t="e">
        <f t="shared" si="11"/>
        <v>#N/A</v>
      </c>
      <c r="E106" s="97" t="e">
        <f t="shared" si="12"/>
        <v>#N/A</v>
      </c>
      <c r="F106" s="97" t="e">
        <f t="shared" si="13"/>
        <v>#N/A</v>
      </c>
      <c r="G106" s="52">
        <v>0</v>
      </c>
      <c r="H106" s="52">
        <v>0</v>
      </c>
    </row>
    <row r="107" customHeight="1" spans="1:8">
      <c r="A107" s="27" t="s">
        <v>119</v>
      </c>
      <c r="B107" s="42">
        <v>2450.831197</v>
      </c>
      <c r="C107" s="42"/>
      <c r="D107" s="97" t="e">
        <f t="shared" si="11"/>
        <v>#N/A</v>
      </c>
      <c r="E107" s="97" t="e">
        <f t="shared" si="12"/>
        <v>#N/A</v>
      </c>
      <c r="F107" s="97" t="e">
        <f t="shared" si="13"/>
        <v>#N/A</v>
      </c>
      <c r="G107" s="52">
        <v>0</v>
      </c>
      <c r="H107" s="52">
        <v>0</v>
      </c>
    </row>
    <row r="108" customHeight="1" spans="1:8">
      <c r="D108" s="98"/>
      <c r="E108" s="98"/>
      <c r="F108" s="98"/>
    </row>
  </sheetData>
  <autoFilter xmlns:etc="http://www.wps.cn/officeDocument/2017/etCustomData" ref="B55:E66" etc:filterBottomFollowUsedRange="0">
    <sortState ref="B55:E66">
      <sortCondition ref="E55:E66" descending="1"/>
    </sortState>
    <extLst/>
  </autoFilter>
  <mergeCells count="1">
    <mergeCell ref="A11:B11"/>
  </mergeCells>
  <pageMargins left="0.75" right="0.75" top="1" bottom="1" header="0.5" footer="0.5"/>
  <pageSetup paperSize="9" orientation="portrait"/>
  <headerFooter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6">
    <tabColor theme="7"/>
  </sheetPr>
  <dimension ref="A1:L27"/>
  <sheetViews>
    <sheetView zoomScale="110" zoomScaleNormal="110" workbookViewId="0">
      <selection activeCell="L14" sqref="L14:L20"/>
    </sheetView>
  </sheetViews>
  <sheetFormatPr defaultColWidth="19.6126126126126" defaultRowHeight="16" customHeight="1"/>
  <cols>
    <col min="1" max="1" width="8.84684684684685" style="25" customWidth="1"/>
    <col min="2" max="2" width="12.8468468468468" style="25" customWidth="1"/>
    <col min="3" max="3" width="10.6936936936937" style="25" customWidth="1"/>
    <col min="4" max="4" width="11.6936936936937" style="25" customWidth="1"/>
    <col min="5" max="6" width="10.5315315315315" style="25" customWidth="1"/>
    <col min="7" max="7" width="11.6936936936937" style="25" customWidth="1"/>
    <col min="8" max="11" width="9" style="25" customWidth="1"/>
    <col min="12" max="12" width="76.6126126126126" style="25" customWidth="1"/>
    <col min="13" max="16384" width="19.6126126126126" style="25"/>
  </cols>
  <sheetData>
    <row r="1" customHeight="1" spans="1:12">
      <c r="A1" s="48" t="s">
        <v>48</v>
      </c>
      <c r="B1" s="48" t="s">
        <v>126</v>
      </c>
      <c r="C1" s="48" t="s">
        <v>52</v>
      </c>
      <c r="D1" s="48" t="s">
        <v>53</v>
      </c>
      <c r="E1" s="48" t="s">
        <v>54</v>
      </c>
      <c r="F1" s="48" t="s">
        <v>55</v>
      </c>
      <c r="G1" s="48" t="s">
        <v>56</v>
      </c>
      <c r="L1" s="49"/>
    </row>
    <row r="2" customHeight="1" spans="1:12">
      <c r="A2" s="61" t="s">
        <v>168</v>
      </c>
      <c r="B2" s="27" t="s">
        <v>169</v>
      </c>
      <c r="C2" s="52">
        <v>47507.63</v>
      </c>
      <c r="D2" s="52">
        <v>13442.88</v>
      </c>
      <c r="E2" s="52">
        <v>57874.95</v>
      </c>
      <c r="F2" s="52">
        <v>31299.98</v>
      </c>
      <c r="G2" s="52">
        <v>39201.19</v>
      </c>
      <c r="L2" s="49"/>
    </row>
    <row r="3" customHeight="1" spans="1:12">
      <c r="A3" s="61" t="s">
        <v>168</v>
      </c>
      <c r="B3" s="27" t="s">
        <v>170</v>
      </c>
      <c r="C3" s="52">
        <v>4588.16</v>
      </c>
      <c r="D3" s="52">
        <v>529.12</v>
      </c>
      <c r="E3" s="52">
        <v>3104.76</v>
      </c>
      <c r="F3" s="52">
        <v>2235.04</v>
      </c>
      <c r="G3" s="52">
        <v>302.1</v>
      </c>
      <c r="L3" s="49"/>
    </row>
    <row r="4" customHeight="1" spans="1:12">
      <c r="A4" s="61" t="s">
        <v>168</v>
      </c>
      <c r="B4" s="27" t="s">
        <v>171</v>
      </c>
      <c r="C4" s="52">
        <v>0</v>
      </c>
      <c r="D4" s="52">
        <v>0</v>
      </c>
      <c r="E4" s="52">
        <v>0</v>
      </c>
      <c r="F4" s="52">
        <v>0</v>
      </c>
      <c r="G4" s="52">
        <v>0</v>
      </c>
      <c r="L4" s="49"/>
    </row>
    <row r="5" customHeight="1" spans="1:12">
      <c r="A5" s="61" t="s">
        <v>168</v>
      </c>
      <c r="B5" s="27" t="s">
        <v>172</v>
      </c>
      <c r="C5" s="52">
        <v>3738.07</v>
      </c>
      <c r="D5" s="52">
        <v>218.59</v>
      </c>
      <c r="E5" s="52">
        <v>1178.17</v>
      </c>
      <c r="F5" s="52">
        <v>366.4500000000001</v>
      </c>
      <c r="G5" s="52">
        <v>1467.83</v>
      </c>
      <c r="I5" s="71"/>
      <c r="J5" s="71"/>
      <c r="K5" s="71"/>
      <c r="L5" s="49"/>
    </row>
    <row r="6" customHeight="1" spans="1:12">
      <c r="A6" s="61" t="s">
        <v>168</v>
      </c>
      <c r="B6" s="27" t="s">
        <v>173</v>
      </c>
      <c r="C6" s="52">
        <v>49589.16</v>
      </c>
      <c r="D6" s="52">
        <v>13753.41</v>
      </c>
      <c r="E6" s="52">
        <v>59801.54</v>
      </c>
      <c r="F6" s="52">
        <v>33168.57</v>
      </c>
      <c r="G6" s="52">
        <v>38035.46</v>
      </c>
      <c r="L6" s="49"/>
    </row>
    <row r="7" customHeight="1" spans="1:12">
      <c r="A7" s="61" t="s">
        <v>174</v>
      </c>
      <c r="B7" s="27" t="s">
        <v>175</v>
      </c>
      <c r="C7" s="52">
        <v>61</v>
      </c>
      <c r="D7" s="52">
        <v>54</v>
      </c>
      <c r="E7" s="52">
        <v>21</v>
      </c>
      <c r="F7" s="52">
        <v>12</v>
      </c>
      <c r="G7" s="52">
        <v>7</v>
      </c>
      <c r="L7" s="49"/>
    </row>
    <row r="8" customHeight="1" spans="1:12">
      <c r="A8" s="61" t="s">
        <v>174</v>
      </c>
      <c r="B8" s="27" t="s">
        <v>176</v>
      </c>
      <c r="C8" s="52">
        <v>2</v>
      </c>
      <c r="D8" s="52">
        <v>5</v>
      </c>
      <c r="E8" s="52">
        <v>1</v>
      </c>
      <c r="F8" s="52">
        <v>3</v>
      </c>
      <c r="G8" s="52">
        <v>0</v>
      </c>
      <c r="L8" s="49"/>
    </row>
    <row r="9" customHeight="1" spans="1:12">
      <c r="A9" s="61" t="s">
        <v>174</v>
      </c>
      <c r="B9" s="27" t="s">
        <v>177</v>
      </c>
      <c r="C9" s="52">
        <v>2672.44</v>
      </c>
      <c r="D9" s="52">
        <v>529.12</v>
      </c>
      <c r="E9" s="52">
        <v>1436.22</v>
      </c>
      <c r="F9" s="52">
        <v>1507.1999999999998</v>
      </c>
      <c r="G9" s="52">
        <v>0</v>
      </c>
      <c r="L9" s="49"/>
    </row>
    <row r="10" customHeight="1" spans="1:12">
      <c r="A10" s="61" t="s">
        <v>174</v>
      </c>
      <c r="B10" s="27" t="s">
        <v>178</v>
      </c>
      <c r="C10" s="52">
        <v>0</v>
      </c>
      <c r="D10" s="52">
        <v>0</v>
      </c>
      <c r="E10" s="52">
        <v>0</v>
      </c>
      <c r="F10" s="52">
        <v>0</v>
      </c>
      <c r="G10" s="52">
        <v>0</v>
      </c>
      <c r="L10" s="49"/>
    </row>
    <row r="11" customHeight="1" spans="1:12">
      <c r="A11" s="61" t="s">
        <v>174</v>
      </c>
      <c r="B11" s="27" t="s">
        <v>179</v>
      </c>
      <c r="C11" s="65">
        <f>=C8/C7</f>
      </c>
      <c r="D11" s="65">
        <f>=D8/D7</f>
      </c>
      <c r="E11" s="65">
        <f>=E8/E7</f>
      </c>
      <c r="F11" s="65">
        <f>=F8/F7</f>
      </c>
      <c r="G11" s="65">
        <f>=G8/G7</f>
      </c>
      <c r="L11" s="49"/>
    </row>
    <row r="12" customHeight="1" spans="1:12">
      <c r="A12" s="61" t="s">
        <v>180</v>
      </c>
      <c r="B12" s="27" t="s">
        <v>181</v>
      </c>
      <c r="C12" s="52">
        <v>4</v>
      </c>
      <c r="D12" s="52">
        <v>0</v>
      </c>
      <c r="E12" s="52">
        <v>7</v>
      </c>
      <c r="F12" s="52">
        <v>11</v>
      </c>
      <c r="G12" s="52">
        <v>6</v>
      </c>
      <c r="L12" s="49"/>
    </row>
    <row r="13" customHeight="1" spans="1:12">
      <c r="A13" s="61" t="s">
        <v>180</v>
      </c>
      <c r="B13" s="27" t="s">
        <v>182</v>
      </c>
      <c r="C13" s="52">
        <v>1</v>
      </c>
      <c r="D13" s="52">
        <v>0</v>
      </c>
      <c r="E13" s="52">
        <v>0</v>
      </c>
      <c r="F13" s="52">
        <v>2</v>
      </c>
      <c r="G13" s="52">
        <v>4</v>
      </c>
      <c r="L13" s="49"/>
    </row>
    <row r="14" customHeight="1" spans="1:12">
      <c r="A14" s="61" t="s">
        <v>180</v>
      </c>
      <c r="B14" s="27" t="s">
        <v>183</v>
      </c>
      <c r="C14" s="52">
        <v>1000</v>
      </c>
      <c r="D14" s="52">
        <v>0</v>
      </c>
      <c r="E14" s="52">
        <v>0</v>
      </c>
      <c r="F14" s="52">
        <v>727.84</v>
      </c>
      <c r="G14" s="52">
        <v>302.1</v>
      </c>
      <c r="L14" s="43"/>
    </row>
    <row r="15" customHeight="1" spans="1:12">
      <c r="A15" s="61" t="s">
        <v>180</v>
      </c>
      <c r="B15" s="27" t="s">
        <v>178</v>
      </c>
      <c r="C15" s="52">
        <v>0</v>
      </c>
      <c r="D15" s="52">
        <v>0</v>
      </c>
      <c r="E15" s="52">
        <v>0</v>
      </c>
      <c r="F15" s="52">
        <v>0</v>
      </c>
      <c r="G15" s="52">
        <v>0</v>
      </c>
      <c r="L15" s="43"/>
    </row>
    <row r="16" customHeight="1" spans="1:12">
      <c r="A16" s="61" t="s">
        <v>180</v>
      </c>
      <c r="B16" s="27" t="s">
        <v>179</v>
      </c>
      <c r="C16" s="65">
        <f>=C13/C12</f>
      </c>
      <c r="D16" s="65">
        <f>=D13/D12</f>
      </c>
      <c r="E16" s="65">
        <f>=E13/E12</f>
      </c>
      <c r="F16" s="65">
        <f>=F13/F12</f>
      </c>
      <c r="G16" s="65">
        <f>=G13/G12</f>
      </c>
      <c r="L16" s="43"/>
    </row>
    <row r="17" customHeight="1" spans="1:12">
      <c r="A17" s="61" t="s">
        <v>184</v>
      </c>
      <c r="B17" s="27" t="s">
        <v>185</v>
      </c>
      <c r="C17" s="52">
        <v>0</v>
      </c>
      <c r="D17" s="52">
        <v>218.38</v>
      </c>
      <c r="E17" s="52">
        <v>7733.49</v>
      </c>
      <c r="F17" s="52">
        <v>405.07</v>
      </c>
      <c r="G17" s="52">
        <v>825.8199999999999</v>
      </c>
      <c r="L17" s="43"/>
    </row>
    <row r="18" customHeight="1" spans="1:12">
      <c r="A18" s="61" t="s">
        <v>184</v>
      </c>
      <c r="B18" s="27" t="s">
        <v>186</v>
      </c>
      <c r="C18" s="52">
        <v>0</v>
      </c>
      <c r="D18" s="52">
        <v>57.66</v>
      </c>
      <c r="E18" s="52">
        <v>7249.51</v>
      </c>
      <c r="F18" s="52">
        <v>338.87</v>
      </c>
      <c r="G18" s="52">
        <v>675.6999999999999</v>
      </c>
      <c r="L18" s="43"/>
    </row>
    <row r="19" customHeight="1" spans="1:12">
      <c r="A19" s="72"/>
      <c r="B19" s="72" t="s">
        <v>187</v>
      </c>
      <c r="C19" s="73"/>
      <c r="D19" s="73"/>
      <c r="E19" s="73"/>
      <c r="F19" s="73"/>
      <c r="G19" s="73"/>
      <c r="L19" s="43"/>
    </row>
    <row r="20" customHeight="1" spans="1:12">
      <c r="A20" s="72"/>
      <c r="B20" s="72" t="s">
        <v>188</v>
      </c>
      <c r="C20" s="74" t="e">
        <f>C18/C17</f>
      </c>
      <c r="D20" s="74" t="e">
        <f>D18/D17</f>
      </c>
      <c r="E20" s="74" t="e">
        <f>E18/E17</f>
      </c>
      <c r="F20" s="74" t="e">
        <f>F18/F17</f>
      </c>
      <c r="G20" s="74" t="e">
        <f>G18/G17</f>
      </c>
      <c r="L20" s="43"/>
    </row>
    <row r="21" customHeight="1" spans="1:12">
      <c r="L21" s="43"/>
    </row>
    <row r="22" customHeight="1" spans="1:12">
      <c r="L22" s="43"/>
    </row>
    <row r="23" customHeight="1" spans="1:12">
      <c r="L23" s="43"/>
    </row>
    <row r="24" customHeight="1" spans="1:12">
      <c r="L24" s="43"/>
    </row>
    <row r="25" customHeight="1" spans="1:12">
      <c r="L25" s="43"/>
    </row>
    <row r="26" customHeight="1" spans="1:12">
      <c r="L26" s="43"/>
    </row>
    <row r="27" customHeight="1" spans="1:12">
      <c r="L27" s="43"/>
    </row>
  </sheetData>
  <mergeCells count="1">
    <mergeCell ref="L14:L20"/>
  </mergeCells>
  <pageMargins left="0.75" right="0.75" top="1" bottom="1" header="0.5" footer="0.5"/>
  <pageSetup paperSize="9" orientation="portrait"/>
  <headerFooter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8">
    <tabColor theme="7"/>
  </sheetPr>
  <dimension ref="A1:V26"/>
  <sheetViews>
    <sheetView workbookViewId="0">
      <selection activeCell="M1" sqref="M1:Q13"/>
    </sheetView>
  </sheetViews>
  <sheetFormatPr defaultColWidth="19.6126126126126" defaultRowHeight="16" customHeight="1"/>
  <cols>
    <col min="1" max="1" width="9.69369369369369" style="25" customWidth="1"/>
    <col min="2" max="2" width="8.07207207207207" style="25" customWidth="1"/>
    <col min="3" max="4" width="11.5315315315315" style="25" customWidth="1"/>
    <col min="5" max="5" width="8.45945945945946" style="25" customWidth="1"/>
    <col min="6" max="7" width="8.07207207207207" style="25" customWidth="1"/>
    <col min="8" max="8" width="5.23423423423423" style="25" customWidth="1"/>
    <col min="9" max="9" width="9.69369369369369" style="25" customWidth="1"/>
    <col min="10" max="11" width="8.07207207207207" style="25" customWidth="1"/>
    <col min="12" max="12" width="9" style="25" customWidth="1"/>
    <col min="13" max="13" width="19.6126126126126" style="25"/>
    <col min="14" max="14" width="9.37837837837838" style="25" customWidth="1"/>
    <col min="15" max="15" width="22" style="25" customWidth="1"/>
    <col min="16" max="16384" width="19.6126126126126" style="25"/>
  </cols>
  <sheetData>
    <row r="1" customHeight="1" spans="1:22">
      <c r="A1" s="59" t="s">
        <v>48</v>
      </c>
      <c r="B1" s="59" t="s">
        <v>126</v>
      </c>
      <c r="C1" s="59" t="s">
        <v>57</v>
      </c>
      <c r="D1" s="59" t="s">
        <v>58</v>
      </c>
      <c r="E1" s="59" t="s">
        <v>82</v>
      </c>
      <c r="F1" s="59" t="s">
        <v>57</v>
      </c>
      <c r="G1" s="59" t="s">
        <v>58</v>
      </c>
      <c r="H1" s="60"/>
      <c r="I1" s="59" t="s">
        <v>189</v>
      </c>
      <c r="J1" s="59" t="s">
        <v>57</v>
      </c>
      <c r="K1" s="59" t="s">
        <v>58</v>
      </c>
      <c r="M1" s="49"/>
      <c r="N1" s="49"/>
      <c r="O1" s="49"/>
      <c r="P1" s="49"/>
      <c r="Q1" s="49"/>
    </row>
    <row r="2" customHeight="1" spans="1:22">
      <c r="A2" s="61" t="s">
        <v>190</v>
      </c>
      <c r="B2" s="27" t="s">
        <v>191</v>
      </c>
      <c r="C2" s="62">
        <v>4883</v>
      </c>
      <c r="D2" s="62">
        <v>1904</v>
      </c>
      <c r="E2" s="27" t="s">
        <v>108</v>
      </c>
      <c r="F2" s="63">
        <v>4.68</v>
      </c>
      <c r="G2" s="63">
        <v>4.7</v>
      </c>
      <c r="I2" s="64" t="s">
        <v>108</v>
      </c>
      <c r="J2" s="65">
        <v>0.6527</v>
      </c>
      <c r="K2" s="65">
        <v>0.412863886703383</v>
      </c>
      <c r="M2" s="49"/>
      <c r="N2" s="49"/>
      <c r="O2" s="49"/>
      <c r="P2" s="49"/>
      <c r="Q2" s="49"/>
    </row>
    <row r="3" customHeight="1" spans="1:22">
      <c r="A3" s="61" t="s">
        <v>190</v>
      </c>
      <c r="B3" s="27" t="s">
        <v>192</v>
      </c>
      <c r="C3" s="62">
        <v>35768</v>
      </c>
      <c r="D3" s="62">
        <v>60000</v>
      </c>
      <c r="E3" s="66" t="s">
        <v>109</v>
      </c>
      <c r="F3" s="63">
        <v>4.67</v>
      </c>
      <c r="G3" s="63">
        <v>4.7</v>
      </c>
      <c r="H3" s="67"/>
      <c r="I3" s="64" t="s">
        <v>109</v>
      </c>
      <c r="J3" s="65">
        <v>0.5493</v>
      </c>
      <c r="K3" s="65">
        <v>0.319468641114983</v>
      </c>
      <c r="M3" s="49"/>
      <c r="N3" s="49"/>
      <c r="O3" s="49"/>
      <c r="P3" s="49"/>
      <c r="Q3" s="49"/>
    </row>
    <row r="4" customHeight="1" spans="1:22">
      <c r="A4" s="61" t="s">
        <v>190</v>
      </c>
      <c r="B4" s="27" t="s">
        <v>193</v>
      </c>
      <c r="C4" s="62">
        <v>8494</v>
      </c>
      <c r="D4" s="62">
        <v>2</v>
      </c>
      <c r="E4" s="66" t="s">
        <v>110</v>
      </c>
      <c r="F4" s="63">
        <v>4.69</v>
      </c>
      <c r="G4" s="63">
        <v>4.7</v>
      </c>
      <c r="H4" s="67"/>
      <c r="I4" s="64" t="s">
        <v>110</v>
      </c>
      <c r="J4" s="65">
        <v>0.7096</v>
      </c>
      <c r="K4" s="65">
        <v>0.593430369787569</v>
      </c>
      <c r="M4" s="49"/>
      <c r="N4" s="49"/>
      <c r="O4" s="49"/>
      <c r="P4" s="49"/>
      <c r="Q4" s="49"/>
    </row>
    <row r="5" customHeight="1" spans="1:22">
      <c r="A5" s="61" t="s">
        <v>190</v>
      </c>
      <c r="B5" s="27" t="s">
        <v>179</v>
      </c>
      <c r="C5" s="68">
        <f>=C4/C3</f>
      </c>
      <c r="D5" s="68">
        <f>=D4/D3</f>
      </c>
      <c r="E5" s="66" t="s">
        <v>111</v>
      </c>
      <c r="F5" s="63">
        <v>4.67</v>
      </c>
      <c r="G5" s="63">
        <v>4.7</v>
      </c>
      <c r="H5" s="67"/>
      <c r="I5" s="64" t="s">
        <v>111</v>
      </c>
      <c r="J5" s="65">
        <v>0.877</v>
      </c>
      <c r="K5" s="65">
        <v>0.745121951219512</v>
      </c>
      <c r="M5" s="49"/>
      <c r="N5" s="49"/>
      <c r="O5" s="49"/>
      <c r="P5" s="49"/>
      <c r="Q5" s="49"/>
    </row>
    <row r="6" customHeight="1" spans="1:22">
      <c r="E6" s="66" t="s">
        <v>112</v>
      </c>
      <c r="F6" s="63" t="e">
        <f t="shared" ref="F6:F13" si="0">NA()</f>
      </c>
      <c r="G6" s="63" t="e">
        <f t="shared" ref="G6:G13" si="1">NA()</f>
      </c>
      <c r="H6" s="67"/>
      <c r="I6" s="64" t="s">
        <v>112</v>
      </c>
      <c r="J6" s="65" t="e">
        <f t="shared" ref="J6:J13" si="2">NA()</f>
      </c>
      <c r="K6" s="65" t="e">
        <f t="shared" ref="K6:K13" si="3">NA()</f>
      </c>
      <c r="M6" s="49"/>
      <c r="N6" s="49"/>
      <c r="O6" s="49"/>
      <c r="P6" s="49"/>
      <c r="Q6" s="49"/>
    </row>
    <row r="7" customHeight="1" spans="1:22">
      <c r="E7" s="66" t="s">
        <v>113</v>
      </c>
      <c r="F7" s="63" t="e">
        <f t="shared" si="0"/>
      </c>
      <c r="G7" s="63" t="e">
        <f t="shared" si="1"/>
      </c>
      <c r="H7" s="67"/>
      <c r="I7" s="64" t="s">
        <v>113</v>
      </c>
      <c r="J7" s="65" t="e">
        <f t="shared" si="2"/>
      </c>
      <c r="K7" s="65" t="e">
        <f t="shared" si="3"/>
      </c>
      <c r="M7" s="49"/>
      <c r="N7" s="49"/>
      <c r="O7" s="49"/>
      <c r="P7" s="49"/>
      <c r="Q7" s="49"/>
    </row>
    <row r="8" customHeight="1" spans="1:22">
      <c r="E8" s="66" t="s">
        <v>114</v>
      </c>
      <c r="F8" s="63" t="e">
        <f t="shared" si="0"/>
      </c>
      <c r="G8" s="63" t="e">
        <f t="shared" si="1"/>
      </c>
      <c r="H8" s="67"/>
      <c r="I8" s="64" t="s">
        <v>114</v>
      </c>
      <c r="J8" s="65" t="e">
        <f t="shared" si="2"/>
      </c>
      <c r="K8" s="65" t="e">
        <f t="shared" si="3"/>
      </c>
      <c r="M8" s="49"/>
      <c r="N8" s="49"/>
      <c r="O8" s="49"/>
      <c r="P8" s="49"/>
      <c r="Q8" s="49"/>
    </row>
    <row r="9" customHeight="1" spans="1:22">
      <c r="E9" s="66" t="s">
        <v>115</v>
      </c>
      <c r="F9" s="63" t="e">
        <f t="shared" si="0"/>
      </c>
      <c r="G9" s="63" t="e">
        <f t="shared" si="1"/>
      </c>
      <c r="H9" s="67"/>
      <c r="I9" s="64" t="s">
        <v>115</v>
      </c>
      <c r="J9" s="65" t="e">
        <f t="shared" si="2"/>
      </c>
      <c r="K9" s="65" t="e">
        <f t="shared" si="3"/>
      </c>
      <c r="M9" s="49"/>
      <c r="N9" s="49"/>
      <c r="O9" s="49"/>
      <c r="P9" s="49"/>
      <c r="Q9" s="49"/>
    </row>
    <row r="10" customHeight="1" spans="1:22">
      <c r="E10" s="66" t="s">
        <v>116</v>
      </c>
      <c r="F10" s="63" t="e">
        <f t="shared" si="0"/>
      </c>
      <c r="G10" s="63" t="e">
        <f t="shared" si="1"/>
      </c>
      <c r="H10" s="67"/>
      <c r="I10" s="64" t="s">
        <v>116</v>
      </c>
      <c r="J10" s="65" t="e">
        <f t="shared" si="2"/>
      </c>
      <c r="K10" s="65" t="e">
        <f t="shared" si="3"/>
      </c>
      <c r="M10" s="49"/>
      <c r="N10" s="49"/>
      <c r="O10" s="49"/>
      <c r="P10" s="49"/>
      <c r="Q10" s="49"/>
    </row>
    <row r="11" customHeight="1" spans="1:22">
      <c r="E11" s="66" t="s">
        <v>117</v>
      </c>
      <c r="F11" s="63" t="e">
        <f t="shared" si="0"/>
      </c>
      <c r="G11" s="63" t="e">
        <f t="shared" si="1"/>
      </c>
      <c r="H11" s="67"/>
      <c r="I11" s="64" t="s">
        <v>117</v>
      </c>
      <c r="J11" s="65" t="e">
        <f t="shared" si="2"/>
      </c>
      <c r="K11" s="65" t="e">
        <f t="shared" si="3"/>
      </c>
      <c r="M11" s="49"/>
      <c r="N11" s="49"/>
      <c r="O11" s="49"/>
      <c r="P11" s="49"/>
      <c r="Q11" s="49"/>
    </row>
    <row r="12" customHeight="1" spans="1:22">
      <c r="E12" s="66" t="s">
        <v>118</v>
      </c>
      <c r="F12" s="63" t="e">
        <f t="shared" si="0"/>
      </c>
      <c r="G12" s="63" t="e">
        <f t="shared" si="1"/>
      </c>
      <c r="H12" s="67"/>
      <c r="I12" s="64" t="s">
        <v>118</v>
      </c>
      <c r="J12" s="65" t="e">
        <f t="shared" si="2"/>
      </c>
      <c r="K12" s="65" t="e">
        <f t="shared" si="3"/>
      </c>
      <c r="M12" s="49"/>
      <c r="N12" s="49"/>
      <c r="O12" s="49"/>
      <c r="P12" s="49"/>
      <c r="Q12" s="49"/>
    </row>
    <row r="13" customHeight="1" spans="1:22">
      <c r="E13" s="66" t="s">
        <v>119</v>
      </c>
      <c r="F13" s="63" t="e">
        <f t="shared" si="0"/>
      </c>
      <c r="G13" s="63" t="e">
        <f t="shared" si="1"/>
      </c>
      <c r="H13" s="67"/>
      <c r="I13" s="64" t="s">
        <v>119</v>
      </c>
      <c r="J13" s="65" t="e">
        <f t="shared" si="2"/>
      </c>
      <c r="K13" s="65" t="e">
        <f t="shared" si="3"/>
      </c>
      <c r="M13" s="49"/>
      <c r="N13" s="49"/>
      <c r="O13" s="49"/>
      <c r="P13" s="49"/>
      <c r="Q13" s="49"/>
    </row>
    <row r="14" customHeight="1" spans="1:22">
      <c r="E14" s="69"/>
      <c r="F14" s="69"/>
      <c r="H14" s="67"/>
      <c r="I14" s="67"/>
      <c r="M14" s="43"/>
      <c r="N14" s="43"/>
      <c r="O14" s="43"/>
      <c r="P14" s="43"/>
      <c r="Q14" s="43"/>
      <c r="R14" s="70"/>
      <c r="S14" s="70"/>
      <c r="T14" s="70"/>
      <c r="U14" s="70"/>
      <c r="V14" s="70"/>
    </row>
    <row r="15" customHeight="1" spans="1:22">
      <c r="E15" s="69"/>
      <c r="F15" s="69"/>
      <c r="H15" s="67"/>
      <c r="I15" s="67"/>
      <c r="M15" s="43"/>
      <c r="N15" s="43"/>
      <c r="O15" s="43"/>
      <c r="P15" s="43"/>
      <c r="Q15" s="43"/>
      <c r="R15" s="70"/>
      <c r="S15" s="70"/>
      <c r="T15" s="70"/>
      <c r="U15" s="70"/>
      <c r="V15" s="70"/>
    </row>
    <row r="16" customHeight="1" spans="1:22">
      <c r="E16" s="69"/>
      <c r="F16" s="69"/>
      <c r="H16" s="67"/>
      <c r="I16" s="67"/>
      <c r="M16" s="43"/>
      <c r="N16" s="43"/>
      <c r="O16" s="43"/>
      <c r="P16" s="43"/>
      <c r="Q16" s="43"/>
      <c r="R16" s="70"/>
      <c r="S16" s="70"/>
      <c r="T16" s="70"/>
      <c r="U16" s="70"/>
      <c r="V16" s="70"/>
    </row>
    <row r="17" customHeight="1" spans="5:22">
      <c r="E17" s="69"/>
      <c r="F17" s="69"/>
      <c r="H17" s="67"/>
      <c r="I17" s="67"/>
      <c r="M17" s="43"/>
      <c r="N17" s="43"/>
      <c r="O17" s="43"/>
      <c r="P17" s="43"/>
      <c r="Q17" s="43"/>
      <c r="R17" s="70"/>
      <c r="S17" s="70"/>
      <c r="T17" s="70"/>
      <c r="U17" s="70"/>
      <c r="V17" s="70"/>
    </row>
    <row r="18" customHeight="1" spans="5:22">
      <c r="E18" s="69"/>
      <c r="F18" s="69"/>
      <c r="H18" s="67"/>
      <c r="I18" s="67"/>
      <c r="M18" s="43"/>
      <c r="N18" s="43"/>
      <c r="O18" s="43"/>
      <c r="P18" s="43"/>
      <c r="Q18" s="43"/>
      <c r="R18" s="70"/>
      <c r="S18" s="70"/>
      <c r="T18" s="70"/>
      <c r="U18" s="70"/>
      <c r="V18" s="70"/>
    </row>
    <row r="19" customHeight="1" spans="5:22">
      <c r="E19" s="69"/>
      <c r="F19" s="69"/>
      <c r="H19" s="67"/>
      <c r="I19" s="67"/>
      <c r="O19" s="70"/>
    </row>
    <row r="20" customHeight="1" spans="5:22">
      <c r="E20" s="69"/>
      <c r="F20" s="69"/>
      <c r="H20" s="67"/>
      <c r="I20" s="67"/>
      <c r="O20" s="70"/>
    </row>
    <row r="21" customHeight="1" spans="5:22">
      <c r="E21" s="69"/>
      <c r="F21" s="69"/>
      <c r="H21" s="67"/>
      <c r="I21" s="67"/>
      <c r="O21" s="70"/>
    </row>
    <row r="22" customHeight="1" spans="5:22">
      <c r="E22" s="69"/>
      <c r="F22" s="69"/>
      <c r="H22" s="67"/>
      <c r="I22" s="67"/>
      <c r="O22" s="70"/>
    </row>
    <row r="23" customHeight="1" spans="5:22">
      <c r="E23" s="69"/>
      <c r="F23" s="69"/>
      <c r="H23" s="67"/>
      <c r="I23" s="67"/>
      <c r="O23" s="70"/>
    </row>
    <row r="24" customHeight="1" spans="5:22">
      <c r="E24" s="69"/>
      <c r="F24" s="69"/>
      <c r="H24" s="67"/>
      <c r="I24" s="67"/>
      <c r="O24" s="70"/>
    </row>
    <row r="25" customHeight="1" spans="5:22">
      <c r="E25" s="69"/>
      <c r="F25" s="69"/>
      <c r="H25" s="67"/>
      <c r="I25" s="67"/>
      <c r="O25" s="70"/>
    </row>
    <row r="26" customHeight="1" spans="5:22">
      <c r="O26" s="70"/>
    </row>
  </sheetData>
  <mergeCells count="1">
    <mergeCell ref="M14:Q18"/>
  </mergeCells>
  <pageMargins left="0.75" right="0.75" top="1" bottom="1" header="0.5" footer="0.5"/>
  <pageSetup paperSize="9" orientation="portrait"/>
  <headerFooter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0">
    <tabColor theme="7"/>
  </sheetPr>
  <dimension ref="A1:M24"/>
  <sheetViews>
    <sheetView topLeftCell="E1" workbookViewId="0">
      <selection activeCell="L1" sqref="L1:L13"/>
    </sheetView>
  </sheetViews>
  <sheetFormatPr defaultColWidth="19.6126126126126" defaultRowHeight="16" customHeight="1"/>
  <cols>
    <col min="1" max="1" width="4.84684684684685" style="25" customWidth="1"/>
    <col min="2" max="2" width="15.6126126126126" style="25" customWidth="1"/>
    <col min="3" max="4" width="17.0720720720721" style="25" customWidth="1"/>
    <col min="5" max="5" width="9" style="25" customWidth="1"/>
    <col min="6" max="6" width="15.0720720720721" style="25" customWidth="1"/>
    <col min="7" max="8" width="12.1531531531532" style="25" customWidth="1"/>
    <col min="9" max="9" width="9" style="25" customWidth="1"/>
    <col min="10" max="11" width="19.6126126126126" style="25"/>
    <col min="12" max="12" width="80.6126126126126" style="25" customWidth="1"/>
    <col min="13" max="13" width="18.6126126126126" style="25" customWidth="1"/>
    <col min="14" max="14" width="12.5315315315315" style="25" customWidth="1"/>
    <col min="15" max="15" width="10.6126126126126" style="25" customWidth="1"/>
    <col min="16" max="16384" width="19.6126126126126" style="25"/>
  </cols>
  <sheetData>
    <row r="1" customHeight="1" spans="1:13">
      <c r="A1" s="48" t="s">
        <v>48</v>
      </c>
      <c r="B1" s="48" t="s">
        <v>126</v>
      </c>
      <c r="C1" s="48" t="s">
        <v>59</v>
      </c>
      <c r="D1" s="48" t="s">
        <v>60</v>
      </c>
      <c r="F1" s="48" t="s">
        <v>126</v>
      </c>
      <c r="G1" s="48" t="s">
        <v>59</v>
      </c>
      <c r="H1" s="48" t="s">
        <v>60</v>
      </c>
      <c r="L1" s="49"/>
    </row>
    <row r="2" customHeight="1" spans="1:13">
      <c r="A2" s="50" t="s">
        <v>194</v>
      </c>
      <c r="B2" s="27" t="s">
        <v>195</v>
      </c>
      <c r="C2" s="51">
        <v>97</v>
      </c>
      <c r="D2" s="51">
        <v>35</v>
      </c>
      <c r="F2" s="27" t="s">
        <v>196</v>
      </c>
      <c r="G2" s="52">
        <f>C6</f>
      </c>
      <c r="H2" s="52">
        <f>D6</f>
      </c>
      <c r="L2" s="49"/>
    </row>
    <row r="3" customHeight="1" spans="1:13">
      <c r="A3" s="53"/>
      <c r="B3" s="27" t="s">
        <v>197</v>
      </c>
      <c r="C3" s="51">
        <v>2</v>
      </c>
      <c r="D3" s="51">
        <v>0</v>
      </c>
      <c r="F3" s="27" t="s">
        <v>198</v>
      </c>
      <c r="G3" s="52">
        <f>C8</f>
      </c>
      <c r="H3" s="52">
        <f>D8</f>
      </c>
      <c r="L3" s="49"/>
    </row>
    <row r="4" customHeight="1" spans="1:13">
      <c r="A4" s="53"/>
      <c r="B4" s="27" t="s">
        <v>199</v>
      </c>
      <c r="C4" s="51">
        <v>2</v>
      </c>
      <c r="D4" s="51">
        <v>0</v>
      </c>
      <c r="F4" s="27" t="s">
        <v>200</v>
      </c>
      <c r="G4" s="54">
        <f>C9</f>
      </c>
      <c r="H4" s="54">
        <f>D9</f>
      </c>
      <c r="L4" s="49"/>
    </row>
    <row r="5" customHeight="1" spans="1:13">
      <c r="A5" s="53"/>
      <c r="B5" s="27" t="s">
        <v>201</v>
      </c>
      <c r="C5" s="51">
        <v>0</v>
      </c>
      <c r="D5" s="51">
        <v>0</v>
      </c>
      <c r="L5" s="49"/>
    </row>
    <row r="6" customHeight="1" spans="1:13">
      <c r="A6" s="53"/>
      <c r="B6" s="27" t="s">
        <v>196</v>
      </c>
      <c r="C6" s="51">
        <v>97</v>
      </c>
      <c r="D6" s="51">
        <v>35</v>
      </c>
      <c r="F6" s="48" t="s">
        <v>126</v>
      </c>
      <c r="G6" s="48" t="s">
        <v>59</v>
      </c>
      <c r="H6" s="48" t="s">
        <v>60</v>
      </c>
      <c r="L6" s="49"/>
    </row>
    <row r="7" customHeight="1" spans="1:13">
      <c r="A7" s="53"/>
      <c r="B7" s="27" t="s">
        <v>202</v>
      </c>
      <c r="C7" s="51">
        <v>96.75</v>
      </c>
      <c r="D7" s="51">
        <v>35</v>
      </c>
      <c r="F7" s="27" t="s">
        <v>203</v>
      </c>
      <c r="G7" s="42">
        <f>C10</f>
      </c>
      <c r="H7" s="42">
        <f>D10</f>
      </c>
      <c r="L7" s="49"/>
    </row>
    <row r="8" customHeight="1" spans="1:13">
      <c r="A8" s="53"/>
      <c r="B8" s="27" t="s">
        <v>198</v>
      </c>
      <c r="C8" s="51">
        <v>2</v>
      </c>
      <c r="D8" s="51">
        <v>6</v>
      </c>
      <c r="F8" s="27" t="s">
        <v>204</v>
      </c>
      <c r="G8" s="55">
        <f t="shared" ref="G8:H10" si="0">C16</f>
      </c>
      <c r="H8" s="55">
        <f>D16</f>
      </c>
      <c r="L8" s="49"/>
    </row>
    <row r="9" customHeight="1" spans="1:13">
      <c r="A9" s="56"/>
      <c r="B9" s="27" t="s">
        <v>200</v>
      </c>
      <c r="C9" s="57">
        <f>=C8/C7</f>
      </c>
      <c r="D9" s="57">
        <f>=D8/D7</f>
      </c>
      <c r="F9" s="27" t="s">
        <v>205</v>
      </c>
      <c r="G9" s="42">
        <f t="shared" si="0"/>
      </c>
      <c r="H9" s="42">
        <f t="shared" si="0"/>
      </c>
      <c r="L9" s="49"/>
    </row>
    <row r="10" customHeight="1" spans="1:13">
      <c r="A10" s="27" t="s">
        <v>206</v>
      </c>
      <c r="B10" s="27" t="s">
        <v>203</v>
      </c>
      <c r="C10" s="58">
        <v>7.3247</v>
      </c>
      <c r="D10" s="58">
        <v>102.05</v>
      </c>
      <c r="F10" s="27" t="s">
        <v>207</v>
      </c>
      <c r="G10" s="42">
        <f t="shared" si="0"/>
      </c>
      <c r="H10" s="42">
        <f>D18</f>
      </c>
      <c r="L10" s="49"/>
    </row>
    <row r="11" customHeight="1" spans="1:13">
      <c r="A11" s="27"/>
      <c r="B11" s="27" t="s">
        <v>208</v>
      </c>
      <c r="C11" s="58">
        <v>7</v>
      </c>
      <c r="D11" s="58">
        <v>102.05</v>
      </c>
      <c r="L11" s="49"/>
    </row>
    <row r="12" customHeight="1" spans="1:13">
      <c r="A12" s="27"/>
      <c r="B12" s="27" t="s">
        <v>209</v>
      </c>
      <c r="C12" s="58">
        <v>0</v>
      </c>
      <c r="D12" s="58">
        <v>7</v>
      </c>
      <c r="F12" s="48" t="s">
        <v>83</v>
      </c>
      <c r="G12" s="48" t="s">
        <v>59</v>
      </c>
      <c r="H12" s="48" t="s">
        <v>60</v>
      </c>
      <c r="L12" s="49"/>
    </row>
    <row r="13" customHeight="1" spans="1:13">
      <c r="A13" s="27"/>
      <c r="B13" s="27" t="s">
        <v>210</v>
      </c>
      <c r="C13" s="58">
        <v>0</v>
      </c>
      <c r="D13" s="58">
        <v>7</v>
      </c>
      <c r="F13" s="27" t="s">
        <v>108</v>
      </c>
      <c r="G13" s="42">
        <v>7.1105</v>
      </c>
      <c r="H13" s="42">
        <v>100</v>
      </c>
      <c r="L13" s="49"/>
    </row>
    <row r="14" customHeight="1" spans="1:13">
      <c r="A14" s="27"/>
      <c r="B14" s="27" t="s">
        <v>211</v>
      </c>
      <c r="C14" s="58">
        <v>0</v>
      </c>
      <c r="D14" s="58">
        <v>36.1</v>
      </c>
      <c r="F14" s="27" t="s">
        <v>109</v>
      </c>
      <c r="G14" s="42">
        <v>0</v>
      </c>
      <c r="H14" s="42">
        <v>0.51</v>
      </c>
      <c r="L14" s="43"/>
      <c r="M14" s="43"/>
    </row>
    <row r="15" customHeight="1" spans="1:13">
      <c r="A15" s="27"/>
      <c r="B15" s="27" t="s">
        <v>212</v>
      </c>
      <c r="C15" s="58">
        <v>0</v>
      </c>
      <c r="D15" s="58">
        <v>36.1</v>
      </c>
      <c r="F15" s="27" t="s">
        <v>110</v>
      </c>
      <c r="G15" s="42">
        <v>0.2142</v>
      </c>
      <c r="H15" s="42">
        <v>1.34</v>
      </c>
      <c r="L15" s="43"/>
      <c r="M15" s="43"/>
    </row>
    <row r="16" customHeight="1" spans="1:13">
      <c r="A16" s="27"/>
      <c r="B16" s="27" t="s">
        <v>204</v>
      </c>
      <c r="C16" s="58">
        <v>8</v>
      </c>
      <c r="D16" s="58">
        <v>44</v>
      </c>
      <c r="F16" s="27" t="s">
        <v>111</v>
      </c>
      <c r="G16" s="42">
        <v>0</v>
      </c>
      <c r="H16" s="42">
        <v>0.2</v>
      </c>
      <c r="L16" s="43"/>
      <c r="M16" s="43"/>
    </row>
    <row r="17" customHeight="1" spans="1:13">
      <c r="A17" s="27"/>
      <c r="B17" s="27" t="s">
        <v>205</v>
      </c>
      <c r="C17" s="58">
        <f>=C10/C16</f>
      </c>
      <c r="D17" s="58">
        <f>=D10/D16</f>
      </c>
      <c r="F17" s="27" t="s">
        <v>112</v>
      </c>
      <c r="G17" s="42" t="e">
        <f t="shared" ref="G17:G24" si="1">NA()</f>
      </c>
      <c r="H17" s="42" t="e">
        <f t="shared" ref="H17:H24" si="2">NA()</f>
      </c>
      <c r="L17" s="43"/>
      <c r="M17" s="43"/>
    </row>
    <row r="18" customHeight="1" spans="1:13">
      <c r="A18" s="27"/>
      <c r="B18" s="27" t="s">
        <v>207</v>
      </c>
      <c r="C18" s="58">
        <f>=C10/C6</f>
      </c>
      <c r="D18" s="58">
        <f>=D10/D6</f>
      </c>
      <c r="F18" s="27" t="s">
        <v>113</v>
      </c>
      <c r="G18" s="42" t="e">
        <f t="shared" si="1"/>
      </c>
      <c r="H18" s="42" t="e">
        <f t="shared" si="2"/>
      </c>
      <c r="L18" s="43"/>
      <c r="M18" s="43"/>
    </row>
    <row r="19" customHeight="1" spans="1:13">
      <c r="F19" s="27" t="s">
        <v>114</v>
      </c>
      <c r="G19" s="42" t="e">
        <f t="shared" si="1"/>
      </c>
      <c r="H19" s="42" t="e">
        <f t="shared" si="2"/>
      </c>
      <c r="L19" s="43"/>
      <c r="M19" s="43"/>
    </row>
    <row r="20" customHeight="1" spans="1:13">
      <c r="F20" s="27" t="s">
        <v>115</v>
      </c>
      <c r="G20" s="42" t="e">
        <f t="shared" si="1"/>
      </c>
      <c r="H20" s="42" t="e">
        <f t="shared" si="2"/>
      </c>
      <c r="L20" s="43"/>
      <c r="M20" s="43"/>
    </row>
    <row r="21" customHeight="1" spans="1:13">
      <c r="F21" s="27" t="s">
        <v>116</v>
      </c>
      <c r="G21" s="42" t="e">
        <f t="shared" si="1"/>
      </c>
      <c r="H21" s="42" t="e">
        <f t="shared" si="2"/>
      </c>
      <c r="L21" s="43"/>
      <c r="M21" s="43"/>
    </row>
    <row r="22" customHeight="1" spans="1:13">
      <c r="F22" s="27" t="s">
        <v>117</v>
      </c>
      <c r="G22" s="42" t="e">
        <f t="shared" si="1"/>
      </c>
      <c r="H22" s="42" t="e">
        <f t="shared" si="2"/>
      </c>
      <c r="L22" s="43"/>
      <c r="M22" s="43"/>
    </row>
    <row r="23" customHeight="1" spans="1:13">
      <c r="F23" s="27" t="s">
        <v>118</v>
      </c>
      <c r="G23" s="42" t="e">
        <f t="shared" si="1"/>
      </c>
      <c r="H23" s="42" t="e">
        <f t="shared" si="2"/>
      </c>
      <c r="L23" s="43"/>
      <c r="M23" s="43"/>
    </row>
    <row r="24" customHeight="1" spans="1:13">
      <c r="F24" s="27" t="s">
        <v>119</v>
      </c>
      <c r="G24" s="42" t="e">
        <f t="shared" si="1"/>
      </c>
      <c r="H24" s="42" t="e">
        <f t="shared" si="2"/>
      </c>
      <c r="L24" s="43"/>
      <c r="M24" s="43"/>
    </row>
  </sheetData>
  <mergeCells count="4">
    <mergeCell ref="A2:A9"/>
    <mergeCell ref="A10:A18"/>
    <mergeCell ref="L14:L24"/>
    <mergeCell ref="M14:M24"/>
  </mergeCells>
  <pageMargins left="0.75" right="0.75" top="1" bottom="1" header="0.5" footer="0.5"/>
  <pageSetup paperSize="9" orientation="portrait"/>
  <headerFooter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57">
    <tabColor rgb="FF9CD2A4"/>
  </sheetPr>
  <dimension ref="A1:R61"/>
  <sheetViews>
    <sheetView topLeftCell="A41" workbookViewId="0">
      <selection activeCell="C61" sqref="C61:I61"/>
    </sheetView>
  </sheetViews>
  <sheetFormatPr defaultColWidth="19.6126126126126" defaultRowHeight="18" customHeight="1"/>
  <cols>
    <col min="1" max="1" width="8.07207207207207" style="25" customWidth="1"/>
    <col min="2" max="2" width="5.61261261261261" style="25" customWidth="1"/>
    <col min="3" max="3" width="19" style="25" customWidth="1"/>
    <col min="4" max="5" width="9.69369369369369" style="25" customWidth="1"/>
    <col min="6" max="6" width="9" style="25" customWidth="1"/>
    <col min="7" max="8" width="8.07207207207207" style="25" customWidth="1"/>
    <col min="9" max="9" width="9.69369369369369" style="25" customWidth="1"/>
    <col min="10" max="10" width="8.91891891891892" style="25" customWidth="1"/>
    <col min="11" max="12" width="8.07207207207207" style="25" customWidth="1"/>
    <col min="13" max="13" width="9.69369369369369" style="25" customWidth="1"/>
    <col min="14" max="15" width="8.07207207207207" style="25" customWidth="1"/>
    <col min="16" max="16" width="8.91891891891892" style="25" customWidth="1"/>
    <col min="17" max="18" width="8.07207207207207" style="25" customWidth="1"/>
    <col min="19" max="91" width="9.61261261261261" style="25" customWidth="1"/>
    <col min="92" max="16384" width="19.6126126126126" style="25"/>
  </cols>
  <sheetData>
    <row r="1" customHeight="1" spans="1:18">
      <c r="A1" s="26" t="s">
        <v>48</v>
      </c>
      <c r="B1" s="26" t="s">
        <v>49</v>
      </c>
      <c r="C1" s="26" t="s">
        <v>50</v>
      </c>
      <c r="D1" s="26" t="s">
        <v>128</v>
      </c>
      <c r="E1" s="26" t="s">
        <v>129</v>
      </c>
      <c r="F1" s="26" t="s">
        <v>213</v>
      </c>
      <c r="G1" s="26" t="s">
        <v>108</v>
      </c>
      <c r="H1" s="26" t="s">
        <v>109</v>
      </c>
      <c r="I1" s="26" t="s">
        <v>110</v>
      </c>
      <c r="J1" s="26" t="s">
        <v>111</v>
      </c>
      <c r="K1" s="26" t="s">
        <v>112</v>
      </c>
      <c r="L1" s="26" t="s">
        <v>113</v>
      </c>
      <c r="M1" s="26" t="s">
        <v>114</v>
      </c>
      <c r="N1" s="26" t="s">
        <v>115</v>
      </c>
      <c r="O1" s="26" t="s">
        <v>116</v>
      </c>
      <c r="P1" s="26" t="s">
        <v>117</v>
      </c>
      <c r="Q1" s="26" t="s">
        <v>118</v>
      </c>
      <c r="R1" s="26" t="s">
        <v>119</v>
      </c>
    </row>
    <row r="2" customHeight="1" spans="1:18">
      <c r="A2" s="27" t="s">
        <v>62</v>
      </c>
      <c r="B2" s="28">
        <v>1</v>
      </c>
      <c r="C2" s="28" t="s">
        <v>63</v>
      </c>
      <c r="D2" s="29">
        <f t="array" ref="D2:D18">INDEX(年度计划!E2:M18,,MATCH(填写页!C2,年度计划!E1:M1,0))</f>
      </c>
      <c r="E2" s="29">
        <f t="shared" ref="E2:E15" si="0">SUM(G2:R2)</f>
      </c>
      <c r="F2" s="30">
        <f>IFERROR(MAX(1+(E2-D2)/ABS(D2),0),)</f>
      </c>
      <c r="G2" s="31">
        <v>580.609306</v>
      </c>
      <c r="H2" s="31">
        <v>567.205236</v>
      </c>
      <c r="I2" s="31">
        <v>1148.022471</v>
      </c>
      <c r="J2" s="31">
        <v>769.8049700000001</v>
      </c>
      <c r="K2" s="31">
        <v>0</v>
      </c>
      <c r="L2" s="31">
        <v>0</v>
      </c>
      <c r="M2" s="31">
        <v>0</v>
      </c>
      <c r="N2" s="31">
        <v>0</v>
      </c>
      <c r="O2" s="31">
        <v>0</v>
      </c>
      <c r="P2" s="31">
        <v>0</v>
      </c>
      <c r="Q2" s="31">
        <v>0</v>
      </c>
      <c r="R2" s="31">
        <v>0</v>
      </c>
    </row>
    <row r="3" customHeight="1" spans="1:18">
      <c r="A3" s="27"/>
      <c r="B3" s="28">
        <v>2</v>
      </c>
      <c r="C3" s="28" t="s">
        <v>214</v>
      </c>
      <c r="D3" s="29">
        <v>3056.20752709174</v>
      </c>
      <c r="E3" s="29">
        <f t="shared" si="0"/>
      </c>
      <c r="F3" s="30">
        <f>IFERROR(MAX(1+(E3-D3)/ABS(D3),0),)</f>
      </c>
      <c r="G3" s="31">
        <v>309.20647499999995</v>
      </c>
      <c r="H3" s="31">
        <v>296.734368</v>
      </c>
      <c r="I3" s="31">
        <v>885.00292</v>
      </c>
      <c r="J3" s="31">
        <v>493.4492800000001</v>
      </c>
      <c r="K3" s="31"/>
      <c r="L3" s="31"/>
      <c r="M3" s="31"/>
      <c r="N3" s="31"/>
      <c r="O3" s="31"/>
      <c r="P3" s="31"/>
      <c r="Q3" s="31"/>
      <c r="R3" s="31"/>
    </row>
    <row r="4" customHeight="1" spans="1:18">
      <c r="A4" s="27"/>
      <c r="B4" s="28">
        <v>3</v>
      </c>
      <c r="C4" s="28" t="s">
        <v>65</v>
      </c>
      <c r="D4" s="29">
        <v>112.83541569</v>
      </c>
      <c r="E4" s="29">
        <f t="shared" si="0"/>
      </c>
      <c r="F4" s="30">
        <f>IFERROR(MAX(1+(E4-D4)/ABS(D4),0),)</f>
      </c>
      <c r="G4" s="31">
        <v>85.64399399999999</v>
      </c>
      <c r="H4" s="31">
        <v>883.276996</v>
      </c>
      <c r="I4" s="31">
        <v>-715.535441</v>
      </c>
      <c r="J4" s="31">
        <v>2348.862225</v>
      </c>
      <c r="K4" s="31"/>
      <c r="L4" s="31"/>
      <c r="M4" s="31"/>
      <c r="N4" s="31"/>
      <c r="O4" s="31"/>
      <c r="P4" s="31"/>
      <c r="Q4" s="31"/>
      <c r="R4" s="31"/>
    </row>
    <row r="5" customHeight="1" spans="1:18">
      <c r="A5" s="27" t="s">
        <v>66</v>
      </c>
      <c r="B5" s="28">
        <v>4</v>
      </c>
      <c r="C5" s="28" t="s">
        <v>215</v>
      </c>
      <c r="D5" s="29">
        <v>2263.965583</v>
      </c>
      <c r="E5" s="29">
        <f t="shared" si="0"/>
      </c>
      <c r="F5" s="30">
        <f t="shared" ref="F5:F18" si="1">IFERROR(MAX(1+(E5-D5)/ABS(D5),0),)</f>
      </c>
      <c r="G5" s="31">
        <v>46.856168000000004</v>
      </c>
      <c r="H5" s="31">
        <v>43.40538000000001</v>
      </c>
      <c r="I5" s="31">
        <v>50.429416</v>
      </c>
      <c r="J5" s="31">
        <v>56.655602</v>
      </c>
      <c r="K5" s="31">
        <v>0</v>
      </c>
      <c r="L5" s="31">
        <v>0</v>
      </c>
      <c r="M5" s="31">
        <v>0</v>
      </c>
      <c r="N5" s="31">
        <v>0</v>
      </c>
      <c r="O5" s="31">
        <v>0</v>
      </c>
      <c r="P5" s="31">
        <v>0</v>
      </c>
      <c r="Q5" s="31">
        <v>0</v>
      </c>
      <c r="R5" s="31">
        <v>0</v>
      </c>
    </row>
    <row r="6" customHeight="1" spans="1:18">
      <c r="A6" s="27"/>
      <c r="B6" s="28">
        <v>4.1</v>
      </c>
      <c r="C6" s="28" t="s">
        <v>68</v>
      </c>
      <c r="D6" s="32">
        <v>637.275583</v>
      </c>
      <c r="E6" s="32">
        <f t="shared" si="0"/>
      </c>
      <c r="F6" s="33">
        <f t="shared" si="1"/>
      </c>
      <c r="G6" s="31">
        <v>32.585219</v>
      </c>
      <c r="H6" s="31">
        <v>39.025355000000005</v>
      </c>
      <c r="I6" s="31">
        <v>37.531035</v>
      </c>
      <c r="J6" s="31">
        <v>37.76773</v>
      </c>
      <c r="K6" s="31">
        <v>0</v>
      </c>
      <c r="L6" s="31">
        <v>0</v>
      </c>
      <c r="M6" s="31">
        <v>0</v>
      </c>
      <c r="N6" s="31">
        <v>0</v>
      </c>
      <c r="O6" s="31">
        <v>0</v>
      </c>
      <c r="P6" s="31">
        <v>0</v>
      </c>
      <c r="Q6" s="31">
        <v>0</v>
      </c>
      <c r="R6" s="31">
        <v>0</v>
      </c>
    </row>
    <row r="7" customHeight="1" spans="1:18">
      <c r="A7" s="27"/>
      <c r="B7" s="28" t="s">
        <v>69</v>
      </c>
      <c r="C7" s="34" t="s">
        <v>70</v>
      </c>
      <c r="D7" s="32">
        <v>484.75</v>
      </c>
      <c r="E7" s="32">
        <f t="shared" si="0"/>
      </c>
      <c r="F7" s="33">
        <f t="shared" si="1"/>
      </c>
      <c r="G7" s="31">
        <v>32.253202</v>
      </c>
      <c r="H7" s="31">
        <v>36.318083</v>
      </c>
      <c r="I7" s="31">
        <v>35.989898000000004</v>
      </c>
      <c r="J7" s="31">
        <v>36.802752</v>
      </c>
      <c r="K7" s="31">
        <v>0</v>
      </c>
      <c r="L7" s="31">
        <v>0</v>
      </c>
      <c r="M7" s="31">
        <v>0</v>
      </c>
      <c r="N7" s="31">
        <v>0</v>
      </c>
      <c r="O7" s="31">
        <v>0</v>
      </c>
      <c r="P7" s="31">
        <v>0</v>
      </c>
      <c r="Q7" s="31">
        <v>0</v>
      </c>
      <c r="R7" s="31">
        <v>0</v>
      </c>
    </row>
    <row r="8" customHeight="1" spans="1:18">
      <c r="A8" s="27"/>
      <c r="B8" s="28" t="s">
        <v>71</v>
      </c>
      <c r="C8" s="34" t="s">
        <v>72</v>
      </c>
      <c r="D8" s="32">
        <v>152.525583</v>
      </c>
      <c r="E8" s="32">
        <f t="shared" si="0"/>
      </c>
      <c r="F8" s="33">
        <f t="shared" si="1"/>
      </c>
      <c r="G8" s="31">
        <v>0.33201699999999995</v>
      </c>
      <c r="H8" s="31">
        <v>2.7072719999999997</v>
      </c>
      <c r="I8" s="31">
        <v>1.541137</v>
      </c>
      <c r="J8" s="31">
        <v>0.9649779999999999</v>
      </c>
      <c r="K8" s="31">
        <v>0</v>
      </c>
      <c r="L8" s="31">
        <v>0</v>
      </c>
      <c r="M8" s="31">
        <v>0</v>
      </c>
      <c r="N8" s="31">
        <v>0</v>
      </c>
      <c r="O8" s="31">
        <v>0</v>
      </c>
      <c r="P8" s="31">
        <v>0</v>
      </c>
      <c r="Q8" s="31">
        <v>0</v>
      </c>
      <c r="R8" s="31">
        <v>0</v>
      </c>
    </row>
    <row r="9" customHeight="1" spans="1:18">
      <c r="A9" s="27"/>
      <c r="B9" s="28">
        <v>4.2</v>
      </c>
      <c r="C9" s="28" t="s">
        <v>73</v>
      </c>
      <c r="D9" s="32">
        <v>1626.69</v>
      </c>
      <c r="E9" s="32">
        <f t="shared" si="0"/>
      </c>
      <c r="F9" s="33">
        <f t="shared" si="1"/>
      </c>
      <c r="G9" s="31">
        <v>14.270949</v>
      </c>
      <c r="H9" s="31">
        <v>4.380025</v>
      </c>
      <c r="I9" s="31">
        <v>12.898381</v>
      </c>
      <c r="J9" s="31">
        <v>18.887872</v>
      </c>
      <c r="K9" s="31">
        <v>0</v>
      </c>
      <c r="L9" s="31">
        <v>0</v>
      </c>
      <c r="M9" s="31">
        <v>0</v>
      </c>
      <c r="N9" s="31">
        <v>0</v>
      </c>
      <c r="O9" s="31">
        <v>0</v>
      </c>
      <c r="P9" s="31">
        <v>0</v>
      </c>
      <c r="Q9" s="31">
        <v>0</v>
      </c>
      <c r="R9" s="31">
        <v>0</v>
      </c>
    </row>
    <row r="10" customHeight="1" spans="1:18">
      <c r="A10" s="27"/>
      <c r="B10" s="28" t="s">
        <v>74</v>
      </c>
      <c r="C10" s="34" t="s">
        <v>75</v>
      </c>
      <c r="D10" s="32">
        <v>1626.69</v>
      </c>
      <c r="E10" s="32">
        <f t="shared" si="0"/>
      </c>
      <c r="F10" s="33">
        <f t="shared" si="1"/>
      </c>
      <c r="G10" s="31">
        <v>14.270949</v>
      </c>
      <c r="H10" s="31">
        <v>4.380025</v>
      </c>
      <c r="I10" s="31">
        <v>12.898381</v>
      </c>
      <c r="J10" s="31">
        <v>18.887872</v>
      </c>
      <c r="K10" s="31">
        <v>0</v>
      </c>
      <c r="L10" s="31">
        <v>0</v>
      </c>
      <c r="M10" s="31">
        <v>0</v>
      </c>
      <c r="N10" s="31">
        <v>0</v>
      </c>
      <c r="O10" s="31">
        <v>0</v>
      </c>
      <c r="P10" s="31">
        <v>0</v>
      </c>
      <c r="Q10" s="31">
        <v>0</v>
      </c>
      <c r="R10" s="31">
        <v>0</v>
      </c>
    </row>
    <row r="11" customHeight="1" spans="1:18">
      <c r="A11" s="27"/>
      <c r="B11" s="28" t="s">
        <v>76</v>
      </c>
      <c r="C11" s="34" t="s">
        <v>77</v>
      </c>
      <c r="D11" s="32">
        <v>0</v>
      </c>
      <c r="E11" s="32">
        <f t="shared" si="0"/>
      </c>
      <c r="F11" s="33">
        <f t="shared" si="1"/>
      </c>
      <c r="G11" s="31">
        <v>0</v>
      </c>
      <c r="H11" s="31">
        <v>0</v>
      </c>
      <c r="I11" s="31">
        <v>0</v>
      </c>
      <c r="J11" s="31">
        <v>0</v>
      </c>
      <c r="K11" s="31">
        <v>0</v>
      </c>
      <c r="L11" s="31">
        <v>0</v>
      </c>
      <c r="M11" s="31">
        <v>0</v>
      </c>
      <c r="N11" s="31">
        <v>0</v>
      </c>
      <c r="O11" s="31">
        <v>0</v>
      </c>
      <c r="P11" s="31">
        <v>0</v>
      </c>
      <c r="Q11" s="31">
        <v>0</v>
      </c>
      <c r="R11" s="31">
        <v>0</v>
      </c>
    </row>
    <row r="12" customHeight="1" spans="1:18">
      <c r="A12" s="27"/>
      <c r="B12" s="28">
        <v>5</v>
      </c>
      <c r="C12" s="28" t="s">
        <v>78</v>
      </c>
      <c r="D12" s="29">
        <v>842</v>
      </c>
      <c r="E12" s="29">
        <f t="shared" si="0"/>
      </c>
      <c r="F12" s="30">
        <f t="shared" si="1"/>
      </c>
      <c r="G12" s="31">
        <v>0</v>
      </c>
      <c r="H12" s="31">
        <v>0</v>
      </c>
      <c r="I12" s="31">
        <v>1.9359419999999998</v>
      </c>
      <c r="J12" s="31">
        <v>0</v>
      </c>
      <c r="K12" s="31">
        <v>0</v>
      </c>
      <c r="L12" s="31">
        <v>0</v>
      </c>
      <c r="M12" s="31">
        <v>0</v>
      </c>
      <c r="N12" s="31">
        <v>0</v>
      </c>
      <c r="O12" s="31">
        <v>0</v>
      </c>
      <c r="P12" s="31">
        <v>0</v>
      </c>
      <c r="Q12" s="31">
        <v>0</v>
      </c>
      <c r="R12" s="31">
        <v>0</v>
      </c>
    </row>
    <row r="13" customHeight="1" spans="1:18">
      <c r="A13" s="27" t="s">
        <v>79</v>
      </c>
      <c r="B13" s="28">
        <v>6</v>
      </c>
      <c r="C13" s="28" t="s">
        <v>80</v>
      </c>
      <c r="D13" s="30">
        <v>0.65</v>
      </c>
      <c r="E13" s="30">
        <f>AVERAGE(G13:R13)</f>
      </c>
      <c r="F13" s="30">
        <f t="shared" si="1"/>
      </c>
      <c r="G13" s="31">
        <v>0.6413</v>
      </c>
      <c r="H13" s="31">
        <v>0.6413</v>
      </c>
      <c r="I13" s="31">
        <v>0.6774</v>
      </c>
      <c r="J13" s="31">
        <v>0.6694</v>
      </c>
      <c r="K13" s="31"/>
      <c r="L13" s="31"/>
      <c r="M13" s="31"/>
      <c r="N13" s="31"/>
      <c r="O13" s="31"/>
      <c r="P13" s="31"/>
      <c r="Q13" s="31"/>
      <c r="R13" s="31"/>
    </row>
    <row r="14" customHeight="1" spans="1:18">
      <c r="A14" s="27"/>
      <c r="B14" s="28">
        <v>7</v>
      </c>
      <c r="C14" s="28" t="s">
        <v>81</v>
      </c>
      <c r="D14" s="30">
        <v>0.95</v>
      </c>
      <c r="E14" s="30">
        <f>AVERAGE(G14:R14)</f>
      </c>
      <c r="F14" s="30">
        <f t="shared" si="1"/>
      </c>
      <c r="G14" s="31">
        <v>0.8</v>
      </c>
      <c r="H14" s="31">
        <v>0.85</v>
      </c>
      <c r="I14" s="31">
        <v>0.96</v>
      </c>
      <c r="J14" s="31">
        <v>0.98</v>
      </c>
      <c r="K14" s="31"/>
      <c r="L14" s="31"/>
      <c r="M14" s="31"/>
      <c r="N14" s="31"/>
      <c r="O14" s="31"/>
      <c r="P14" s="31"/>
      <c r="Q14" s="31"/>
      <c r="R14" s="31"/>
    </row>
    <row r="15" customHeight="1" spans="1:18">
      <c r="A15" s="27"/>
      <c r="B15" s="28">
        <v>8</v>
      </c>
      <c r="C15" s="28" t="s">
        <v>82</v>
      </c>
      <c r="D15" s="29">
        <v>0</v>
      </c>
      <c r="E15" s="29">
        <f t="shared" si="0"/>
      </c>
      <c r="F15" s="30">
        <f t="shared" si="1"/>
      </c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</row>
    <row r="16" customHeight="1" spans="1:18">
      <c r="A16" s="27"/>
      <c r="B16" s="28">
        <v>9</v>
      </c>
      <c r="C16" s="28" t="s">
        <v>83</v>
      </c>
      <c r="D16" s="29">
        <v>0</v>
      </c>
      <c r="E16" s="29"/>
      <c r="F16" s="30">
        <f t="shared" si="1"/>
      </c>
      <c r="G16" s="31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</row>
    <row r="17" customHeight="1" spans="1:18">
      <c r="A17" s="27"/>
      <c r="B17" s="28">
        <v>10</v>
      </c>
      <c r="C17" s="28" t="s">
        <v>84</v>
      </c>
      <c r="D17" s="30">
        <v>0</v>
      </c>
      <c r="E17" s="30"/>
      <c r="F17" s="30">
        <f t="shared" si="1"/>
      </c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</row>
    <row r="18" customHeight="1" spans="1:18">
      <c r="A18" s="27"/>
      <c r="B18" s="28">
        <v>11</v>
      </c>
      <c r="C18" s="28" t="s">
        <v>85</v>
      </c>
      <c r="D18" s="30">
        <v>0</v>
      </c>
      <c r="E18" s="30"/>
      <c r="F18" s="30">
        <f t="shared" si="1"/>
      </c>
      <c r="G18" s="31"/>
      <c r="H18" s="31"/>
      <c r="I18" s="31"/>
      <c r="J18" s="31"/>
      <c r="K18" s="31"/>
      <c r="L18" s="31"/>
      <c r="M18" s="31"/>
      <c r="N18" s="31"/>
      <c r="O18" s="31"/>
      <c r="P18" s="31"/>
      <c r="Q18" s="31"/>
      <c r="R18" s="31"/>
    </row>
    <row r="19" customHeight="1" spans="1:18">
      <c r="C19" s="26" t="s">
        <v>216</v>
      </c>
      <c r="D19" s="26" t="s">
        <v>128</v>
      </c>
      <c r="E19" s="26" t="s">
        <v>129</v>
      </c>
      <c r="F19" s="26" t="s">
        <v>130</v>
      </c>
      <c r="G19" s="26" t="s">
        <v>108</v>
      </c>
      <c r="H19" s="26" t="s">
        <v>109</v>
      </c>
      <c r="I19" s="26" t="s">
        <v>110</v>
      </c>
      <c r="J19" s="26" t="s">
        <v>111</v>
      </c>
      <c r="K19" s="26" t="s">
        <v>112</v>
      </c>
      <c r="L19" s="26" t="s">
        <v>113</v>
      </c>
      <c r="M19" s="26" t="s">
        <v>114</v>
      </c>
      <c r="N19" s="26" t="s">
        <v>115</v>
      </c>
      <c r="O19" s="26" t="s">
        <v>116</v>
      </c>
      <c r="P19" s="26" t="s">
        <v>117</v>
      </c>
      <c r="Q19" s="26" t="s">
        <v>118</v>
      </c>
      <c r="R19" s="26" t="s">
        <v>119</v>
      </c>
    </row>
    <row r="20" customHeight="1" spans="1:18">
      <c r="C20" s="28" t="s">
        <v>63</v>
      </c>
      <c r="D20" s="36">
        <v>9135.52</v>
      </c>
      <c r="E20" s="37">
        <v>8883.633954</v>
      </c>
      <c r="F20" s="38">
        <v>0.972427837057989</v>
      </c>
      <c r="G20" s="37">
        <v>729.336739</v>
      </c>
      <c r="H20" s="37">
        <v>719.886335</v>
      </c>
      <c r="I20" s="37">
        <v>723.075478</v>
      </c>
      <c r="J20" s="37">
        <v>660.432619</v>
      </c>
      <c r="K20" s="37">
        <v>664.38903</v>
      </c>
      <c r="L20" s="37">
        <v>648.150764</v>
      </c>
      <c r="M20" s="37">
        <v>706.884575</v>
      </c>
      <c r="N20" s="37">
        <v>750.77023</v>
      </c>
      <c r="O20" s="37">
        <v>760.987513</v>
      </c>
      <c r="P20" s="37">
        <v>753.240244</v>
      </c>
      <c r="Q20" s="37">
        <v>811.208039</v>
      </c>
      <c r="R20" s="37">
        <v>955.272388</v>
      </c>
    </row>
    <row r="21" customHeight="1" spans="1:18">
      <c r="C21" s="28" t="s">
        <v>214</v>
      </c>
      <c r="D21" s="36">
        <v>2987</v>
      </c>
      <c r="E21" s="37">
        <v>4176.588304</v>
      </c>
      <c r="F21" s="38">
        <v>1.39825520723134</v>
      </c>
      <c r="G21" s="37">
        <v>467.603067</v>
      </c>
      <c r="H21" s="37">
        <v>458.163753</v>
      </c>
      <c r="I21" s="37">
        <v>455.056413</v>
      </c>
      <c r="J21" s="37">
        <v>373.688631</v>
      </c>
      <c r="K21" s="37">
        <v>383.643337</v>
      </c>
      <c r="L21" s="37">
        <v>380.245507</v>
      </c>
      <c r="M21" s="37">
        <v>435.287576</v>
      </c>
      <c r="N21" s="37">
        <v>340.118172</v>
      </c>
      <c r="O21" s="37">
        <v>282.652794</v>
      </c>
      <c r="P21" s="37">
        <v>458.200721</v>
      </c>
      <c r="Q21" s="37">
        <v>-29.920605</v>
      </c>
      <c r="R21" s="37">
        <v>171.848938</v>
      </c>
    </row>
    <row r="22" customHeight="1" spans="1:18">
      <c r="C22" s="28" t="s">
        <v>65</v>
      </c>
      <c r="D22" s="36">
        <v>4201.84</v>
      </c>
      <c r="E22" s="37">
        <v>5706.9127</v>
      </c>
      <c r="F22" s="38">
        <v>1.35819371989414</v>
      </c>
      <c r="G22" s="37">
        <v>519.677118</v>
      </c>
      <c r="H22" s="37">
        <v>75.853911</v>
      </c>
      <c r="I22" s="37">
        <v>1372.529053</v>
      </c>
      <c r="J22" s="37">
        <v>-305.115297</v>
      </c>
      <c r="K22" s="37">
        <v>206.87521</v>
      </c>
      <c r="L22" s="37">
        <v>483.104084</v>
      </c>
      <c r="M22" s="37">
        <v>2770.453389</v>
      </c>
      <c r="N22" s="37">
        <v>444.819877</v>
      </c>
      <c r="O22" s="37">
        <v>55.640722</v>
      </c>
      <c r="P22" s="37">
        <v>-339.285726</v>
      </c>
      <c r="Q22" s="37">
        <v>436.6169</v>
      </c>
      <c r="R22" s="37">
        <v>-14.256541</v>
      </c>
    </row>
    <row r="23" customHeight="1" spans="1:18">
      <c r="C23" s="28" t="s">
        <v>67</v>
      </c>
      <c r="D23" s="36">
        <v>2944.87</v>
      </c>
      <c r="E23" s="37">
        <v>2060.438335</v>
      </c>
      <c r="F23" s="38">
        <v>0.699670387826967</v>
      </c>
      <c r="G23" s="37">
        <v>46.543318</v>
      </c>
      <c r="H23" s="37">
        <v>46.899491</v>
      </c>
      <c r="I23" s="37">
        <v>53.197258</v>
      </c>
      <c r="J23" s="37">
        <v>61.114695</v>
      </c>
      <c r="K23" s="37">
        <v>61.169023</v>
      </c>
      <c r="L23" s="37">
        <v>44.000701</v>
      </c>
      <c r="M23" s="37">
        <v>46.583224</v>
      </c>
      <c r="N23" s="37">
        <v>173.561477</v>
      </c>
      <c r="O23" s="37">
        <v>267.832172</v>
      </c>
      <c r="P23" s="37">
        <v>67.458067</v>
      </c>
      <c r="Q23" s="37">
        <v>616.038968</v>
      </c>
      <c r="R23" s="37">
        <v>576.039941</v>
      </c>
    </row>
    <row r="24" customHeight="1" spans="1:18">
      <c r="C24" s="28" t="s">
        <v>68</v>
      </c>
      <c r="D24" s="36">
        <v>740.8</v>
      </c>
      <c r="E24" s="37">
        <v>616.979702</v>
      </c>
      <c r="F24" s="38">
        <v>0.832855969222462</v>
      </c>
      <c r="G24" s="37">
        <v>42.784328</v>
      </c>
      <c r="H24" s="37">
        <v>41.427891</v>
      </c>
      <c r="I24" s="37">
        <v>41.138456</v>
      </c>
      <c r="J24" s="37">
        <v>55.460039</v>
      </c>
      <c r="K24" s="37">
        <v>51.775343</v>
      </c>
      <c r="L24" s="37">
        <v>37.9741</v>
      </c>
      <c r="M24" s="37">
        <v>37.255528</v>
      </c>
      <c r="N24" s="37">
        <v>42.148129</v>
      </c>
      <c r="O24" s="37">
        <v>49.19572</v>
      </c>
      <c r="P24" s="37">
        <v>37.067361</v>
      </c>
      <c r="Q24" s="37">
        <v>121.855455</v>
      </c>
      <c r="R24" s="37">
        <v>58.897352</v>
      </c>
    </row>
    <row r="25" customHeight="1" spans="1:18">
      <c r="C25" s="34" t="s">
        <v>70</v>
      </c>
      <c r="D25" s="36">
        <v>528.61</v>
      </c>
      <c r="E25" s="37">
        <v>530.196631</v>
      </c>
      <c r="F25" s="38">
        <v>1.00300151529483</v>
      </c>
      <c r="G25" s="37">
        <v>42.32517</v>
      </c>
      <c r="H25" s="37">
        <v>41.387802</v>
      </c>
      <c r="I25" s="37">
        <v>40.402673</v>
      </c>
      <c r="J25" s="37">
        <v>54.232546</v>
      </c>
      <c r="K25" s="37">
        <v>43.613434</v>
      </c>
      <c r="L25" s="37">
        <v>36.302716</v>
      </c>
      <c r="M25" s="37">
        <v>36.36041</v>
      </c>
      <c r="N25" s="37">
        <v>36.974999</v>
      </c>
      <c r="O25" s="37">
        <v>43.456246</v>
      </c>
      <c r="P25" s="37">
        <v>35.424669</v>
      </c>
      <c r="Q25" s="37">
        <v>66.912655</v>
      </c>
      <c r="R25" s="37">
        <v>52.803311</v>
      </c>
    </row>
    <row r="26" customHeight="1" spans="1:18">
      <c r="C26" s="34" t="s">
        <v>72</v>
      </c>
      <c r="D26" s="36">
        <v>212.19</v>
      </c>
      <c r="E26" s="37">
        <v>86.783071</v>
      </c>
      <c r="F26" s="38">
        <v>0.408987563033131</v>
      </c>
      <c r="G26" s="37">
        <v>0.459158</v>
      </c>
      <c r="H26" s="37">
        <v>0.040089</v>
      </c>
      <c r="I26" s="37">
        <v>0.735783</v>
      </c>
      <c r="J26" s="37">
        <v>1.227493</v>
      </c>
      <c r="K26" s="37">
        <v>8.161909</v>
      </c>
      <c r="L26" s="37">
        <v>1.671384</v>
      </c>
      <c r="M26" s="37">
        <v>0.895118</v>
      </c>
      <c r="N26" s="37">
        <v>5.17313</v>
      </c>
      <c r="O26" s="37">
        <v>5.739474</v>
      </c>
      <c r="P26" s="37">
        <v>1.642692</v>
      </c>
      <c r="Q26" s="37">
        <v>54.9428</v>
      </c>
      <c r="R26" s="37">
        <v>6.094041</v>
      </c>
    </row>
    <row r="27" customHeight="1" spans="1:18">
      <c r="C27" s="28" t="s">
        <v>73</v>
      </c>
      <c r="D27" s="36">
        <v>2204.07</v>
      </c>
      <c r="E27" s="37">
        <v>1443.458633</v>
      </c>
      <c r="F27" s="38">
        <v>0.654905984383436</v>
      </c>
      <c r="G27" s="37">
        <v>3.75899</v>
      </c>
      <c r="H27" s="37">
        <v>5.4716</v>
      </c>
      <c r="I27" s="37">
        <v>12.058802</v>
      </c>
      <c r="J27" s="37">
        <v>5.654656</v>
      </c>
      <c r="K27" s="37">
        <v>9.39368</v>
      </c>
      <c r="L27" s="37">
        <v>6.026601</v>
      </c>
      <c r="M27" s="37">
        <v>9.327696</v>
      </c>
      <c r="N27" s="37">
        <v>131.413348</v>
      </c>
      <c r="O27" s="37">
        <v>218.636452</v>
      </c>
      <c r="P27" s="37">
        <v>30.390706</v>
      </c>
      <c r="Q27" s="37">
        <v>494.183513</v>
      </c>
      <c r="R27" s="37">
        <v>517.142589</v>
      </c>
    </row>
    <row r="28" customHeight="1" spans="1:18">
      <c r="C28" s="34" t="s">
        <v>75</v>
      </c>
      <c r="D28" s="36">
        <v>2204.07</v>
      </c>
      <c r="E28" s="37">
        <v>1443.458633</v>
      </c>
      <c r="F28" s="38">
        <v>0.654905984383436</v>
      </c>
      <c r="G28" s="37">
        <v>3.75899</v>
      </c>
      <c r="H28" s="37">
        <v>5.4716</v>
      </c>
      <c r="I28" s="37">
        <v>12.058802</v>
      </c>
      <c r="J28" s="37">
        <v>5.654656</v>
      </c>
      <c r="K28" s="37">
        <v>9.39368</v>
      </c>
      <c r="L28" s="37">
        <v>6.026601</v>
      </c>
      <c r="M28" s="37">
        <v>9.327696</v>
      </c>
      <c r="N28" s="37">
        <v>131.413348</v>
      </c>
      <c r="O28" s="37">
        <v>218.636452</v>
      </c>
      <c r="P28" s="37">
        <v>30.390706</v>
      </c>
      <c r="Q28" s="37">
        <v>494.183513</v>
      </c>
      <c r="R28" s="37">
        <v>517.142589</v>
      </c>
    </row>
    <row r="29" customHeight="1" spans="1:18">
      <c r="C29" s="34" t="s">
        <v>77</v>
      </c>
      <c r="D29" s="36">
        <v>0</v>
      </c>
      <c r="E29" s="37">
        <v>0</v>
      </c>
      <c r="F29" s="38">
        <v>0</v>
      </c>
      <c r="G29" s="37">
        <v>0</v>
      </c>
      <c r="H29" s="37">
        <v>0</v>
      </c>
      <c r="I29" s="37">
        <v>0</v>
      </c>
      <c r="J29" s="37">
        <v>0</v>
      </c>
      <c r="K29" s="37">
        <v>0</v>
      </c>
      <c r="L29" s="37">
        <v>0</v>
      </c>
      <c r="M29" s="37">
        <v>0</v>
      </c>
      <c r="N29" s="37">
        <v>0</v>
      </c>
      <c r="O29" s="37">
        <v>0</v>
      </c>
      <c r="P29" s="37">
        <v>0</v>
      </c>
      <c r="Q29" s="37">
        <v>0</v>
      </c>
      <c r="R29" s="37">
        <v>0</v>
      </c>
    </row>
    <row r="30" customHeight="1" spans="1:18">
      <c r="C30" s="28" t="s">
        <v>78</v>
      </c>
      <c r="D30" s="36">
        <v>1134</v>
      </c>
      <c r="E30" s="37">
        <v>353.649588</v>
      </c>
      <c r="F30" s="38">
        <v>0.311860306878307</v>
      </c>
      <c r="G30" s="37">
        <v>0</v>
      </c>
      <c r="H30" s="37">
        <v>2.929588</v>
      </c>
      <c r="I30" s="37">
        <v>3.66</v>
      </c>
      <c r="J30" s="37">
        <v>0</v>
      </c>
      <c r="K30" s="37">
        <v>36.25</v>
      </c>
      <c r="L30" s="37">
        <v>18.13</v>
      </c>
      <c r="M30" s="37">
        <v>26.51</v>
      </c>
      <c r="N30" s="37">
        <v>3.48</v>
      </c>
      <c r="O30" s="37">
        <v>121.39</v>
      </c>
      <c r="P30" s="37">
        <v>1.93</v>
      </c>
      <c r="Q30" s="37">
        <v>128.65</v>
      </c>
      <c r="R30" s="37">
        <v>10.72</v>
      </c>
    </row>
    <row r="31" customHeight="1" spans="1:18">
      <c r="C31" s="28" t="s">
        <v>80</v>
      </c>
      <c r="D31" s="36">
        <v>0.92</v>
      </c>
      <c r="E31" s="37">
        <v>0.578908333333333</v>
      </c>
      <c r="F31" s="38">
        <v>0.629248188405797</v>
      </c>
      <c r="G31" s="37">
        <v>0.57</v>
      </c>
      <c r="H31" s="37">
        <v>0.57</v>
      </c>
      <c r="I31" s="37">
        <v>0.5458</v>
      </c>
      <c r="J31" s="37">
        <v>0.5458</v>
      </c>
      <c r="K31" s="37">
        <v>0.5406</v>
      </c>
      <c r="L31" s="37">
        <v>0.5406</v>
      </c>
      <c r="M31" s="37">
        <v>0.5831</v>
      </c>
      <c r="N31" s="37">
        <v>0.5859</v>
      </c>
      <c r="O31" s="37">
        <v>0.5982</v>
      </c>
      <c r="P31" s="37">
        <v>0.6075</v>
      </c>
      <c r="Q31" s="37">
        <v>0.6141</v>
      </c>
      <c r="R31" s="37">
        <v>0.6453</v>
      </c>
    </row>
    <row r="32" customHeight="1" spans="1:18">
      <c r="C32" s="28" t="s">
        <v>81</v>
      </c>
      <c r="D32" s="36">
        <v>0.95</v>
      </c>
      <c r="E32" s="37">
        <v>0.790416666666667</v>
      </c>
      <c r="F32" s="38">
        <v>0.832017543859649</v>
      </c>
      <c r="G32" s="37">
        <v>0.9826</v>
      </c>
      <c r="H32" s="37">
        <v>0.19</v>
      </c>
      <c r="I32" s="37">
        <v>0.5178</v>
      </c>
      <c r="J32" s="37">
        <v>1</v>
      </c>
      <c r="K32" s="37">
        <v>0.9121</v>
      </c>
      <c r="L32" s="37">
        <v>0.9662</v>
      </c>
      <c r="M32" s="37">
        <v>1</v>
      </c>
      <c r="N32" s="37">
        <v>0.4163</v>
      </c>
      <c r="O32" s="37">
        <v>0.55</v>
      </c>
      <c r="P32" s="37">
        <v>1</v>
      </c>
      <c r="Q32" s="37">
        <v>0.95</v>
      </c>
      <c r="R32" s="37">
        <v>1</v>
      </c>
    </row>
    <row r="33" customHeight="1" spans="6:18">
      <c r="F33" s="26" t="s">
        <v>50</v>
      </c>
      <c r="G33" s="26" t="s">
        <v>108</v>
      </c>
      <c r="H33" s="26" t="s">
        <v>109</v>
      </c>
      <c r="I33" s="26" t="s">
        <v>110</v>
      </c>
      <c r="J33" s="26" t="s">
        <v>111</v>
      </c>
      <c r="K33" s="26" t="s">
        <v>112</v>
      </c>
      <c r="L33" s="26" t="s">
        <v>113</v>
      </c>
      <c r="M33" s="26" t="s">
        <v>114</v>
      </c>
      <c r="N33" s="26" t="s">
        <v>115</v>
      </c>
      <c r="O33" s="26" t="s">
        <v>116</v>
      </c>
      <c r="P33" s="26" t="s">
        <v>117</v>
      </c>
      <c r="Q33" s="26" t="s">
        <v>118</v>
      </c>
      <c r="R33" s="26" t="s">
        <v>119</v>
      </c>
    </row>
    <row r="34" customHeight="1" spans="6:18">
      <c r="F34" s="28" t="s">
        <v>63</v>
      </c>
      <c r="G34" s="39">
        <f t="array" ref="G34:R34">IF(COLUMN(G2:R2)&lt;=COLUMN(G2)+MATCH(填写页!$A$1,$G$1:$R$1,0)-1,G2:R2,NA())</f>
      </c>
      <c r="H34" s="39">
        <v>567.205236</v>
      </c>
      <c r="I34" s="39">
        <v>1148.022471</v>
      </c>
      <c r="J34" s="39">
        <v>0</v>
      </c>
      <c r="K34" s="39" t="e">
        <v>#N/A</v>
      </c>
      <c r="L34" s="39" t="e">
        <v>#N/A</v>
      </c>
      <c r="M34" s="39" t="e">
        <v>#N/A</v>
      </c>
      <c r="N34" s="39" t="e">
        <v>#N/A</v>
      </c>
      <c r="O34" s="39" t="e">
        <v>#N/A</v>
      </c>
      <c r="P34" s="39" t="e">
        <v>#N/A</v>
      </c>
      <c r="Q34" s="39" t="e">
        <v>#N/A</v>
      </c>
      <c r="R34" s="39" t="e">
        <v>#N/A</v>
      </c>
    </row>
    <row r="35" customHeight="1" spans="6:18">
      <c r="F35" s="28" t="s">
        <v>217</v>
      </c>
      <c r="G35" s="37">
        <f>G20</f>
      </c>
      <c r="H35" s="37">
        <f t="shared" ref="H35:R35" si="2">H20</f>
      </c>
      <c r="I35" s="37">
        <f t="shared" si="2"/>
      </c>
      <c r="J35" s="37">
        <f t="shared" si="2"/>
      </c>
      <c r="K35" s="37">
        <f t="shared" si="2"/>
      </c>
      <c r="L35" s="37">
        <f t="shared" si="2"/>
      </c>
      <c r="M35" s="37">
        <f t="shared" si="2"/>
      </c>
      <c r="N35" s="37">
        <f t="shared" si="2"/>
      </c>
      <c r="O35" s="37">
        <f t="shared" si="2"/>
      </c>
      <c r="P35" s="37">
        <f t="shared" si="2"/>
      </c>
      <c r="Q35" s="37">
        <f t="shared" si="2"/>
      </c>
      <c r="R35" s="37">
        <f t="shared" si="2"/>
      </c>
    </row>
    <row r="36" customHeight="1" spans="6:18">
      <c r="F36" s="28" t="s">
        <v>218</v>
      </c>
      <c r="G36" s="41">
        <f>VLOOKUP(填写页!$C$2,分解计划!$A:$N,COLUMN()-4,FALSE)</f>
      </c>
      <c r="H36" s="41">
        <f>VLOOKUP(填写页!$C$2,分解计划!$A:$N,COLUMN()-4,FALSE)</f>
      </c>
      <c r="I36" s="41">
        <f>VLOOKUP(填写页!$C$2,分解计划!$A:$N,COLUMN()-4,FALSE)</f>
      </c>
      <c r="J36" s="41">
        <f>VLOOKUP(填写页!$C$2,分解计划!$A:$N,COLUMN()-4,FALSE)</f>
      </c>
      <c r="K36" s="41">
        <f>VLOOKUP(填写页!$C$2,分解计划!$A:$N,COLUMN()-4,FALSE)</f>
      </c>
      <c r="L36" s="41">
        <f>VLOOKUP(填写页!$C$2,分解计划!$A:$N,COLUMN()-4,FALSE)</f>
      </c>
      <c r="M36" s="41">
        <f>VLOOKUP(填写页!$C$2,分解计划!$A:$N,COLUMN()-4,FALSE)</f>
      </c>
      <c r="N36" s="41">
        <f>VLOOKUP(填写页!$C$2,分解计划!$A:$N,COLUMN()-4,FALSE)</f>
      </c>
      <c r="O36" s="41">
        <f>VLOOKUP(填写页!$C$2,分解计划!$A:$N,COLUMN()-4,FALSE)</f>
      </c>
      <c r="P36" s="41">
        <f>VLOOKUP(填写页!$C$2,分解计划!$A:$N,COLUMN()-4,FALSE)</f>
      </c>
      <c r="Q36" s="41">
        <f>VLOOKUP(填写页!$C$2,分解计划!$A:$N,COLUMN()-4,FALSE)</f>
      </c>
      <c r="R36" s="41">
        <f>VLOOKUP(填写页!$C$2,分解计划!$A:$N,COLUMN()-4,FALSE)</f>
      </c>
    </row>
    <row r="37" customHeight="1" spans="6:18">
      <c r="G37" s="47"/>
    </row>
    <row r="39" customHeight="1" spans="6:18">
      <c r="F39" s="26" t="s">
        <v>50</v>
      </c>
      <c r="G39" s="26" t="s">
        <v>108</v>
      </c>
      <c r="H39" s="26" t="s">
        <v>109</v>
      </c>
      <c r="I39" s="26" t="s">
        <v>110</v>
      </c>
      <c r="J39" s="26" t="s">
        <v>111</v>
      </c>
      <c r="K39" s="26" t="s">
        <v>112</v>
      </c>
      <c r="L39" s="26" t="s">
        <v>113</v>
      </c>
      <c r="M39" s="26" t="s">
        <v>114</v>
      </c>
      <c r="N39" s="26" t="s">
        <v>115</v>
      </c>
      <c r="O39" s="26" t="s">
        <v>116</v>
      </c>
      <c r="P39" s="26" t="s">
        <v>117</v>
      </c>
      <c r="Q39" s="26" t="s">
        <v>118</v>
      </c>
      <c r="R39" s="26" t="s">
        <v>119</v>
      </c>
    </row>
    <row r="40" customHeight="1" spans="6:18">
      <c r="F40" s="28" t="s">
        <v>63</v>
      </c>
      <c r="G40" s="42">
        <f t="array" ref="G40:R40">IF(COLUMN(G2:R2)&lt;=COLUMN(G2)+MATCH(填写页!$A$1,$G$1:$R$1,0)-1,G2:R2,NA())</f>
      </c>
      <c r="H40" s="42">
        <v>567.205236</v>
      </c>
      <c r="I40" s="42">
        <v>1148.022471</v>
      </c>
      <c r="J40" s="42">
        <v>0</v>
      </c>
      <c r="K40" s="42" t="e">
        <v>#N/A</v>
      </c>
      <c r="L40" s="42" t="e">
        <v>#N/A</v>
      </c>
      <c r="M40" s="42" t="e">
        <v>#N/A</v>
      </c>
      <c r="N40" s="42" t="e">
        <v>#N/A</v>
      </c>
      <c r="O40" s="42" t="e">
        <v>#N/A</v>
      </c>
      <c r="P40" s="42" t="e">
        <v>#N/A</v>
      </c>
      <c r="Q40" s="42" t="e">
        <v>#N/A</v>
      </c>
      <c r="R40" s="42" t="e">
        <v>#N/A</v>
      </c>
    </row>
    <row r="41" customHeight="1" spans="6:18">
      <c r="F41" s="28" t="s">
        <v>214</v>
      </c>
      <c r="G41" s="42">
        <f t="array" ref="G41:R41">IF(COLUMN(G3:R3)&lt;=COLUMN(G3)+MATCH(填写页!$A$1,$G$1:$R$1,0)-1,G3:R3,NA())</f>
      </c>
      <c r="H41" s="42">
        <v>296.734368</v>
      </c>
      <c r="I41" s="42">
        <v>885.00292</v>
      </c>
      <c r="J41" s="42">
        <v>0</v>
      </c>
      <c r="K41" s="42" t="e">
        <v>#N/A</v>
      </c>
      <c r="L41" s="42" t="e">
        <v>#N/A</v>
      </c>
      <c r="M41" s="42" t="e">
        <v>#N/A</v>
      </c>
      <c r="N41" s="42" t="e">
        <v>#N/A</v>
      </c>
      <c r="O41" s="42" t="e">
        <v>#N/A</v>
      </c>
      <c r="P41" s="42" t="e">
        <v>#N/A</v>
      </c>
      <c r="Q41" s="42" t="e">
        <v>#N/A</v>
      </c>
      <c r="R41" s="42" t="e">
        <v>#N/A</v>
      </c>
    </row>
    <row r="42" customHeight="1" spans="6:18">
      <c r="F42" s="28" t="s">
        <v>65</v>
      </c>
      <c r="G42" s="42">
        <f t="array" ref="G42:R42">IF(COLUMN(G4:R4)&lt;=COLUMN(G4)+MATCH(填写页!$A$1,$G$1:$R$1,0)-1,G4:R4,NA())</f>
      </c>
      <c r="H42" s="42">
        <v>883.276996</v>
      </c>
      <c r="I42" s="42">
        <v>-715.535441</v>
      </c>
      <c r="J42" s="42">
        <v>0</v>
      </c>
      <c r="K42" s="42" t="e">
        <v>#N/A</v>
      </c>
      <c r="L42" s="42" t="e">
        <v>#N/A</v>
      </c>
      <c r="M42" s="42" t="e">
        <v>#N/A</v>
      </c>
      <c r="N42" s="42" t="e">
        <v>#N/A</v>
      </c>
      <c r="O42" s="42" t="e">
        <v>#N/A</v>
      </c>
      <c r="P42" s="42" t="e">
        <v>#N/A</v>
      </c>
      <c r="Q42" s="42" t="e">
        <v>#N/A</v>
      </c>
      <c r="R42" s="42" t="e">
        <v>#N/A</v>
      </c>
    </row>
    <row r="43" customHeight="1" spans="6:18">
      <c r="F43" s="28" t="s">
        <v>67</v>
      </c>
      <c r="G43" s="42">
        <f t="array" ref="G43:R43">IF(COLUMN(G5:R5)&lt;=COLUMN(G5)+MATCH(填写页!$A$1,$G$1:$R$1,0)-1,G5:R5,NA())</f>
      </c>
      <c r="H43" s="42">
        <v>43.40538</v>
      </c>
      <c r="I43" s="42">
        <v>50.429416</v>
      </c>
      <c r="J43" s="42">
        <v>0</v>
      </c>
      <c r="K43" s="42" t="e">
        <v>#N/A</v>
      </c>
      <c r="L43" s="42" t="e">
        <v>#N/A</v>
      </c>
      <c r="M43" s="42" t="e">
        <v>#N/A</v>
      </c>
      <c r="N43" s="42" t="e">
        <v>#N/A</v>
      </c>
      <c r="O43" s="42" t="e">
        <v>#N/A</v>
      </c>
      <c r="P43" s="42" t="e">
        <v>#N/A</v>
      </c>
      <c r="Q43" s="42" t="e">
        <v>#N/A</v>
      </c>
      <c r="R43" s="42" t="e">
        <v>#N/A</v>
      </c>
    </row>
    <row r="60" customHeight="1" spans="3:9">
      <c r="C60" s="43"/>
    </row>
    <row r="61" ht="212.05" customHeight="1" spans="3:9">
      <c r="C61" s="43"/>
      <c r="D61" s="43"/>
      <c r="E61" s="43"/>
      <c r="F61" s="43"/>
      <c r="G61" s="43"/>
      <c r="H61" s="43"/>
      <c r="I61" s="43"/>
    </row>
  </sheetData>
  <mergeCells count="4">
    <mergeCell ref="C61:I61"/>
    <mergeCell ref="A2:A4"/>
    <mergeCell ref="A5:A12"/>
    <mergeCell ref="A13:A18"/>
  </mergeCells>
  <pageMargins left="0.75" right="0.75" top="1" bottom="1" header="0.5" footer="0.5"/>
  <pageSetup paperSize="9" orientation="portrait"/>
  <headerFooter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68">
    <tabColor rgb="FF9CD2A4"/>
  </sheetPr>
  <dimension ref="A1:R61"/>
  <sheetViews>
    <sheetView topLeftCell="A37" workbookViewId="0">
      <selection activeCell="C61" sqref="C61:I61"/>
    </sheetView>
  </sheetViews>
  <sheetFormatPr defaultColWidth="19.6126126126126" defaultRowHeight="18" customHeight="1"/>
  <cols>
    <col min="1" max="1" width="9.61261261261261" style="25" customWidth="1"/>
    <col min="2" max="2" width="7.45945945945946" style="25" customWidth="1"/>
    <col min="3" max="3" width="19" style="25" customWidth="1"/>
    <col min="4" max="5" width="14.6126126126126" style="25" customWidth="1"/>
    <col min="6" max="6" width="9" style="25" customWidth="1"/>
    <col min="7" max="25" width="9.61261261261261" style="25" customWidth="1"/>
    <col min="26" max="16384" width="19.6126126126126" style="25"/>
  </cols>
  <sheetData>
    <row r="1" customHeight="1" spans="1:18">
      <c r="A1" s="26" t="s">
        <v>48</v>
      </c>
      <c r="B1" s="26" t="s">
        <v>49</v>
      </c>
      <c r="C1" s="26" t="s">
        <v>50</v>
      </c>
      <c r="D1" s="26" t="s">
        <v>128</v>
      </c>
      <c r="E1" s="26" t="s">
        <v>129</v>
      </c>
      <c r="F1" s="26" t="s">
        <v>213</v>
      </c>
      <c r="G1" s="26" t="s">
        <v>108</v>
      </c>
      <c r="H1" s="26" t="s">
        <v>109</v>
      </c>
      <c r="I1" s="26" t="s">
        <v>110</v>
      </c>
      <c r="J1" s="26" t="s">
        <v>111</v>
      </c>
      <c r="K1" s="26" t="s">
        <v>112</v>
      </c>
      <c r="L1" s="26" t="s">
        <v>113</v>
      </c>
      <c r="M1" s="26" t="s">
        <v>114</v>
      </c>
      <c r="N1" s="26" t="s">
        <v>115</v>
      </c>
      <c r="O1" s="26" t="s">
        <v>116</v>
      </c>
      <c r="P1" s="26" t="s">
        <v>117</v>
      </c>
      <c r="Q1" s="26" t="s">
        <v>118</v>
      </c>
      <c r="R1" s="26" t="s">
        <v>119</v>
      </c>
    </row>
    <row r="2" customHeight="1" spans="1:18">
      <c r="A2" s="27" t="s">
        <v>62</v>
      </c>
      <c r="B2" s="28">
        <v>1</v>
      </c>
      <c r="C2" s="28" t="s">
        <v>63</v>
      </c>
      <c r="D2" s="29">
        <f t="array" ref="D2:D18">INDEX(年度计划!E2:M18,,MATCH(填写页!C3,年度计划!E1:M1,0))</f>
      </c>
      <c r="E2" s="29">
        <f t="shared" ref="E2:E15" si="0">SUM(G2:R2)</f>
      </c>
      <c r="F2" s="30">
        <f t="shared" ref="F2:F18" si="1">IFERROR(MAX(1+(E2-D2)/ABS(D2),0),)</f>
      </c>
      <c r="G2" s="31">
        <v>51.84</v>
      </c>
      <c r="H2" s="31">
        <v>52.73</v>
      </c>
      <c r="I2" s="31">
        <v>53.12</v>
      </c>
      <c r="J2" s="31">
        <v>63.87</v>
      </c>
      <c r="K2" s="31"/>
      <c r="L2" s="31"/>
      <c r="M2" s="31"/>
      <c r="N2" s="31"/>
      <c r="O2" s="31"/>
      <c r="P2" s="31"/>
      <c r="Q2" s="31"/>
      <c r="R2" s="31"/>
    </row>
    <row r="3" customHeight="1" spans="1:18">
      <c r="A3" s="27"/>
      <c r="B3" s="28">
        <v>2</v>
      </c>
      <c r="C3" s="28" t="s">
        <v>214</v>
      </c>
      <c r="D3" s="29">
        <v>259.978429715222</v>
      </c>
      <c r="E3" s="29">
        <f t="shared" si="0"/>
      </c>
      <c r="F3" s="30">
        <f t="shared" si="1"/>
      </c>
      <c r="G3" s="31">
        <v>27.46000000000001</v>
      </c>
      <c r="H3" s="31">
        <v>29.789999999999992</v>
      </c>
      <c r="I3" s="31">
        <v>26.619999999999997</v>
      </c>
      <c r="J3" s="31">
        <v>37.16</v>
      </c>
      <c r="K3" s="31"/>
      <c r="L3" s="31"/>
      <c r="M3" s="31"/>
      <c r="N3" s="31"/>
      <c r="O3" s="31"/>
      <c r="P3" s="31"/>
      <c r="Q3" s="31"/>
      <c r="R3" s="31"/>
    </row>
    <row r="4" customHeight="1" spans="1:18">
      <c r="A4" s="27"/>
      <c r="B4" s="28">
        <v>3</v>
      </c>
      <c r="C4" s="28" t="s">
        <v>65</v>
      </c>
      <c r="D4" s="29">
        <v>296.47159212544</v>
      </c>
      <c r="E4" s="29">
        <f t="shared" si="0"/>
      </c>
      <c r="F4" s="30">
        <f t="shared" si="1"/>
      </c>
      <c r="G4" s="31">
        <v>142.94</v>
      </c>
      <c r="H4" s="31">
        <v>51.65</v>
      </c>
      <c r="I4" s="31">
        <v>63.12</v>
      </c>
      <c r="J4" s="31">
        <v>4.81</v>
      </c>
      <c r="K4" s="31"/>
      <c r="L4" s="31"/>
      <c r="M4" s="31"/>
      <c r="N4" s="31"/>
      <c r="O4" s="31"/>
      <c r="P4" s="31"/>
      <c r="Q4" s="31"/>
      <c r="R4" s="31"/>
    </row>
    <row r="5" customHeight="1" spans="1:18">
      <c r="A5" s="27" t="s">
        <v>66</v>
      </c>
      <c r="B5" s="28">
        <v>4</v>
      </c>
      <c r="C5" s="28" t="s">
        <v>215</v>
      </c>
      <c r="D5" s="29">
        <v>188.23</v>
      </c>
      <c r="E5" s="29">
        <f t="shared" si="0"/>
      </c>
      <c r="F5" s="30">
        <f t="shared" si="1"/>
      </c>
      <c r="G5" s="31">
        <v>10.86</v>
      </c>
      <c r="H5" s="31">
        <v>8.8</v>
      </c>
      <c r="I5" s="31">
        <v>10.790000000000001</v>
      </c>
      <c r="J5" s="31">
        <v>12.44</v>
      </c>
      <c r="K5" s="31">
        <v>0</v>
      </c>
      <c r="L5" s="31">
        <v>0</v>
      </c>
      <c r="M5" s="31">
        <v>0</v>
      </c>
      <c r="N5" s="31">
        <v>0</v>
      </c>
      <c r="O5" s="31">
        <v>0</v>
      </c>
      <c r="P5" s="31">
        <v>0</v>
      </c>
      <c r="Q5" s="31">
        <v>0</v>
      </c>
      <c r="R5" s="31">
        <v>0</v>
      </c>
    </row>
    <row r="6" customHeight="1" spans="1:18">
      <c r="A6" s="27"/>
      <c r="B6" s="28">
        <v>4.1</v>
      </c>
      <c r="C6" s="28" t="s">
        <v>68</v>
      </c>
      <c r="D6" s="32">
        <v>149.04</v>
      </c>
      <c r="E6" s="32">
        <f t="shared" si="0"/>
      </c>
      <c r="F6" s="33">
        <f t="shared" si="1"/>
      </c>
      <c r="G6" s="31">
        <v>8.739999999999998</v>
      </c>
      <c r="H6" s="31">
        <v>8.8</v>
      </c>
      <c r="I6" s="31">
        <v>9.22</v>
      </c>
      <c r="J6" s="31">
        <v>12.36</v>
      </c>
      <c r="K6" s="31">
        <v>0</v>
      </c>
      <c r="L6" s="31">
        <v>0</v>
      </c>
      <c r="M6" s="31">
        <v>0</v>
      </c>
      <c r="N6" s="31">
        <v>0</v>
      </c>
      <c r="O6" s="31">
        <v>0</v>
      </c>
      <c r="P6" s="31">
        <v>0</v>
      </c>
      <c r="Q6" s="31">
        <v>0</v>
      </c>
      <c r="R6" s="31">
        <v>0</v>
      </c>
    </row>
    <row r="7" customHeight="1" spans="1:18">
      <c r="A7" s="27"/>
      <c r="B7" s="28" t="s">
        <v>69</v>
      </c>
      <c r="C7" s="34" t="s">
        <v>70</v>
      </c>
      <c r="D7" s="32">
        <v>89.52</v>
      </c>
      <c r="E7" s="32">
        <f t="shared" si="0"/>
      </c>
      <c r="F7" s="33">
        <f t="shared" si="1"/>
      </c>
      <c r="G7" s="31">
        <v>6.35</v>
      </c>
      <c r="H7" s="31">
        <v>6.34</v>
      </c>
      <c r="I7" s="31">
        <v>6.4</v>
      </c>
      <c r="J7" s="31">
        <v>6.37</v>
      </c>
      <c r="K7" s="31">
        <v>0</v>
      </c>
      <c r="L7" s="31">
        <v>0</v>
      </c>
      <c r="M7" s="31">
        <v>0</v>
      </c>
      <c r="N7" s="31">
        <v>0</v>
      </c>
      <c r="O7" s="31">
        <v>0</v>
      </c>
      <c r="P7" s="31">
        <v>0</v>
      </c>
      <c r="Q7" s="31">
        <v>0</v>
      </c>
      <c r="R7" s="31">
        <v>0</v>
      </c>
    </row>
    <row r="8" customHeight="1" spans="1:18">
      <c r="A8" s="27"/>
      <c r="B8" s="28" t="s">
        <v>71</v>
      </c>
      <c r="C8" s="34" t="s">
        <v>72</v>
      </c>
      <c r="D8" s="32">
        <v>59.52</v>
      </c>
      <c r="E8" s="32">
        <f t="shared" si="0"/>
      </c>
      <c r="F8" s="33">
        <f t="shared" si="1"/>
      </c>
      <c r="G8" s="31">
        <v>2.4899999999999998</v>
      </c>
      <c r="H8" s="31">
        <v>2.46</v>
      </c>
      <c r="I8" s="31">
        <v>2.82</v>
      </c>
      <c r="J8" s="31">
        <v>5.99</v>
      </c>
      <c r="K8" s="31">
        <v>0</v>
      </c>
      <c r="L8" s="31">
        <v>0</v>
      </c>
      <c r="M8" s="31">
        <v>0</v>
      </c>
      <c r="N8" s="31">
        <v>0</v>
      </c>
      <c r="O8" s="31">
        <v>0</v>
      </c>
      <c r="P8" s="31">
        <v>0</v>
      </c>
      <c r="Q8" s="31">
        <v>0</v>
      </c>
      <c r="R8" s="31">
        <v>0</v>
      </c>
    </row>
    <row r="9" customHeight="1" spans="1:18">
      <c r="A9" s="27"/>
      <c r="B9" s="28">
        <v>4.2</v>
      </c>
      <c r="C9" s="28" t="s">
        <v>73</v>
      </c>
      <c r="D9" s="32">
        <v>39.19</v>
      </c>
      <c r="E9" s="32">
        <f t="shared" si="0"/>
      </c>
      <c r="F9" s="33">
        <f t="shared" si="1"/>
      </c>
      <c r="G9" s="31">
        <v>2.12</v>
      </c>
      <c r="H9" s="31">
        <v>0</v>
      </c>
      <c r="I9" s="31">
        <v>1.57</v>
      </c>
      <c r="J9" s="31">
        <v>0.08</v>
      </c>
      <c r="K9" s="31">
        <v>0</v>
      </c>
      <c r="L9" s="31">
        <v>0</v>
      </c>
      <c r="M9" s="31">
        <v>0</v>
      </c>
      <c r="N9" s="31">
        <v>0</v>
      </c>
      <c r="O9" s="31">
        <v>0</v>
      </c>
      <c r="P9" s="31">
        <v>0</v>
      </c>
      <c r="Q9" s="31">
        <v>0</v>
      </c>
      <c r="R9" s="31">
        <v>0</v>
      </c>
    </row>
    <row r="10" customHeight="1" spans="1:18">
      <c r="A10" s="27"/>
      <c r="B10" s="28" t="s">
        <v>74</v>
      </c>
      <c r="C10" s="34" t="s">
        <v>75</v>
      </c>
      <c r="D10" s="32">
        <v>39.19</v>
      </c>
      <c r="E10" s="32">
        <f t="shared" si="0"/>
      </c>
      <c r="F10" s="33">
        <f t="shared" si="1"/>
      </c>
      <c r="G10" s="31">
        <v>2.12</v>
      </c>
      <c r="H10" s="31">
        <v>0</v>
      </c>
      <c r="I10" s="31">
        <v>1.57</v>
      </c>
      <c r="J10" s="31">
        <v>0.08</v>
      </c>
      <c r="K10" s="31">
        <v>0</v>
      </c>
      <c r="L10" s="31">
        <v>0</v>
      </c>
      <c r="M10" s="31">
        <v>0</v>
      </c>
      <c r="N10" s="31">
        <v>0</v>
      </c>
      <c r="O10" s="31">
        <v>0</v>
      </c>
      <c r="P10" s="31">
        <v>0</v>
      </c>
      <c r="Q10" s="31">
        <v>0</v>
      </c>
      <c r="R10" s="31">
        <v>0</v>
      </c>
    </row>
    <row r="11" customHeight="1" spans="1:18">
      <c r="A11" s="27"/>
      <c r="B11" s="28" t="s">
        <v>76</v>
      </c>
      <c r="C11" s="34" t="s">
        <v>77</v>
      </c>
      <c r="D11" s="32">
        <v>0</v>
      </c>
      <c r="E11" s="32">
        <f t="shared" si="0"/>
      </c>
      <c r="F11" s="33">
        <f t="shared" si="1"/>
      </c>
      <c r="G11" s="31">
        <v>0</v>
      </c>
      <c r="H11" s="31">
        <v>0</v>
      </c>
      <c r="I11" s="31">
        <v>0</v>
      </c>
      <c r="J11" s="31">
        <v>0</v>
      </c>
      <c r="K11" s="31">
        <v>0</v>
      </c>
      <c r="L11" s="31">
        <v>0</v>
      </c>
      <c r="M11" s="31">
        <v>0</v>
      </c>
      <c r="N11" s="31">
        <v>0</v>
      </c>
      <c r="O11" s="31">
        <v>0</v>
      </c>
      <c r="P11" s="31">
        <v>0</v>
      </c>
      <c r="Q11" s="31">
        <v>0</v>
      </c>
      <c r="R11" s="31">
        <v>0</v>
      </c>
    </row>
    <row r="12" customHeight="1" spans="1:18">
      <c r="A12" s="27"/>
      <c r="B12" s="28">
        <v>5</v>
      </c>
      <c r="C12" s="28" t="s">
        <v>78</v>
      </c>
      <c r="D12" s="29">
        <v>79.6</v>
      </c>
      <c r="E12" s="29">
        <f t="shared" si="0"/>
      </c>
      <c r="F12" s="30">
        <f t="shared" si="1"/>
      </c>
      <c r="G12" s="31">
        <v>4.72</v>
      </c>
      <c r="H12" s="31">
        <v>3.48</v>
      </c>
      <c r="I12" s="31">
        <v>0</v>
      </c>
      <c r="J12" s="31">
        <v>0</v>
      </c>
      <c r="K12" s="31">
        <v>0</v>
      </c>
      <c r="L12" s="31">
        <v>0</v>
      </c>
      <c r="M12" s="31">
        <v>0</v>
      </c>
      <c r="N12" s="31">
        <v>0</v>
      </c>
      <c r="O12" s="31">
        <v>0</v>
      </c>
      <c r="P12" s="31">
        <v>0</v>
      </c>
      <c r="Q12" s="31">
        <v>0</v>
      </c>
      <c r="R12" s="31">
        <v>0</v>
      </c>
    </row>
    <row r="13" customHeight="1" spans="1:18">
      <c r="A13" s="27" t="s">
        <v>79</v>
      </c>
      <c r="B13" s="28">
        <v>6</v>
      </c>
      <c r="C13" s="28" t="s">
        <v>80</v>
      </c>
      <c r="D13" s="30">
        <v>0.7171</v>
      </c>
      <c r="E13" s="30">
        <f>AVERAGE(G13:R13)</f>
      </c>
      <c r="F13" s="30">
        <f t="shared" si="1"/>
      </c>
      <c r="G13" s="31">
        <v>0.715</v>
      </c>
      <c r="H13" s="31">
        <v>0.7308</v>
      </c>
      <c r="I13" s="31">
        <v>0.742</v>
      </c>
      <c r="J13" s="31">
        <v>0.7335</v>
      </c>
      <c r="K13" s="31"/>
      <c r="L13" s="31"/>
      <c r="M13" s="31"/>
      <c r="N13" s="31"/>
      <c r="O13" s="31"/>
      <c r="P13" s="31"/>
      <c r="Q13" s="31"/>
      <c r="R13" s="31"/>
    </row>
    <row r="14" customHeight="1" spans="1:18">
      <c r="A14" s="27"/>
      <c r="B14" s="28">
        <v>7</v>
      </c>
      <c r="C14" s="28" t="s">
        <v>81</v>
      </c>
      <c r="D14" s="30">
        <v>0.95</v>
      </c>
      <c r="E14" s="30">
        <f>AVERAGE(G14:R14)</f>
      </c>
      <c r="F14" s="30">
        <f t="shared" si="1"/>
      </c>
      <c r="G14" s="31">
        <v>1</v>
      </c>
      <c r="H14" s="31">
        <v>0.6565</v>
      </c>
      <c r="I14" s="31">
        <v>0.8889</v>
      </c>
      <c r="J14" s="31">
        <v>1</v>
      </c>
      <c r="K14" s="31"/>
      <c r="L14" s="31"/>
      <c r="M14" s="31"/>
      <c r="N14" s="31"/>
      <c r="O14" s="31"/>
      <c r="P14" s="31"/>
      <c r="Q14" s="31"/>
      <c r="R14" s="31"/>
    </row>
    <row r="15" customHeight="1" spans="1:18">
      <c r="A15" s="27"/>
      <c r="B15" s="28">
        <v>8</v>
      </c>
      <c r="C15" s="28" t="s">
        <v>82</v>
      </c>
      <c r="D15" s="29">
        <v>0</v>
      </c>
      <c r="E15" s="29">
        <f t="shared" si="0"/>
      </c>
      <c r="F15" s="30">
        <f t="shared" si="1"/>
      </c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</row>
    <row r="16" customHeight="1" spans="1:18">
      <c r="A16" s="27"/>
      <c r="B16" s="28">
        <v>9</v>
      </c>
      <c r="C16" s="28" t="s">
        <v>83</v>
      </c>
      <c r="D16" s="29">
        <v>0</v>
      </c>
      <c r="E16" s="29"/>
      <c r="F16" s="30">
        <f t="shared" si="1"/>
      </c>
      <c r="G16" s="31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</row>
    <row r="17" customHeight="1" spans="1:18">
      <c r="A17" s="27"/>
      <c r="B17" s="28">
        <v>10</v>
      </c>
      <c r="C17" s="28" t="s">
        <v>84</v>
      </c>
      <c r="D17" s="30">
        <v>0</v>
      </c>
      <c r="E17" s="30"/>
      <c r="F17" s="30">
        <f t="shared" si="1"/>
      </c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</row>
    <row r="18" customHeight="1" spans="1:18">
      <c r="A18" s="27"/>
      <c r="B18" s="28">
        <v>11</v>
      </c>
      <c r="C18" s="28" t="s">
        <v>85</v>
      </c>
      <c r="D18" s="30">
        <v>0</v>
      </c>
      <c r="E18" s="30"/>
      <c r="F18" s="30">
        <f t="shared" si="1"/>
      </c>
      <c r="G18" s="31"/>
      <c r="H18" s="31"/>
      <c r="I18" s="31"/>
      <c r="J18" s="31"/>
      <c r="K18" s="31"/>
      <c r="L18" s="31"/>
      <c r="M18" s="31"/>
      <c r="N18" s="31"/>
      <c r="O18" s="31"/>
      <c r="P18" s="31"/>
      <c r="Q18" s="31"/>
      <c r="R18" s="31"/>
    </row>
    <row r="19" customHeight="1" spans="1:18">
      <c r="C19" s="26" t="s">
        <v>216</v>
      </c>
      <c r="D19" s="26" t="s">
        <v>128</v>
      </c>
      <c r="E19" s="26" t="s">
        <v>129</v>
      </c>
      <c r="F19" s="26" t="s">
        <v>130</v>
      </c>
      <c r="G19" s="26" t="s">
        <v>108</v>
      </c>
      <c r="H19" s="26" t="s">
        <v>109</v>
      </c>
      <c r="I19" s="26" t="s">
        <v>110</v>
      </c>
      <c r="J19" s="26" t="s">
        <v>111</v>
      </c>
      <c r="K19" s="26" t="s">
        <v>112</v>
      </c>
      <c r="L19" s="26" t="s">
        <v>113</v>
      </c>
      <c r="M19" s="26" t="s">
        <v>114</v>
      </c>
      <c r="N19" s="26" t="s">
        <v>115</v>
      </c>
      <c r="O19" s="26" t="s">
        <v>116</v>
      </c>
      <c r="P19" s="26" t="s">
        <v>117</v>
      </c>
      <c r="Q19" s="26" t="s">
        <v>118</v>
      </c>
      <c r="R19" s="26" t="s">
        <v>119</v>
      </c>
    </row>
    <row r="20" customHeight="1" spans="1:18">
      <c r="C20" s="28" t="s">
        <v>63</v>
      </c>
      <c r="D20" s="36">
        <v>598.72</v>
      </c>
      <c r="E20" s="37">
        <v>744.72</v>
      </c>
      <c r="F20" s="38">
        <v>1.24385355424906</v>
      </c>
      <c r="G20" s="37">
        <v>49.42</v>
      </c>
      <c r="H20" s="37">
        <v>74.06</v>
      </c>
      <c r="I20" s="37">
        <v>50.16</v>
      </c>
      <c r="J20" s="37">
        <v>79.52</v>
      </c>
      <c r="K20" s="37">
        <v>51.64</v>
      </c>
      <c r="L20" s="37">
        <v>63.78</v>
      </c>
      <c r="M20" s="37">
        <v>51.24</v>
      </c>
      <c r="N20" s="37">
        <v>52.15</v>
      </c>
      <c r="O20" s="37">
        <v>77.91</v>
      </c>
      <c r="P20" s="37">
        <v>69.29</v>
      </c>
      <c r="Q20" s="37">
        <v>52.62</v>
      </c>
      <c r="R20" s="37">
        <v>72.93</v>
      </c>
    </row>
    <row r="21" customHeight="1" spans="1:18">
      <c r="C21" s="28" t="s">
        <v>214</v>
      </c>
      <c r="D21" s="36">
        <v>162.63</v>
      </c>
      <c r="E21" s="37">
        <v>400.88</v>
      </c>
      <c r="F21" s="38">
        <v>2.46498186066531</v>
      </c>
      <c r="G21" s="37">
        <v>17.57</v>
      </c>
      <c r="H21" s="37">
        <v>52</v>
      </c>
      <c r="I21" s="37">
        <v>26.04</v>
      </c>
      <c r="J21" s="37">
        <v>50.35</v>
      </c>
      <c r="K21" s="37">
        <v>11.92</v>
      </c>
      <c r="L21" s="37">
        <v>36.83</v>
      </c>
      <c r="M21" s="37">
        <v>24.38</v>
      </c>
      <c r="N21" s="37">
        <v>26.88</v>
      </c>
      <c r="O21" s="37">
        <v>52.72</v>
      </c>
      <c r="P21" s="37">
        <v>39.72</v>
      </c>
      <c r="Q21" s="37">
        <v>19.18</v>
      </c>
      <c r="R21" s="37">
        <v>43.29</v>
      </c>
    </row>
    <row r="22" customHeight="1" spans="1:18">
      <c r="C22" s="28" t="s">
        <v>65</v>
      </c>
      <c r="D22" s="36">
        <v>22.54</v>
      </c>
      <c r="E22" s="37">
        <v>217.62</v>
      </c>
      <c r="F22" s="38">
        <v>9.65483584738243</v>
      </c>
      <c r="G22" s="37">
        <v>-52.47</v>
      </c>
      <c r="H22" s="37">
        <v>42.33</v>
      </c>
      <c r="I22" s="37">
        <v>12.42</v>
      </c>
      <c r="J22" s="37">
        <v>11.66</v>
      </c>
      <c r="K22" s="37">
        <v>5.24</v>
      </c>
      <c r="L22" s="37">
        <v>85.36</v>
      </c>
      <c r="M22" s="37">
        <v>18.41</v>
      </c>
      <c r="N22" s="37">
        <v>50</v>
      </c>
      <c r="O22" s="37">
        <v>-0.36</v>
      </c>
      <c r="P22" s="37">
        <v>-24.21</v>
      </c>
      <c r="Q22" s="37">
        <v>56.09</v>
      </c>
      <c r="R22" s="37">
        <v>13.15</v>
      </c>
    </row>
    <row r="23" customHeight="1" spans="1:18">
      <c r="C23" s="28" t="s">
        <v>67</v>
      </c>
      <c r="D23" s="36">
        <v>252.2</v>
      </c>
      <c r="E23" s="37">
        <v>164.24</v>
      </c>
      <c r="F23" s="38">
        <v>0.651229183187946</v>
      </c>
      <c r="G23" s="37">
        <v>13.97</v>
      </c>
      <c r="H23" s="37">
        <v>8.34</v>
      </c>
      <c r="I23" s="37">
        <v>7.15</v>
      </c>
      <c r="J23" s="37">
        <v>14.58</v>
      </c>
      <c r="K23" s="37">
        <v>25.08</v>
      </c>
      <c r="L23" s="37">
        <v>12.55</v>
      </c>
      <c r="M23" s="37">
        <v>11.96</v>
      </c>
      <c r="N23" s="37">
        <v>10.44</v>
      </c>
      <c r="O23" s="37">
        <v>10.74</v>
      </c>
      <c r="P23" s="37">
        <v>15.02</v>
      </c>
      <c r="Q23" s="37">
        <v>19.2</v>
      </c>
      <c r="R23" s="37">
        <v>15.21</v>
      </c>
    </row>
    <row r="24" customHeight="1" spans="1:18">
      <c r="C24" s="28" t="s">
        <v>68</v>
      </c>
      <c r="D24" s="36">
        <v>165.66</v>
      </c>
      <c r="E24" s="37">
        <v>146.41</v>
      </c>
      <c r="F24" s="38">
        <v>0.883798140770253</v>
      </c>
      <c r="G24" s="37">
        <v>8.25</v>
      </c>
      <c r="H24" s="37">
        <v>10.69</v>
      </c>
      <c r="I24" s="37">
        <v>9.94</v>
      </c>
      <c r="J24" s="37">
        <v>13.65</v>
      </c>
      <c r="K24" s="37">
        <v>20.05</v>
      </c>
      <c r="L24" s="37">
        <v>8.52</v>
      </c>
      <c r="M24" s="37">
        <v>11.87</v>
      </c>
      <c r="N24" s="37">
        <v>8.33</v>
      </c>
      <c r="O24" s="37">
        <v>9.34</v>
      </c>
      <c r="P24" s="37">
        <v>14.76</v>
      </c>
      <c r="Q24" s="37">
        <v>17.89</v>
      </c>
      <c r="R24" s="37">
        <v>13.12</v>
      </c>
    </row>
    <row r="25" customHeight="1" spans="1:18">
      <c r="C25" s="34" t="s">
        <v>70</v>
      </c>
      <c r="D25" s="36">
        <v>91.92</v>
      </c>
      <c r="E25" s="37">
        <v>84.55</v>
      </c>
      <c r="F25" s="38">
        <v>0.919821583986075</v>
      </c>
      <c r="G25" s="37">
        <v>5.84</v>
      </c>
      <c r="H25" s="37">
        <v>5.98</v>
      </c>
      <c r="I25" s="37">
        <v>7.56</v>
      </c>
      <c r="J25" s="37">
        <v>6.06</v>
      </c>
      <c r="K25" s="37">
        <v>10.45</v>
      </c>
      <c r="L25" s="37">
        <v>6.14</v>
      </c>
      <c r="M25" s="37">
        <v>6.35</v>
      </c>
      <c r="N25" s="37">
        <v>6.41</v>
      </c>
      <c r="O25" s="37">
        <v>6.36</v>
      </c>
      <c r="P25" s="37">
        <v>6.44</v>
      </c>
      <c r="Q25" s="37">
        <v>10.56</v>
      </c>
      <c r="R25" s="37">
        <v>6.4</v>
      </c>
    </row>
    <row r="26" customHeight="1" spans="1:18">
      <c r="C26" s="34" t="s">
        <v>72</v>
      </c>
      <c r="D26" s="36">
        <v>73.74</v>
      </c>
      <c r="E26" s="37">
        <v>61.86</v>
      </c>
      <c r="F26" s="38">
        <v>0.838893409275834</v>
      </c>
      <c r="G26" s="37">
        <v>2.41</v>
      </c>
      <c r="H26" s="37">
        <v>4.71</v>
      </c>
      <c r="I26" s="37">
        <v>2.38</v>
      </c>
      <c r="J26" s="37">
        <v>7.59</v>
      </c>
      <c r="K26" s="37">
        <v>9.6</v>
      </c>
      <c r="L26" s="37">
        <v>2.38</v>
      </c>
      <c r="M26" s="37">
        <v>5.52</v>
      </c>
      <c r="N26" s="37">
        <v>1.92</v>
      </c>
      <c r="O26" s="37">
        <v>2.98</v>
      </c>
      <c r="P26" s="37">
        <v>8.32</v>
      </c>
      <c r="Q26" s="37">
        <v>7.33</v>
      </c>
      <c r="R26" s="37">
        <v>6.72</v>
      </c>
    </row>
    <row r="27" customHeight="1" spans="1:18">
      <c r="C27" s="28" t="s">
        <v>73</v>
      </c>
      <c r="D27" s="36">
        <v>86.54</v>
      </c>
      <c r="E27" s="37">
        <v>17.83</v>
      </c>
      <c r="F27" s="38">
        <v>0.206031892766351</v>
      </c>
      <c r="G27" s="37">
        <v>5.72</v>
      </c>
      <c r="H27" s="37">
        <v>-2.35</v>
      </c>
      <c r="I27" s="37">
        <v>-2.79</v>
      </c>
      <c r="J27" s="37">
        <v>0.93</v>
      </c>
      <c r="K27" s="37">
        <v>5.03</v>
      </c>
      <c r="L27" s="37">
        <v>4.03</v>
      </c>
      <c r="M27" s="37">
        <v>0.09</v>
      </c>
      <c r="N27" s="37">
        <v>2.11</v>
      </c>
      <c r="O27" s="37">
        <v>1.4</v>
      </c>
      <c r="P27" s="37">
        <v>0.26</v>
      </c>
      <c r="Q27" s="37">
        <v>1.31</v>
      </c>
      <c r="R27" s="37">
        <v>2.09</v>
      </c>
    </row>
    <row r="28" customHeight="1" spans="1:18">
      <c r="C28" s="34" t="s">
        <v>75</v>
      </c>
      <c r="D28" s="36">
        <v>86.54</v>
      </c>
      <c r="E28" s="37">
        <v>17.83</v>
      </c>
      <c r="F28" s="38">
        <v>0.206031892766351</v>
      </c>
      <c r="G28" s="37">
        <v>5.72</v>
      </c>
      <c r="H28" s="37">
        <v>-2.35</v>
      </c>
      <c r="I28" s="37">
        <v>-2.79</v>
      </c>
      <c r="J28" s="37">
        <v>0.93</v>
      </c>
      <c r="K28" s="37">
        <v>5.03</v>
      </c>
      <c r="L28" s="37">
        <v>4.03</v>
      </c>
      <c r="M28" s="37">
        <v>0.09</v>
      </c>
      <c r="N28" s="37">
        <v>2.11</v>
      </c>
      <c r="O28" s="37">
        <v>1.4</v>
      </c>
      <c r="P28" s="37">
        <v>0.26</v>
      </c>
      <c r="Q28" s="37">
        <v>1.31</v>
      </c>
      <c r="R28" s="37">
        <v>2.09</v>
      </c>
    </row>
    <row r="29" customHeight="1" spans="1:18">
      <c r="C29" s="34" t="s">
        <v>77</v>
      </c>
      <c r="D29" s="36">
        <v>0</v>
      </c>
      <c r="E29" s="37">
        <v>0</v>
      </c>
      <c r="F29" s="38">
        <v>0</v>
      </c>
      <c r="G29" s="37">
        <v>0</v>
      </c>
      <c r="H29" s="37">
        <v>0</v>
      </c>
      <c r="I29" s="37">
        <v>0</v>
      </c>
      <c r="J29" s="37">
        <v>0</v>
      </c>
      <c r="K29" s="37">
        <v>0</v>
      </c>
      <c r="L29" s="37">
        <v>0</v>
      </c>
      <c r="M29" s="37">
        <v>0</v>
      </c>
      <c r="N29" s="37">
        <v>0</v>
      </c>
      <c r="O29" s="37">
        <v>0</v>
      </c>
      <c r="P29" s="37">
        <v>0</v>
      </c>
      <c r="Q29" s="37">
        <v>0</v>
      </c>
      <c r="R29" s="37">
        <v>0</v>
      </c>
    </row>
    <row r="30" customHeight="1" spans="1:18">
      <c r="C30" s="28" t="s">
        <v>78</v>
      </c>
      <c r="D30" s="36">
        <v>46</v>
      </c>
      <c r="E30" s="37">
        <v>13.89</v>
      </c>
      <c r="F30" s="38">
        <v>0.30195652173913</v>
      </c>
      <c r="G30" s="37">
        <v>0</v>
      </c>
      <c r="H30" s="37">
        <v>0</v>
      </c>
      <c r="I30" s="37">
        <v>2.6</v>
      </c>
      <c r="J30" s="37">
        <v>0</v>
      </c>
      <c r="K30" s="37">
        <v>1</v>
      </c>
      <c r="L30" s="37">
        <v>0.8</v>
      </c>
      <c r="M30" s="37">
        <v>3.62</v>
      </c>
      <c r="N30" s="37">
        <v>0</v>
      </c>
      <c r="O30" s="37">
        <v>2.6</v>
      </c>
      <c r="P30" s="37">
        <v>1.09</v>
      </c>
      <c r="Q30" s="37">
        <v>0</v>
      </c>
      <c r="R30" s="37">
        <v>2.18</v>
      </c>
    </row>
    <row r="31" customHeight="1" spans="1:18">
      <c r="C31" s="28" t="s">
        <v>80</v>
      </c>
      <c r="D31" s="36">
        <v>0.76</v>
      </c>
      <c r="E31" s="37">
        <v>0.74615</v>
      </c>
      <c r="F31" s="38">
        <v>0.981776315789474</v>
      </c>
      <c r="G31" s="37">
        <v>0.7497</v>
      </c>
      <c r="H31" s="37">
        <v>0.7679</v>
      </c>
      <c r="I31" s="37">
        <v>0.7507</v>
      </c>
      <c r="J31" s="37">
        <v>0.7678</v>
      </c>
      <c r="K31" s="37">
        <v>0.7307</v>
      </c>
      <c r="L31" s="37">
        <v>0.7293</v>
      </c>
      <c r="M31" s="37">
        <v>0.7232</v>
      </c>
      <c r="N31" s="37">
        <v>0.7347</v>
      </c>
      <c r="O31" s="37">
        <v>0.7445</v>
      </c>
      <c r="P31" s="37">
        <v>0.7518</v>
      </c>
      <c r="Q31" s="37">
        <v>0.7487</v>
      </c>
      <c r="R31" s="37">
        <v>0.7548</v>
      </c>
    </row>
    <row r="32" customHeight="1" spans="1:18">
      <c r="C32" s="28" t="s">
        <v>81</v>
      </c>
      <c r="D32" s="36">
        <v>0.95</v>
      </c>
      <c r="E32" s="37">
        <v>0.693708333333333</v>
      </c>
      <c r="F32" s="38">
        <v>0.730219298245614</v>
      </c>
      <c r="G32" s="37">
        <v>0.929</v>
      </c>
      <c r="H32" s="37">
        <v>0.7172</v>
      </c>
      <c r="I32" s="37">
        <v>0.4798</v>
      </c>
      <c r="J32" s="37">
        <v>0.3038</v>
      </c>
      <c r="K32" s="37">
        <v>0.4446</v>
      </c>
      <c r="L32" s="37">
        <v>1</v>
      </c>
      <c r="M32" s="37">
        <v>1</v>
      </c>
      <c r="N32" s="37">
        <v>0.7272</v>
      </c>
      <c r="O32" s="37">
        <v>0.5699</v>
      </c>
      <c r="P32" s="37">
        <v>0.469</v>
      </c>
      <c r="Q32" s="37">
        <v>0.684</v>
      </c>
      <c r="R32" s="37">
        <v>1</v>
      </c>
    </row>
    <row r="33" customHeight="1" spans="6:18">
      <c r="F33" s="26" t="s">
        <v>50</v>
      </c>
      <c r="G33" s="26" t="s">
        <v>108</v>
      </c>
      <c r="H33" s="26" t="s">
        <v>109</v>
      </c>
      <c r="I33" s="26" t="s">
        <v>110</v>
      </c>
      <c r="J33" s="26" t="s">
        <v>111</v>
      </c>
      <c r="K33" s="26" t="s">
        <v>112</v>
      </c>
      <c r="L33" s="26" t="s">
        <v>113</v>
      </c>
      <c r="M33" s="26" t="s">
        <v>114</v>
      </c>
      <c r="N33" s="26" t="s">
        <v>115</v>
      </c>
      <c r="O33" s="26" t="s">
        <v>116</v>
      </c>
      <c r="P33" s="26" t="s">
        <v>117</v>
      </c>
      <c r="Q33" s="26" t="s">
        <v>118</v>
      </c>
      <c r="R33" s="26" t="s">
        <v>119</v>
      </c>
    </row>
    <row r="34" customHeight="1" spans="6:18">
      <c r="F34" s="28" t="s">
        <v>63</v>
      </c>
      <c r="G34" s="39">
        <f t="array" ref="G34:R34">IF(COLUMN(G2:R2)&lt;=COLUMN(G2)+MATCH(填写页!$A$1,$G$1:$R$1,0)-1,G2:R2,NA())</f>
      </c>
      <c r="H34" s="41">
        <v>52.73</v>
      </c>
      <c r="I34" s="41">
        <v>53.12</v>
      </c>
      <c r="J34" s="41">
        <v>0</v>
      </c>
      <c r="K34" s="41" t="e">
        <v>#N/A</v>
      </c>
      <c r="L34" s="41" t="e">
        <v>#N/A</v>
      </c>
      <c r="M34" s="41" t="e">
        <v>#N/A</v>
      </c>
      <c r="N34" s="41" t="e">
        <v>#N/A</v>
      </c>
      <c r="O34" s="41" t="e">
        <v>#N/A</v>
      </c>
      <c r="P34" s="41" t="e">
        <v>#N/A</v>
      </c>
      <c r="Q34" s="41" t="e">
        <v>#N/A</v>
      </c>
      <c r="R34" s="41" t="e">
        <v>#N/A</v>
      </c>
    </row>
    <row r="35" customHeight="1" spans="6:18">
      <c r="F35" s="28" t="s">
        <v>217</v>
      </c>
      <c r="G35" s="37">
        <f t="shared" ref="G35:R35" si="2">G20</f>
      </c>
      <c r="H35" s="37">
        <f t="shared" si="2"/>
      </c>
      <c r="I35" s="37">
        <f t="shared" si="2"/>
      </c>
      <c r="J35" s="37">
        <f t="shared" si="2"/>
      </c>
      <c r="K35" s="37">
        <f t="shared" si="2"/>
      </c>
      <c r="L35" s="37">
        <f t="shared" si="2"/>
      </c>
      <c r="M35" s="37">
        <f t="shared" si="2"/>
      </c>
      <c r="N35" s="37">
        <f t="shared" si="2"/>
      </c>
      <c r="O35" s="37">
        <f t="shared" si="2"/>
      </c>
      <c r="P35" s="37">
        <f t="shared" si="2"/>
      </c>
      <c r="Q35" s="37">
        <f t="shared" si="2"/>
      </c>
      <c r="R35" s="37">
        <f t="shared" si="2"/>
      </c>
    </row>
    <row r="36" customHeight="1" spans="6:18">
      <c r="F36" s="28" t="s">
        <v>218</v>
      </c>
      <c r="G36" s="41">
        <f>VLOOKUP(填写页!$C$3,分解计划!$A:$N,COLUMN()-4,FALSE)</f>
      </c>
      <c r="H36" s="41">
        <f>VLOOKUP(填写页!$C$3,分解计划!$A:$N,COLUMN()-4,FALSE)</f>
      </c>
      <c r="I36" s="41">
        <f>VLOOKUP(填写页!$C$3,分解计划!$A:$N,COLUMN()-4,FALSE)</f>
      </c>
      <c r="J36" s="41">
        <f>VLOOKUP(填写页!$C$3,分解计划!$A:$N,COLUMN()-4,FALSE)</f>
      </c>
      <c r="K36" s="41">
        <f>VLOOKUP(填写页!$C$3,分解计划!$A:$N,COLUMN()-4,FALSE)</f>
      </c>
      <c r="L36" s="41">
        <f>VLOOKUP(填写页!$C$3,分解计划!$A:$N,COLUMN()-4,FALSE)</f>
      </c>
      <c r="M36" s="41">
        <f>VLOOKUP(填写页!$C$3,分解计划!$A:$N,COLUMN()-4,FALSE)</f>
      </c>
      <c r="N36" s="41">
        <f>VLOOKUP(填写页!$C$3,分解计划!$A:$N,COLUMN()-4,FALSE)</f>
      </c>
      <c r="O36" s="41">
        <f>VLOOKUP(填写页!$C$3,分解计划!$A:$N,COLUMN()-4,FALSE)</f>
      </c>
      <c r="P36" s="41">
        <f>VLOOKUP(填写页!$C$3,分解计划!$A:$N,COLUMN()-4,FALSE)</f>
      </c>
      <c r="Q36" s="41">
        <f>VLOOKUP(填写页!$C$3,分解计划!$A:$N,COLUMN()-4,FALSE)</f>
      </c>
      <c r="R36" s="41">
        <f>VLOOKUP(填写页!$C$3,分解计划!$A:$N,COLUMN()-4,FALSE)</f>
      </c>
    </row>
    <row r="39" customHeight="1" spans="6:18">
      <c r="F39" s="26" t="s">
        <v>50</v>
      </c>
      <c r="G39" s="26" t="s">
        <v>108</v>
      </c>
      <c r="H39" s="26" t="s">
        <v>109</v>
      </c>
      <c r="I39" s="26" t="s">
        <v>110</v>
      </c>
      <c r="J39" s="26" t="s">
        <v>111</v>
      </c>
      <c r="K39" s="26" t="s">
        <v>112</v>
      </c>
      <c r="L39" s="26" t="s">
        <v>113</v>
      </c>
      <c r="M39" s="26" t="s">
        <v>114</v>
      </c>
      <c r="N39" s="26" t="s">
        <v>115</v>
      </c>
      <c r="O39" s="26" t="s">
        <v>116</v>
      </c>
      <c r="P39" s="26" t="s">
        <v>117</v>
      </c>
      <c r="Q39" s="26" t="s">
        <v>118</v>
      </c>
      <c r="R39" s="26" t="s">
        <v>119</v>
      </c>
    </row>
    <row r="40" customHeight="1" spans="6:18">
      <c r="F40" s="28" t="s">
        <v>63</v>
      </c>
      <c r="G40" s="42">
        <f t="array" ref="G40:R40">IF(COLUMN(G2:R2)&lt;=COLUMN(G2)+MATCH(填写页!$A$1,$G$1:$R$1,0)-1,G2:R2,NA())</f>
      </c>
      <c r="H40" s="42">
        <v>52.73</v>
      </c>
      <c r="I40" s="42">
        <v>53.12</v>
      </c>
      <c r="J40" s="42">
        <v>0</v>
      </c>
      <c r="K40" s="42" t="e">
        <v>#N/A</v>
      </c>
      <c r="L40" s="42" t="e">
        <v>#N/A</v>
      </c>
      <c r="M40" s="42" t="e">
        <v>#N/A</v>
      </c>
      <c r="N40" s="42" t="e">
        <v>#N/A</v>
      </c>
      <c r="O40" s="42" t="e">
        <v>#N/A</v>
      </c>
      <c r="P40" s="42" t="e">
        <v>#N/A</v>
      </c>
      <c r="Q40" s="42" t="e">
        <v>#N/A</v>
      </c>
      <c r="R40" s="42" t="e">
        <v>#N/A</v>
      </c>
    </row>
    <row r="41" customHeight="1" spans="6:18">
      <c r="F41" s="28" t="s">
        <v>214</v>
      </c>
      <c r="G41" s="42">
        <f t="array" ref="G41:R41">IF(COLUMN(G3:R3)&lt;=COLUMN(G3)+MATCH(填写页!$A$1,$G$1:$R$1,0)-1,G3:R3,NA())</f>
      </c>
      <c r="H41" s="42">
        <v>29.79</v>
      </c>
      <c r="I41" s="42">
        <v>26.62</v>
      </c>
      <c r="J41" s="42">
        <v>0</v>
      </c>
      <c r="K41" s="42" t="e">
        <v>#N/A</v>
      </c>
      <c r="L41" s="42" t="e">
        <v>#N/A</v>
      </c>
      <c r="M41" s="42" t="e">
        <v>#N/A</v>
      </c>
      <c r="N41" s="42" t="e">
        <v>#N/A</v>
      </c>
      <c r="O41" s="42" t="e">
        <v>#N/A</v>
      </c>
      <c r="P41" s="42" t="e">
        <v>#N/A</v>
      </c>
      <c r="Q41" s="42" t="e">
        <v>#N/A</v>
      </c>
      <c r="R41" s="42" t="e">
        <v>#N/A</v>
      </c>
    </row>
    <row r="42" customHeight="1" spans="6:18">
      <c r="F42" s="28" t="s">
        <v>65</v>
      </c>
      <c r="G42" s="42">
        <f t="array" ref="G42:R42">IF(COLUMN(G4:R4)&lt;=COLUMN(G4)+MATCH(填写页!$A$1,$G$1:$R$1,0)-1,G4:R4,NA())</f>
      </c>
      <c r="H42" s="42">
        <v>51.65</v>
      </c>
      <c r="I42" s="42">
        <v>63.12</v>
      </c>
      <c r="J42" s="42">
        <v>0</v>
      </c>
      <c r="K42" s="42" t="e">
        <v>#N/A</v>
      </c>
      <c r="L42" s="42" t="e">
        <v>#N/A</v>
      </c>
      <c r="M42" s="42" t="e">
        <v>#N/A</v>
      </c>
      <c r="N42" s="42" t="e">
        <v>#N/A</v>
      </c>
      <c r="O42" s="42" t="e">
        <v>#N/A</v>
      </c>
      <c r="P42" s="42" t="e">
        <v>#N/A</v>
      </c>
      <c r="Q42" s="42" t="e">
        <v>#N/A</v>
      </c>
      <c r="R42" s="42" t="e">
        <v>#N/A</v>
      </c>
    </row>
    <row r="43" customHeight="1" spans="6:18">
      <c r="F43" s="28" t="s">
        <v>67</v>
      </c>
      <c r="G43" s="42">
        <f t="array" ref="G43:R43">IF(COLUMN(G5:R5)&lt;=COLUMN(G5)+MATCH(填写页!$A$1,$G$1:$R$1,0)-1,G5:R5,NA())</f>
      </c>
      <c r="H43" s="42">
        <v>8.8</v>
      </c>
      <c r="I43" s="42">
        <v>10.79</v>
      </c>
      <c r="J43" s="42">
        <v>0</v>
      </c>
      <c r="K43" s="42" t="e">
        <v>#N/A</v>
      </c>
      <c r="L43" s="42" t="e">
        <v>#N/A</v>
      </c>
      <c r="M43" s="42" t="e">
        <v>#N/A</v>
      </c>
      <c r="N43" s="42" t="e">
        <v>#N/A</v>
      </c>
      <c r="O43" s="42" t="e">
        <v>#N/A</v>
      </c>
      <c r="P43" s="42" t="e">
        <v>#N/A</v>
      </c>
      <c r="Q43" s="42" t="e">
        <v>#N/A</v>
      </c>
      <c r="R43" s="42" t="e">
        <v>#N/A</v>
      </c>
    </row>
    <row r="60" customHeight="1" spans="3:9">
      <c r="C60" s="43"/>
    </row>
    <row r="61" ht="118" customHeight="1" spans="3:9">
      <c r="C61" s="43"/>
      <c r="D61" s="43"/>
      <c r="E61" s="43"/>
      <c r="F61" s="43"/>
      <c r="G61" s="43"/>
      <c r="H61" s="43"/>
      <c r="I61" s="43"/>
    </row>
  </sheetData>
  <mergeCells count="4">
    <mergeCell ref="C61:I61"/>
    <mergeCell ref="A2:A4"/>
    <mergeCell ref="A5:A12"/>
    <mergeCell ref="A13:A18"/>
  </mergeCells>
  <pageMargins left="0.75" right="0.75" top="1" bottom="1" header="0.5" footer="0.5"/>
  <pageSetup paperSize="9" orientation="portrait"/>
  <headerFooter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7">
    <tabColor rgb="FF9CD2A4"/>
  </sheetPr>
  <dimension ref="A1:R61"/>
  <sheetViews>
    <sheetView topLeftCell="A35" workbookViewId="0">
      <selection activeCell="C61" sqref="C61:I61"/>
    </sheetView>
  </sheetViews>
  <sheetFormatPr defaultColWidth="19.6126126126126" defaultRowHeight="18" customHeight="1"/>
  <cols>
    <col min="1" max="1" width="9.61261261261261" style="25" customWidth="1"/>
    <col min="2" max="2" width="7.45945945945946" style="25" customWidth="1"/>
    <col min="3" max="3" width="19" style="25" customWidth="1"/>
    <col min="4" max="5" width="14.6126126126126" style="25" customWidth="1"/>
    <col min="6" max="6" width="9" style="25" customWidth="1"/>
    <col min="7" max="25" width="9.61261261261261" style="25" customWidth="1"/>
    <col min="26" max="16384" width="19.6126126126126" style="25"/>
  </cols>
  <sheetData>
    <row r="1" customHeight="1" spans="1:18">
      <c r="A1" s="26" t="s">
        <v>48</v>
      </c>
      <c r="B1" s="26" t="s">
        <v>49</v>
      </c>
      <c r="C1" s="26" t="s">
        <v>50</v>
      </c>
      <c r="D1" s="26" t="s">
        <v>128</v>
      </c>
      <c r="E1" s="26" t="s">
        <v>129</v>
      </c>
      <c r="F1" s="26" t="s">
        <v>213</v>
      </c>
      <c r="G1" s="26" t="s">
        <v>108</v>
      </c>
      <c r="H1" s="26" t="s">
        <v>109</v>
      </c>
      <c r="I1" s="26" t="s">
        <v>110</v>
      </c>
      <c r="J1" s="26" t="s">
        <v>111</v>
      </c>
      <c r="K1" s="26" t="s">
        <v>112</v>
      </c>
      <c r="L1" s="26" t="s">
        <v>113</v>
      </c>
      <c r="M1" s="26" t="s">
        <v>114</v>
      </c>
      <c r="N1" s="26" t="s">
        <v>115</v>
      </c>
      <c r="O1" s="26" t="s">
        <v>116</v>
      </c>
      <c r="P1" s="26" t="s">
        <v>117</v>
      </c>
      <c r="Q1" s="26" t="s">
        <v>118</v>
      </c>
      <c r="R1" s="26" t="s">
        <v>119</v>
      </c>
    </row>
    <row r="2" customHeight="1" spans="1:18">
      <c r="A2" s="27" t="s">
        <v>62</v>
      </c>
      <c r="B2" s="28">
        <v>1</v>
      </c>
      <c r="C2" s="28" t="s">
        <v>63</v>
      </c>
      <c r="D2" s="29">
        <f t="array" ref="D2:D18">INDEX(年度计划!E2:M18,,MATCH(填写页!C4,年度计划!E1:M1,0))</f>
      </c>
      <c r="E2" s="29">
        <f t="shared" ref="E2:E15" si="0">SUM(G2:R2)</f>
      </c>
      <c r="F2" s="30">
        <f t="shared" ref="F2:F18" si="1">IFERROR(MAX(1+(E2-D2)/ABS(D2),0),)</f>
      </c>
      <c r="G2" s="31">
        <v>519.185934</v>
      </c>
      <c r="H2" s="31">
        <v>532.971536</v>
      </c>
      <c r="I2" s="31">
        <v>517.251925</v>
      </c>
      <c r="J2" s="31">
        <v>925.592213</v>
      </c>
      <c r="K2" s="31">
        <v>0</v>
      </c>
      <c r="L2" s="31">
        <v>0</v>
      </c>
      <c r="M2" s="31">
        <v>0</v>
      </c>
      <c r="N2" s="31">
        <v>0</v>
      </c>
      <c r="O2" s="31">
        <v>0</v>
      </c>
      <c r="P2" s="31">
        <v>0</v>
      </c>
      <c r="Q2" s="31">
        <v>0</v>
      </c>
      <c r="R2" s="31">
        <v>0</v>
      </c>
    </row>
    <row r="3" customHeight="1" spans="1:18">
      <c r="A3" s="27"/>
      <c r="B3" s="28">
        <v>2</v>
      </c>
      <c r="C3" s="28" t="s">
        <v>214</v>
      </c>
      <c r="D3" s="29">
        <v>4789.05</v>
      </c>
      <c r="E3" s="29">
        <f t="shared" si="0"/>
      </c>
      <c r="F3" s="30">
        <f t="shared" si="1"/>
      </c>
      <c r="G3" s="31">
        <v>390.207468</v>
      </c>
      <c r="H3" s="31">
        <v>411.250726</v>
      </c>
      <c r="I3" s="31">
        <v>392.543692</v>
      </c>
      <c r="J3" s="31">
        <v>544.20433</v>
      </c>
      <c r="K3" s="31">
        <v>0</v>
      </c>
      <c r="L3" s="31">
        <v>0</v>
      </c>
      <c r="M3" s="31">
        <v>0</v>
      </c>
      <c r="N3" s="31">
        <v>0</v>
      </c>
      <c r="O3" s="31">
        <v>0</v>
      </c>
      <c r="P3" s="31">
        <v>0</v>
      </c>
      <c r="Q3" s="31">
        <v>0</v>
      </c>
      <c r="R3" s="31">
        <v>0</v>
      </c>
    </row>
    <row r="4" customHeight="1" spans="1:18">
      <c r="A4" s="27"/>
      <c r="B4" s="28">
        <v>3</v>
      </c>
      <c r="C4" s="28" t="s">
        <v>65</v>
      </c>
      <c r="D4" s="29">
        <v>4232.71</v>
      </c>
      <c r="E4" s="29">
        <f t="shared" si="0"/>
      </c>
      <c r="F4" s="30">
        <f t="shared" si="1"/>
      </c>
      <c r="G4" s="31">
        <v>501.215726</v>
      </c>
      <c r="H4" s="31">
        <v>344.23802</v>
      </c>
      <c r="I4" s="31">
        <v>920.004337</v>
      </c>
      <c r="J4" s="31">
        <v>323.902081</v>
      </c>
      <c r="K4" s="31"/>
      <c r="L4" s="31"/>
      <c r="M4" s="31"/>
      <c r="N4" s="31"/>
      <c r="O4" s="31"/>
      <c r="P4" s="31"/>
      <c r="Q4" s="31"/>
      <c r="R4" s="31"/>
    </row>
    <row r="5" customHeight="1" spans="1:18">
      <c r="A5" s="27" t="s">
        <v>66</v>
      </c>
      <c r="B5" s="28">
        <v>4</v>
      </c>
      <c r="C5" s="28" t="s">
        <v>215</v>
      </c>
      <c r="D5" s="29">
        <v>823.59</v>
      </c>
      <c r="E5" s="29">
        <f t="shared" si="0"/>
      </c>
      <c r="F5" s="30">
        <f t="shared" si="1"/>
      </c>
      <c r="G5" s="31">
        <v>36.843094</v>
      </c>
      <c r="H5" s="31">
        <v>30.590467</v>
      </c>
      <c r="I5" s="31">
        <v>37.133258</v>
      </c>
      <c r="J5" s="31">
        <v>293.517091</v>
      </c>
      <c r="K5" s="31">
        <v>0</v>
      </c>
      <c r="L5" s="31">
        <v>0</v>
      </c>
      <c r="M5" s="31">
        <v>0</v>
      </c>
      <c r="N5" s="31">
        <v>0</v>
      </c>
      <c r="O5" s="31">
        <v>0</v>
      </c>
      <c r="P5" s="31">
        <v>0</v>
      </c>
      <c r="Q5" s="31">
        <v>0</v>
      </c>
      <c r="R5" s="31">
        <v>0</v>
      </c>
    </row>
    <row r="6" customHeight="1" spans="1:18">
      <c r="A6" s="27"/>
      <c r="B6" s="28">
        <v>4.1</v>
      </c>
      <c r="C6" s="28" t="s">
        <v>68</v>
      </c>
      <c r="D6" s="32">
        <v>750.54</v>
      </c>
      <c r="E6" s="32">
        <f t="shared" si="0"/>
      </c>
      <c r="F6" s="33">
        <f t="shared" si="1"/>
      </c>
      <c r="G6" s="31">
        <v>35.522094</v>
      </c>
      <c r="H6" s="31">
        <v>26.958767</v>
      </c>
      <c r="I6" s="31">
        <v>27.930338</v>
      </c>
      <c r="J6" s="31">
        <v>293.040351</v>
      </c>
      <c r="K6" s="31">
        <v>0</v>
      </c>
      <c r="L6" s="31">
        <v>0</v>
      </c>
      <c r="M6" s="31">
        <v>0</v>
      </c>
      <c r="N6" s="31">
        <v>0</v>
      </c>
      <c r="O6" s="31">
        <v>0</v>
      </c>
      <c r="P6" s="31">
        <v>0</v>
      </c>
      <c r="Q6" s="31">
        <v>0</v>
      </c>
      <c r="R6" s="31">
        <v>0</v>
      </c>
    </row>
    <row r="7" customHeight="1" spans="1:18">
      <c r="A7" s="27"/>
      <c r="B7" s="28" t="s">
        <v>69</v>
      </c>
      <c r="C7" s="34" t="s">
        <v>70</v>
      </c>
      <c r="D7" s="32">
        <v>295.69</v>
      </c>
      <c r="E7" s="32">
        <f t="shared" si="0"/>
      </c>
      <c r="F7" s="33">
        <f t="shared" si="1"/>
      </c>
      <c r="G7" s="31">
        <v>22.264558</v>
      </c>
      <c r="H7" s="31">
        <v>22.38943</v>
      </c>
      <c r="I7" s="31">
        <v>22.990727</v>
      </c>
      <c r="J7" s="31">
        <v>21.718834</v>
      </c>
      <c r="K7" s="31">
        <v>0</v>
      </c>
      <c r="L7" s="31">
        <v>0</v>
      </c>
      <c r="M7" s="31">
        <v>0</v>
      </c>
      <c r="N7" s="31">
        <v>0</v>
      </c>
      <c r="O7" s="31">
        <v>0</v>
      </c>
      <c r="P7" s="31">
        <v>0</v>
      </c>
      <c r="Q7" s="31">
        <v>0</v>
      </c>
      <c r="R7" s="31">
        <v>0</v>
      </c>
    </row>
    <row r="8" customHeight="1" spans="1:18">
      <c r="A8" s="27"/>
      <c r="B8" s="28" t="s">
        <v>71</v>
      </c>
      <c r="C8" s="34" t="s">
        <v>72</v>
      </c>
      <c r="D8" s="32">
        <v>454.85</v>
      </c>
      <c r="E8" s="32">
        <f t="shared" si="0"/>
      </c>
      <c r="F8" s="33">
        <f t="shared" si="1"/>
      </c>
      <c r="G8" s="31">
        <v>13.257536</v>
      </c>
      <c r="H8" s="31">
        <v>4.569337</v>
      </c>
      <c r="I8" s="31">
        <v>4.939611</v>
      </c>
      <c r="J8" s="31">
        <v>271.321517</v>
      </c>
      <c r="K8" s="31">
        <v>0</v>
      </c>
      <c r="L8" s="31">
        <v>0</v>
      </c>
      <c r="M8" s="31">
        <v>0</v>
      </c>
      <c r="N8" s="31">
        <v>0</v>
      </c>
      <c r="O8" s="31">
        <v>0</v>
      </c>
      <c r="P8" s="31">
        <v>0</v>
      </c>
      <c r="Q8" s="31">
        <v>0</v>
      </c>
      <c r="R8" s="31">
        <v>0</v>
      </c>
    </row>
    <row r="9" customHeight="1" spans="1:18">
      <c r="A9" s="27"/>
      <c r="B9" s="28">
        <v>4.2</v>
      </c>
      <c r="C9" s="28" t="s">
        <v>73</v>
      </c>
      <c r="D9" s="32">
        <v>73.05</v>
      </c>
      <c r="E9" s="32">
        <f t="shared" si="0"/>
      </c>
      <c r="F9" s="33">
        <f t="shared" si="1"/>
      </c>
      <c r="G9" s="31">
        <v>1.321</v>
      </c>
      <c r="H9" s="31">
        <v>3.6317</v>
      </c>
      <c r="I9" s="31">
        <v>9.20292</v>
      </c>
      <c r="J9" s="31">
        <v>0.47674</v>
      </c>
      <c r="K9" s="31">
        <v>0</v>
      </c>
      <c r="L9" s="31">
        <v>0</v>
      </c>
      <c r="M9" s="31">
        <v>0</v>
      </c>
      <c r="N9" s="31">
        <v>0</v>
      </c>
      <c r="O9" s="31">
        <v>0</v>
      </c>
      <c r="P9" s="31">
        <v>0</v>
      </c>
      <c r="Q9" s="31">
        <v>0</v>
      </c>
      <c r="R9" s="31">
        <v>0</v>
      </c>
    </row>
    <row r="10" customHeight="1" spans="1:18">
      <c r="A10" s="27"/>
      <c r="B10" s="28" t="s">
        <v>74</v>
      </c>
      <c r="C10" s="34" t="s">
        <v>75</v>
      </c>
      <c r="D10" s="32">
        <v>73.05</v>
      </c>
      <c r="E10" s="32">
        <f t="shared" si="0"/>
      </c>
      <c r="F10" s="33">
        <f t="shared" si="1"/>
      </c>
      <c r="G10" s="31">
        <v>1.321</v>
      </c>
      <c r="H10" s="31">
        <v>3.6317</v>
      </c>
      <c r="I10" s="31">
        <v>9.20292</v>
      </c>
      <c r="J10" s="31">
        <v>0.47674</v>
      </c>
      <c r="K10" s="31">
        <v>0</v>
      </c>
      <c r="L10" s="31">
        <v>0</v>
      </c>
      <c r="M10" s="31">
        <v>0</v>
      </c>
      <c r="N10" s="31">
        <v>0</v>
      </c>
      <c r="O10" s="31">
        <v>0</v>
      </c>
      <c r="P10" s="31">
        <v>0</v>
      </c>
      <c r="Q10" s="31">
        <v>0</v>
      </c>
      <c r="R10" s="31">
        <v>0</v>
      </c>
    </row>
    <row r="11" customHeight="1" spans="1:18">
      <c r="A11" s="27"/>
      <c r="B11" s="28" t="s">
        <v>76</v>
      </c>
      <c r="C11" s="34" t="s">
        <v>77</v>
      </c>
      <c r="D11" s="32">
        <v>0</v>
      </c>
      <c r="E11" s="32">
        <f t="shared" si="0"/>
      </c>
      <c r="F11" s="33">
        <f t="shared" si="1"/>
      </c>
      <c r="G11" s="31">
        <v>0</v>
      </c>
      <c r="H11" s="31">
        <v>0</v>
      </c>
      <c r="I11" s="31">
        <v>0</v>
      </c>
      <c r="J11" s="31">
        <v>0</v>
      </c>
      <c r="K11" s="31">
        <v>0</v>
      </c>
      <c r="L11" s="31">
        <v>0</v>
      </c>
      <c r="M11" s="31">
        <v>0</v>
      </c>
      <c r="N11" s="31">
        <v>0</v>
      </c>
      <c r="O11" s="31">
        <v>0</v>
      </c>
      <c r="P11" s="31">
        <v>0</v>
      </c>
      <c r="Q11" s="31">
        <v>0</v>
      </c>
      <c r="R11" s="31">
        <v>0</v>
      </c>
    </row>
    <row r="12" customHeight="1" spans="1:18">
      <c r="A12" s="27"/>
      <c r="B12" s="28">
        <v>5</v>
      </c>
      <c r="C12" s="28" t="s">
        <v>78</v>
      </c>
      <c r="D12" s="29">
        <v>226.85</v>
      </c>
      <c r="E12" s="29">
        <f t="shared" si="0"/>
      </c>
      <c r="F12" s="30">
        <f t="shared" si="1"/>
      </c>
      <c r="G12" s="31">
        <v>0</v>
      </c>
      <c r="H12" s="31">
        <v>0</v>
      </c>
      <c r="I12" s="31">
        <v>0</v>
      </c>
      <c r="J12" s="31">
        <v>0</v>
      </c>
      <c r="K12" s="31">
        <v>0</v>
      </c>
      <c r="L12" s="31">
        <v>0</v>
      </c>
      <c r="M12" s="31">
        <v>0</v>
      </c>
      <c r="N12" s="31">
        <v>0</v>
      </c>
      <c r="O12" s="31">
        <v>0</v>
      </c>
      <c r="P12" s="31">
        <v>0</v>
      </c>
      <c r="Q12" s="31">
        <v>0</v>
      </c>
      <c r="R12" s="31">
        <v>0</v>
      </c>
    </row>
    <row r="13" customHeight="1" spans="1:18">
      <c r="A13" s="27" t="s">
        <v>79</v>
      </c>
      <c r="B13" s="28">
        <v>6</v>
      </c>
      <c r="C13" s="28" t="s">
        <v>80</v>
      </c>
      <c r="D13" s="30">
        <v>0.5715</v>
      </c>
      <c r="E13" s="30">
        <f>AVERAGE(G13:R13)</f>
      </c>
      <c r="F13" s="30">
        <f t="shared" si="1"/>
      </c>
      <c r="G13" s="31">
        <v>0.551157140536193</v>
      </c>
      <c r="H13" s="31">
        <v>0.551157140536193</v>
      </c>
      <c r="I13" s="31">
        <v>0.560225552267074</v>
      </c>
      <c r="J13" s="31">
        <v>0.569504522873208</v>
      </c>
      <c r="K13" s="31"/>
      <c r="L13" s="31"/>
      <c r="M13" s="31"/>
      <c r="N13" s="31"/>
      <c r="O13" s="31"/>
      <c r="P13" s="31"/>
      <c r="Q13" s="31"/>
      <c r="R13" s="31"/>
    </row>
    <row r="14" customHeight="1" spans="1:18">
      <c r="A14" s="27"/>
      <c r="B14" s="28">
        <v>7</v>
      </c>
      <c r="C14" s="28" t="s">
        <v>81</v>
      </c>
      <c r="D14" s="30">
        <v>0.95</v>
      </c>
      <c r="E14" s="30">
        <f>AVERAGE(G14:R14)</f>
      </c>
      <c r="F14" s="30">
        <f t="shared" si="1"/>
      </c>
      <c r="G14" s="31">
        <v>0.814399996567499</v>
      </c>
      <c r="H14" s="31">
        <v>0.700450876937936</v>
      </c>
      <c r="I14" s="31">
        <v>0.954530125404293</v>
      </c>
      <c r="J14" s="31">
        <v>0.960882981060045</v>
      </c>
      <c r="K14" s="31"/>
      <c r="L14" s="31"/>
      <c r="M14" s="31"/>
      <c r="N14" s="31"/>
      <c r="O14" s="31"/>
      <c r="P14" s="31"/>
      <c r="Q14" s="31"/>
      <c r="R14" s="31"/>
    </row>
    <row r="15" customHeight="1" spans="1:18">
      <c r="A15" s="27"/>
      <c r="B15" s="28">
        <v>8</v>
      </c>
      <c r="C15" s="28" t="s">
        <v>82</v>
      </c>
      <c r="D15" s="29">
        <v>0</v>
      </c>
      <c r="E15" s="29">
        <f t="shared" si="0"/>
      </c>
      <c r="F15" s="30">
        <f t="shared" si="1"/>
      </c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</row>
    <row r="16" customHeight="1" spans="1:18">
      <c r="A16" s="27"/>
      <c r="B16" s="28">
        <v>9</v>
      </c>
      <c r="C16" s="28" t="s">
        <v>83</v>
      </c>
      <c r="D16" s="29">
        <v>0</v>
      </c>
      <c r="E16" s="29"/>
      <c r="F16" s="30">
        <f t="shared" si="1"/>
      </c>
      <c r="G16" s="31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</row>
    <row r="17" customHeight="1" spans="1:18">
      <c r="A17" s="27"/>
      <c r="B17" s="28">
        <v>10</v>
      </c>
      <c r="C17" s="28" t="s">
        <v>84</v>
      </c>
      <c r="D17" s="30">
        <v>0</v>
      </c>
      <c r="E17" s="30"/>
      <c r="F17" s="30">
        <f t="shared" si="1"/>
      </c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</row>
    <row r="18" customHeight="1" spans="1:18">
      <c r="A18" s="27"/>
      <c r="B18" s="28">
        <v>11</v>
      </c>
      <c r="C18" s="28" t="s">
        <v>85</v>
      </c>
      <c r="D18" s="30">
        <v>0</v>
      </c>
      <c r="E18" s="30"/>
      <c r="F18" s="30">
        <f t="shared" si="1"/>
      </c>
      <c r="G18" s="31"/>
      <c r="H18" s="31"/>
      <c r="I18" s="31"/>
      <c r="J18" s="31"/>
      <c r="K18" s="31"/>
      <c r="L18" s="31"/>
      <c r="M18" s="31"/>
      <c r="N18" s="31"/>
      <c r="O18" s="31"/>
      <c r="P18" s="31"/>
      <c r="Q18" s="31"/>
      <c r="R18" s="31"/>
    </row>
    <row r="19" customHeight="1" spans="1:18">
      <c r="C19" s="35" t="s">
        <v>216</v>
      </c>
      <c r="D19" s="35" t="s">
        <v>128</v>
      </c>
      <c r="E19" s="35" t="s">
        <v>129</v>
      </c>
      <c r="F19" s="35" t="s">
        <v>130</v>
      </c>
      <c r="G19" s="35" t="s">
        <v>108</v>
      </c>
      <c r="H19" s="35" t="s">
        <v>109</v>
      </c>
      <c r="I19" s="35" t="s">
        <v>110</v>
      </c>
      <c r="J19" s="35" t="s">
        <v>111</v>
      </c>
      <c r="K19" s="35" t="s">
        <v>112</v>
      </c>
      <c r="L19" s="35" t="s">
        <v>113</v>
      </c>
      <c r="M19" s="35" t="s">
        <v>114</v>
      </c>
      <c r="N19" s="35" t="s">
        <v>115</v>
      </c>
      <c r="O19" s="35" t="s">
        <v>116</v>
      </c>
      <c r="P19" s="35" t="s">
        <v>117</v>
      </c>
      <c r="Q19" s="35" t="s">
        <v>118</v>
      </c>
      <c r="R19" s="35" t="s">
        <v>119</v>
      </c>
    </row>
    <row r="20" customHeight="1" spans="1:18">
      <c r="C20" s="28" t="s">
        <v>63</v>
      </c>
      <c r="D20" s="36">
        <v>6800.17</v>
      </c>
      <c r="E20" s="37">
        <v>6811.244216</v>
      </c>
      <c r="F20" s="38">
        <v>1.00162852046346</v>
      </c>
      <c r="G20" s="37">
        <v>572.837086</v>
      </c>
      <c r="H20" s="37">
        <v>565.304031</v>
      </c>
      <c r="I20" s="37">
        <v>575.663609</v>
      </c>
      <c r="J20" s="37">
        <v>577.571872</v>
      </c>
      <c r="K20" s="37">
        <v>580.973935</v>
      </c>
      <c r="L20" s="37">
        <v>593.948499</v>
      </c>
      <c r="M20" s="37">
        <v>552.751057</v>
      </c>
      <c r="N20" s="37">
        <v>564.042367</v>
      </c>
      <c r="O20" s="37">
        <v>577.223151</v>
      </c>
      <c r="P20" s="37">
        <v>533.705821</v>
      </c>
      <c r="Q20" s="37">
        <v>555.615577</v>
      </c>
      <c r="R20" s="37">
        <v>561.607211</v>
      </c>
    </row>
    <row r="21" customHeight="1" spans="1:18">
      <c r="C21" s="28" t="s">
        <v>214</v>
      </c>
      <c r="D21" s="36">
        <v>4860.39</v>
      </c>
      <c r="E21" s="37">
        <v>5267.643154</v>
      </c>
      <c r="F21" s="38">
        <v>1.08379022136084</v>
      </c>
      <c r="G21" s="37">
        <v>441.682307</v>
      </c>
      <c r="H21" s="37">
        <v>439.696602</v>
      </c>
      <c r="I21" s="37">
        <v>462.936401</v>
      </c>
      <c r="J21" s="37">
        <v>448.573989</v>
      </c>
      <c r="K21" s="37">
        <v>446.428309</v>
      </c>
      <c r="L21" s="37">
        <v>467.592235</v>
      </c>
      <c r="M21" s="37">
        <v>427.936736</v>
      </c>
      <c r="N21" s="37">
        <v>437.110056</v>
      </c>
      <c r="O21" s="37">
        <v>458.53609</v>
      </c>
      <c r="P21" s="37">
        <v>389.134048</v>
      </c>
      <c r="Q21" s="37">
        <v>431.92653</v>
      </c>
      <c r="R21" s="37">
        <v>416.089851</v>
      </c>
    </row>
    <row r="22" customHeight="1" spans="1:18">
      <c r="C22" s="28" t="s">
        <v>65</v>
      </c>
      <c r="D22" s="36">
        <v>5217.67</v>
      </c>
      <c r="E22" s="37">
        <v>4693.55394</v>
      </c>
      <c r="F22" s="38">
        <v>0.899549787548849</v>
      </c>
      <c r="G22" s="37">
        <v>457.766361</v>
      </c>
      <c r="H22" s="37">
        <v>397.989811</v>
      </c>
      <c r="I22" s="37">
        <v>733.167039</v>
      </c>
      <c r="J22" s="37">
        <v>163.761601</v>
      </c>
      <c r="K22" s="37">
        <v>355.01737</v>
      </c>
      <c r="L22" s="37">
        <v>700.845061</v>
      </c>
      <c r="M22" s="37">
        <v>99.7473290000001</v>
      </c>
      <c r="N22" s="37">
        <v>452.953949</v>
      </c>
      <c r="O22" s="37">
        <v>638.10657</v>
      </c>
      <c r="P22" s="37">
        <v>-52.592844</v>
      </c>
      <c r="Q22" s="37">
        <v>385.602978</v>
      </c>
      <c r="R22" s="37">
        <v>361.188715</v>
      </c>
    </row>
    <row r="23" customHeight="1" spans="1:18">
      <c r="C23" s="28" t="s">
        <v>67</v>
      </c>
      <c r="D23" s="36">
        <v>835.83</v>
      </c>
      <c r="E23" s="37">
        <v>444.852098</v>
      </c>
      <c r="F23" s="38">
        <v>0.532227962623979</v>
      </c>
      <c r="G23" s="37">
        <v>34.039785</v>
      </c>
      <c r="H23" s="37">
        <v>32.449705</v>
      </c>
      <c r="I23" s="37">
        <v>29.859678</v>
      </c>
      <c r="J23" s="37">
        <v>33.51014</v>
      </c>
      <c r="K23" s="37">
        <v>40.082846</v>
      </c>
      <c r="L23" s="37">
        <v>35.257505</v>
      </c>
      <c r="M23" s="37">
        <v>32.304781</v>
      </c>
      <c r="N23" s="37">
        <v>32.287317</v>
      </c>
      <c r="O23" s="37">
        <v>41.870843</v>
      </c>
      <c r="P23" s="37">
        <v>51.132129</v>
      </c>
      <c r="Q23" s="37">
        <v>32.889669</v>
      </c>
      <c r="R23" s="37">
        <v>49.1677</v>
      </c>
    </row>
    <row r="24" customHeight="1" spans="1:18">
      <c r="C24" s="28" t="s">
        <v>68</v>
      </c>
      <c r="D24" s="36">
        <v>713.28</v>
      </c>
      <c r="E24" s="37">
        <v>404.104968</v>
      </c>
      <c r="F24" s="38">
        <v>0.566544650067295</v>
      </c>
      <c r="G24" s="37">
        <v>30.319785</v>
      </c>
      <c r="H24" s="37">
        <v>32.081757</v>
      </c>
      <c r="I24" s="37">
        <v>29.362925</v>
      </c>
      <c r="J24" s="37">
        <v>33.365873</v>
      </c>
      <c r="K24" s="37">
        <v>35.61717</v>
      </c>
      <c r="L24" s="37">
        <v>35.067279</v>
      </c>
      <c r="M24" s="37">
        <v>30.577788</v>
      </c>
      <c r="N24" s="37">
        <v>31.476407</v>
      </c>
      <c r="O24" s="37">
        <v>37.312898</v>
      </c>
      <c r="P24" s="37">
        <v>46.131029</v>
      </c>
      <c r="Q24" s="37">
        <v>31.516469</v>
      </c>
      <c r="R24" s="37">
        <v>31.275588</v>
      </c>
    </row>
    <row r="25" customHeight="1" spans="1:18">
      <c r="C25" s="34" t="s">
        <v>70</v>
      </c>
      <c r="D25" s="36">
        <v>321.73</v>
      </c>
      <c r="E25" s="37">
        <v>310.908107</v>
      </c>
      <c r="F25" s="38">
        <v>0.966363432070369</v>
      </c>
      <c r="G25" s="37">
        <v>25.718935</v>
      </c>
      <c r="H25" s="37">
        <v>27.063107</v>
      </c>
      <c r="I25" s="37">
        <v>24.906654</v>
      </c>
      <c r="J25" s="37">
        <v>25.806351</v>
      </c>
      <c r="K25" s="37">
        <v>26.225601</v>
      </c>
      <c r="L25" s="37">
        <v>26.437012</v>
      </c>
      <c r="M25" s="37">
        <v>26.083735</v>
      </c>
      <c r="N25" s="37">
        <v>26.630161</v>
      </c>
      <c r="O25" s="37">
        <v>32.092224</v>
      </c>
      <c r="P25" s="37">
        <v>21.443787</v>
      </c>
      <c r="Q25" s="37">
        <v>26.174806</v>
      </c>
      <c r="R25" s="37">
        <v>22.325734</v>
      </c>
    </row>
    <row r="26" customHeight="1" spans="1:18">
      <c r="C26" s="34" t="s">
        <v>72</v>
      </c>
      <c r="D26" s="36">
        <v>391.55</v>
      </c>
      <c r="E26" s="37">
        <v>93.196861</v>
      </c>
      <c r="F26" s="38">
        <v>0.238020332013791</v>
      </c>
      <c r="G26" s="37">
        <v>4.60085</v>
      </c>
      <c r="H26" s="37">
        <v>5.01865</v>
      </c>
      <c r="I26" s="37">
        <v>4.456271</v>
      </c>
      <c r="J26" s="37">
        <v>7.559522</v>
      </c>
      <c r="K26" s="37">
        <v>9.391569</v>
      </c>
      <c r="L26" s="37">
        <v>8.630267</v>
      </c>
      <c r="M26" s="37">
        <v>4.494053</v>
      </c>
      <c r="N26" s="37">
        <v>4.846246</v>
      </c>
      <c r="O26" s="37">
        <v>5.220674</v>
      </c>
      <c r="P26" s="37">
        <v>24.687242</v>
      </c>
      <c r="Q26" s="37">
        <v>5.341663</v>
      </c>
      <c r="R26" s="37">
        <v>8.949854</v>
      </c>
    </row>
    <row r="27" customHeight="1" spans="1:18">
      <c r="C27" s="28" t="s">
        <v>73</v>
      </c>
      <c r="D27" s="36">
        <v>122.55</v>
      </c>
      <c r="E27" s="37">
        <v>40.74713</v>
      </c>
      <c r="F27" s="38">
        <v>0.332493920848633</v>
      </c>
      <c r="G27" s="37">
        <v>3.72</v>
      </c>
      <c r="H27" s="37">
        <v>0.367948</v>
      </c>
      <c r="I27" s="37">
        <v>0.496753</v>
      </c>
      <c r="J27" s="37">
        <v>0.144267</v>
      </c>
      <c r="K27" s="37">
        <v>4.465676</v>
      </c>
      <c r="L27" s="37">
        <v>0.190226</v>
      </c>
      <c r="M27" s="37">
        <v>1.726993</v>
      </c>
      <c r="N27" s="37">
        <v>0.81091</v>
      </c>
      <c r="O27" s="37">
        <v>4.557945</v>
      </c>
      <c r="P27" s="37">
        <v>5.0011</v>
      </c>
      <c r="Q27" s="37">
        <v>1.3732</v>
      </c>
      <c r="R27" s="37">
        <v>17.892112</v>
      </c>
    </row>
    <row r="28" customHeight="1" spans="1:18">
      <c r="C28" s="34" t="s">
        <v>75</v>
      </c>
      <c r="D28" s="36">
        <v>122.55</v>
      </c>
      <c r="E28" s="37">
        <v>40.74713</v>
      </c>
      <c r="F28" s="38">
        <v>0.332493920848633</v>
      </c>
      <c r="G28" s="37">
        <v>3.72</v>
      </c>
      <c r="H28" s="37">
        <v>0.367948</v>
      </c>
      <c r="I28" s="37">
        <v>0.496753</v>
      </c>
      <c r="J28" s="37">
        <v>0.144267</v>
      </c>
      <c r="K28" s="37">
        <v>4.465676</v>
      </c>
      <c r="L28" s="37">
        <v>0.190226</v>
      </c>
      <c r="M28" s="37">
        <v>1.726993</v>
      </c>
      <c r="N28" s="37">
        <v>0.81091</v>
      </c>
      <c r="O28" s="37">
        <v>4.557945</v>
      </c>
      <c r="P28" s="37">
        <v>5.0011</v>
      </c>
      <c r="Q28" s="37">
        <v>1.3732</v>
      </c>
      <c r="R28" s="37">
        <v>17.892112</v>
      </c>
    </row>
    <row r="29" customHeight="1" spans="1:18">
      <c r="C29" s="34" t="s">
        <v>77</v>
      </c>
      <c r="D29" s="36">
        <v>0</v>
      </c>
      <c r="E29" s="37">
        <v>0</v>
      </c>
      <c r="F29" s="38">
        <v>0</v>
      </c>
      <c r="G29" s="37">
        <v>0</v>
      </c>
      <c r="H29" s="37">
        <v>0</v>
      </c>
      <c r="I29" s="37">
        <v>0</v>
      </c>
      <c r="J29" s="37">
        <v>0</v>
      </c>
      <c r="K29" s="37">
        <v>0</v>
      </c>
      <c r="L29" s="37">
        <v>0</v>
      </c>
      <c r="M29" s="37">
        <v>0</v>
      </c>
      <c r="N29" s="37">
        <v>0</v>
      </c>
      <c r="O29" s="37">
        <v>0</v>
      </c>
      <c r="P29" s="37">
        <v>0</v>
      </c>
      <c r="Q29" s="37">
        <v>0</v>
      </c>
      <c r="R29" s="37">
        <v>0</v>
      </c>
    </row>
    <row r="30" customHeight="1" spans="1:18">
      <c r="C30" s="28" t="s">
        <v>78</v>
      </c>
      <c r="D30" s="36">
        <v>0</v>
      </c>
      <c r="E30" s="37">
        <v>0</v>
      </c>
      <c r="F30" s="38">
        <v>0</v>
      </c>
      <c r="G30" s="37">
        <v>0</v>
      </c>
      <c r="H30" s="37">
        <v>0</v>
      </c>
      <c r="I30" s="37">
        <v>0</v>
      </c>
      <c r="J30" s="37">
        <v>0</v>
      </c>
      <c r="K30" s="37">
        <v>0</v>
      </c>
      <c r="L30" s="37">
        <v>0</v>
      </c>
      <c r="M30" s="37">
        <v>0</v>
      </c>
      <c r="N30" s="37">
        <v>0</v>
      </c>
      <c r="O30" s="37">
        <v>0</v>
      </c>
      <c r="P30" s="37">
        <v>0</v>
      </c>
      <c r="Q30" s="37">
        <v>0</v>
      </c>
      <c r="R30" s="37">
        <v>0</v>
      </c>
    </row>
    <row r="31" customHeight="1" spans="1:18">
      <c r="C31" s="28" t="s">
        <v>80</v>
      </c>
      <c r="D31" s="36">
        <v>0.57</v>
      </c>
      <c r="E31" s="37">
        <v>0.552326658112256</v>
      </c>
      <c r="F31" s="38">
        <v>0.968994137039046</v>
      </c>
      <c r="G31" s="37">
        <v>0.568423349236512</v>
      </c>
      <c r="H31" s="37">
        <v>0.568423349236512</v>
      </c>
      <c r="I31" s="37">
        <v>0.562498559609684</v>
      </c>
      <c r="J31" s="37">
        <v>0.557667133369001</v>
      </c>
      <c r="K31" s="37">
        <v>0.555899524466446</v>
      </c>
      <c r="L31" s="37">
        <v>0.555301274419258</v>
      </c>
      <c r="M31" s="37">
        <v>0.541695133223486</v>
      </c>
      <c r="N31" s="37">
        <v>0.53872340563315</v>
      </c>
      <c r="O31" s="37">
        <v>0.541287538476277</v>
      </c>
      <c r="P31" s="37">
        <v>0.531895241293234</v>
      </c>
      <c r="Q31" s="37">
        <v>0.554948247847319</v>
      </c>
      <c r="R31" s="37">
        <v>0.551157140536193</v>
      </c>
    </row>
    <row r="32" customHeight="1" spans="1:18">
      <c r="C32" s="28" t="s">
        <v>81</v>
      </c>
      <c r="D32" s="36">
        <v>0.95</v>
      </c>
      <c r="E32" s="37">
        <v>0.960136863928066</v>
      </c>
      <c r="F32" s="38">
        <v>1.01067038308218</v>
      </c>
      <c r="G32" s="37">
        <v>0.865015470626895</v>
      </c>
      <c r="H32" s="37">
        <v>0.896462948105612</v>
      </c>
      <c r="I32" s="37">
        <v>0.937666187534292</v>
      </c>
      <c r="J32" s="37">
        <v>0.972237356549586</v>
      </c>
      <c r="K32" s="37">
        <v>0.97383766163939</v>
      </c>
      <c r="L32" s="37">
        <v>0.991562214429907</v>
      </c>
      <c r="M32" s="37">
        <v>0.988125240349459</v>
      </c>
      <c r="N32" s="37">
        <v>0.950850634682807</v>
      </c>
      <c r="O32" s="37">
        <v>0.987270632078302</v>
      </c>
      <c r="P32" s="37">
        <v>0.984309202455497</v>
      </c>
      <c r="Q32" s="37">
        <v>0.986607596774173</v>
      </c>
      <c r="R32" s="37">
        <v>0.987697221910876</v>
      </c>
    </row>
    <row r="33" customHeight="1" spans="6:18">
      <c r="F33" s="26" t="s">
        <v>50</v>
      </c>
      <c r="G33" s="26" t="s">
        <v>108</v>
      </c>
      <c r="H33" s="26" t="s">
        <v>109</v>
      </c>
      <c r="I33" s="26" t="s">
        <v>110</v>
      </c>
      <c r="J33" s="26" t="s">
        <v>111</v>
      </c>
      <c r="K33" s="26" t="s">
        <v>112</v>
      </c>
      <c r="L33" s="26" t="s">
        <v>113</v>
      </c>
      <c r="M33" s="26" t="s">
        <v>114</v>
      </c>
      <c r="N33" s="26" t="s">
        <v>115</v>
      </c>
      <c r="O33" s="26" t="s">
        <v>116</v>
      </c>
      <c r="P33" s="26" t="s">
        <v>117</v>
      </c>
      <c r="Q33" s="26" t="s">
        <v>118</v>
      </c>
      <c r="R33" s="26" t="s">
        <v>119</v>
      </c>
    </row>
    <row r="34" customHeight="1" spans="6:18">
      <c r="F34" s="28" t="s">
        <v>63</v>
      </c>
      <c r="G34" s="39">
        <f t="array" ref="G34:R34">IF(COLUMN(G2:R2)&lt;=COLUMN(G2)+MATCH(填写页!$A$1,$G$1:$R$1,0)-1,G2:R2,NA())</f>
      </c>
      <c r="H34" s="41">
        <v>532.971536</v>
      </c>
      <c r="I34" s="41">
        <v>517.251925</v>
      </c>
      <c r="J34" s="41">
        <v>0</v>
      </c>
      <c r="K34" s="41" t="e">
        <v>#N/A</v>
      </c>
      <c r="L34" s="41" t="e">
        <v>#N/A</v>
      </c>
      <c r="M34" s="41" t="e">
        <v>#N/A</v>
      </c>
      <c r="N34" s="41" t="e">
        <v>#N/A</v>
      </c>
      <c r="O34" s="41" t="e">
        <v>#N/A</v>
      </c>
      <c r="P34" s="41" t="e">
        <v>#N/A</v>
      </c>
      <c r="Q34" s="41" t="e">
        <v>#N/A</v>
      </c>
      <c r="R34" s="41" t="e">
        <v>#N/A</v>
      </c>
    </row>
    <row r="35" customHeight="1" spans="6:18">
      <c r="F35" s="28" t="s">
        <v>217</v>
      </c>
      <c r="G35" s="37">
        <f t="shared" ref="G35:R35" si="2">G20</f>
      </c>
      <c r="H35" s="37">
        <f t="shared" si="2"/>
      </c>
      <c r="I35" s="37">
        <f t="shared" si="2"/>
      </c>
      <c r="J35" s="37">
        <f t="shared" si="2"/>
      </c>
      <c r="K35" s="37">
        <f t="shared" si="2"/>
      </c>
      <c r="L35" s="37">
        <f t="shared" si="2"/>
      </c>
      <c r="M35" s="37">
        <f t="shared" si="2"/>
      </c>
      <c r="N35" s="37">
        <f t="shared" si="2"/>
      </c>
      <c r="O35" s="37">
        <f t="shared" si="2"/>
      </c>
      <c r="P35" s="37">
        <f t="shared" si="2"/>
      </c>
      <c r="Q35" s="37">
        <f t="shared" si="2"/>
      </c>
      <c r="R35" s="37">
        <f t="shared" si="2"/>
      </c>
    </row>
    <row r="36" customHeight="1" spans="6:18">
      <c r="F36" s="28" t="s">
        <v>218</v>
      </c>
      <c r="G36" s="41">
        <f>VLOOKUP(填写页!$C$4,分解计划!$A:$N,COLUMN()-4,FALSE)</f>
      </c>
      <c r="H36" s="41">
        <f>VLOOKUP(填写页!$C$4,分解计划!$A:$N,COLUMN()-4,FALSE)</f>
      </c>
      <c r="I36" s="41">
        <f>VLOOKUP(填写页!$C$4,分解计划!$A:$N,COLUMN()-4,FALSE)</f>
      </c>
      <c r="J36" s="41">
        <f>VLOOKUP(填写页!$C$4,分解计划!$A:$N,COLUMN()-4,FALSE)</f>
      </c>
      <c r="K36" s="41">
        <f>VLOOKUP(填写页!$C$4,分解计划!$A:$N,COLUMN()-4,FALSE)</f>
      </c>
      <c r="L36" s="41">
        <f>VLOOKUP(填写页!$C$4,分解计划!$A:$N,COLUMN()-4,FALSE)</f>
      </c>
      <c r="M36" s="41">
        <f>VLOOKUP(填写页!$C$4,分解计划!$A:$N,COLUMN()-4,FALSE)</f>
      </c>
      <c r="N36" s="41">
        <f>VLOOKUP(填写页!$C$4,分解计划!$A:$N,COLUMN()-4,FALSE)</f>
      </c>
      <c r="O36" s="41">
        <f>VLOOKUP(填写页!$C$4,分解计划!$A:$N,COLUMN()-4,FALSE)</f>
      </c>
      <c r="P36" s="41">
        <f>VLOOKUP(填写页!$C$4,分解计划!$A:$N,COLUMN()-4,FALSE)</f>
      </c>
      <c r="Q36" s="41">
        <f>VLOOKUP(填写页!$C$4,分解计划!$A:$N,COLUMN()-4,FALSE)</f>
      </c>
      <c r="R36" s="41">
        <f>VLOOKUP(填写页!$C$4,分解计划!$A:$N,COLUMN()-4,FALSE)</f>
      </c>
    </row>
    <row r="39" customHeight="1" spans="6:18">
      <c r="F39" s="26" t="s">
        <v>50</v>
      </c>
      <c r="G39" s="26" t="s">
        <v>108</v>
      </c>
      <c r="H39" s="26" t="s">
        <v>109</v>
      </c>
      <c r="I39" s="26" t="s">
        <v>110</v>
      </c>
      <c r="J39" s="26" t="s">
        <v>111</v>
      </c>
      <c r="K39" s="26" t="s">
        <v>112</v>
      </c>
      <c r="L39" s="26" t="s">
        <v>113</v>
      </c>
      <c r="M39" s="26" t="s">
        <v>114</v>
      </c>
      <c r="N39" s="26" t="s">
        <v>115</v>
      </c>
      <c r="O39" s="26" t="s">
        <v>116</v>
      </c>
      <c r="P39" s="26" t="s">
        <v>117</v>
      </c>
      <c r="Q39" s="26" t="s">
        <v>118</v>
      </c>
      <c r="R39" s="26" t="s">
        <v>119</v>
      </c>
    </row>
    <row r="40" customHeight="1" spans="6:18">
      <c r="F40" s="28" t="s">
        <v>63</v>
      </c>
      <c r="G40" s="42">
        <f t="array" ref="G40:R40">IF(COLUMN(G2:R2)&lt;=COLUMN(G2)+MATCH(填写页!$A$1,$G$1:$R$1,0)-1,G2:R2,NA())</f>
      </c>
      <c r="H40" s="42">
        <v>532.971536</v>
      </c>
      <c r="I40" s="42">
        <v>517.251925</v>
      </c>
      <c r="J40" s="42">
        <v>0</v>
      </c>
      <c r="K40" s="42" t="e">
        <v>#N/A</v>
      </c>
      <c r="L40" s="42" t="e">
        <v>#N/A</v>
      </c>
      <c r="M40" s="42" t="e">
        <v>#N/A</v>
      </c>
      <c r="N40" s="42" t="e">
        <v>#N/A</v>
      </c>
      <c r="O40" s="42" t="e">
        <v>#N/A</v>
      </c>
      <c r="P40" s="42" t="e">
        <v>#N/A</v>
      </c>
      <c r="Q40" s="42" t="e">
        <v>#N/A</v>
      </c>
      <c r="R40" s="42" t="e">
        <v>#N/A</v>
      </c>
    </row>
    <row r="41" customHeight="1" spans="6:18">
      <c r="F41" s="28" t="s">
        <v>214</v>
      </c>
      <c r="G41" s="42">
        <f t="array" ref="G41:R41">IF(COLUMN(G3:R3)&lt;=COLUMN(G3)+MATCH(填写页!$A$1,$G$1:$R$1,0)-1,G3:R3,NA())</f>
      </c>
      <c r="H41" s="42">
        <v>411.250726</v>
      </c>
      <c r="I41" s="42">
        <v>392.543692</v>
      </c>
      <c r="J41" s="42">
        <v>0</v>
      </c>
      <c r="K41" s="42" t="e">
        <v>#N/A</v>
      </c>
      <c r="L41" s="42" t="e">
        <v>#N/A</v>
      </c>
      <c r="M41" s="42" t="e">
        <v>#N/A</v>
      </c>
      <c r="N41" s="42" t="e">
        <v>#N/A</v>
      </c>
      <c r="O41" s="42" t="e">
        <v>#N/A</v>
      </c>
      <c r="P41" s="42" t="e">
        <v>#N/A</v>
      </c>
      <c r="Q41" s="42" t="e">
        <v>#N/A</v>
      </c>
      <c r="R41" s="42" t="e">
        <v>#N/A</v>
      </c>
    </row>
    <row r="42" customHeight="1" spans="6:18">
      <c r="F42" s="28" t="s">
        <v>65</v>
      </c>
      <c r="G42" s="42">
        <f t="array" ref="G42:R42">IF(COLUMN(G4:R4)&lt;=COLUMN(G4)+MATCH(填写页!$A$1,$G$1:$R$1,0)-1,G4:R4,NA())</f>
      </c>
      <c r="H42" s="42">
        <v>344.23802</v>
      </c>
      <c r="I42" s="42">
        <v>920.004337</v>
      </c>
      <c r="J42" s="42">
        <v>0</v>
      </c>
      <c r="K42" s="42" t="e">
        <v>#N/A</v>
      </c>
      <c r="L42" s="42" t="e">
        <v>#N/A</v>
      </c>
      <c r="M42" s="42" t="e">
        <v>#N/A</v>
      </c>
      <c r="N42" s="42" t="e">
        <v>#N/A</v>
      </c>
      <c r="O42" s="42" t="e">
        <v>#N/A</v>
      </c>
      <c r="P42" s="42" t="e">
        <v>#N/A</v>
      </c>
      <c r="Q42" s="42" t="e">
        <v>#N/A</v>
      </c>
      <c r="R42" s="42" t="e">
        <v>#N/A</v>
      </c>
    </row>
    <row r="43" customHeight="1" spans="6:18">
      <c r="F43" s="28" t="s">
        <v>67</v>
      </c>
      <c r="G43" s="42">
        <f t="array" ref="G43:R43">IF(COLUMN(G5:R5)&lt;=COLUMN(G5)+MATCH(填写页!$A$1,$G$1:$R$1,0)-1,G5:R5,NA())</f>
      </c>
      <c r="H43" s="42">
        <v>30.590467</v>
      </c>
      <c r="I43" s="42">
        <v>37.133258</v>
      </c>
      <c r="J43" s="42">
        <v>0</v>
      </c>
      <c r="K43" s="42" t="e">
        <v>#N/A</v>
      </c>
      <c r="L43" s="42" t="e">
        <v>#N/A</v>
      </c>
      <c r="M43" s="42" t="e">
        <v>#N/A</v>
      </c>
      <c r="N43" s="42" t="e">
        <v>#N/A</v>
      </c>
      <c r="O43" s="42" t="e">
        <v>#N/A</v>
      </c>
      <c r="P43" s="42" t="e">
        <v>#N/A</v>
      </c>
      <c r="Q43" s="42" t="e">
        <v>#N/A</v>
      </c>
      <c r="R43" s="42" t="e">
        <v>#N/A</v>
      </c>
    </row>
    <row r="60" customHeight="1" spans="3:9">
      <c r="C60" s="43"/>
    </row>
    <row r="61" ht="118" customHeight="1" spans="3:9">
      <c r="C61" s="43"/>
      <c r="D61" s="43"/>
      <c r="E61" s="43"/>
      <c r="F61" s="43"/>
      <c r="G61" s="43"/>
      <c r="H61" s="43"/>
      <c r="I61" s="43"/>
    </row>
  </sheetData>
  <mergeCells count="4">
    <mergeCell ref="C61:I61"/>
    <mergeCell ref="A2:A4"/>
    <mergeCell ref="A5:A12"/>
    <mergeCell ref="A13:A18"/>
  </mergeCells>
  <pageMargins left="0.75" right="0.75" top="1" bottom="1" header="0.5" footer="0.5"/>
  <pageSetup paperSize="9" orientation="portrait"/>
  <headerFooter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8">
    <tabColor rgb="FF9CD2A4"/>
  </sheetPr>
  <dimension ref="A1:S61"/>
  <sheetViews>
    <sheetView topLeftCell="A35" workbookViewId="0">
      <selection activeCell="C61" sqref="C61:I61"/>
    </sheetView>
  </sheetViews>
  <sheetFormatPr defaultColWidth="19.6126126126126" defaultRowHeight="18" customHeight="1"/>
  <cols>
    <col min="1" max="1" width="9.61261261261261" style="25" customWidth="1"/>
    <col min="2" max="2" width="7.45945945945946" style="25" customWidth="1"/>
    <col min="3" max="3" width="19" style="25" customWidth="1"/>
    <col min="4" max="5" width="14.6126126126126" style="25" customWidth="1"/>
    <col min="6" max="6" width="9" style="25" customWidth="1"/>
    <col min="7" max="25" width="9.61261261261261" style="25" customWidth="1"/>
    <col min="26" max="16384" width="19.6126126126126" style="25"/>
  </cols>
  <sheetData>
    <row r="1" customHeight="1" spans="1:19">
      <c r="A1" s="26" t="s">
        <v>48</v>
      </c>
      <c r="B1" s="26" t="s">
        <v>49</v>
      </c>
      <c r="C1" s="26" t="s">
        <v>50</v>
      </c>
      <c r="D1" s="26" t="s">
        <v>128</v>
      </c>
      <c r="E1" s="26" t="s">
        <v>129</v>
      </c>
      <c r="F1" s="26" t="s">
        <v>213</v>
      </c>
      <c r="G1" s="26" t="s">
        <v>108</v>
      </c>
      <c r="H1" s="26" t="s">
        <v>109</v>
      </c>
      <c r="I1" s="26" t="s">
        <v>110</v>
      </c>
      <c r="J1" s="26" t="s">
        <v>111</v>
      </c>
      <c r="K1" s="26" t="s">
        <v>112</v>
      </c>
      <c r="L1" s="26" t="s">
        <v>113</v>
      </c>
      <c r="M1" s="26" t="s">
        <v>114</v>
      </c>
      <c r="N1" s="26" t="s">
        <v>115</v>
      </c>
      <c r="O1" s="26" t="s">
        <v>116</v>
      </c>
      <c r="P1" s="26" t="s">
        <v>117</v>
      </c>
      <c r="Q1" s="26" t="s">
        <v>118</v>
      </c>
      <c r="R1" s="26" t="s">
        <v>119</v>
      </c>
    </row>
    <row r="2" customHeight="1" spans="1:19">
      <c r="A2" s="27" t="s">
        <v>62</v>
      </c>
      <c r="B2" s="28">
        <v>1</v>
      </c>
      <c r="C2" s="28" t="s">
        <v>63</v>
      </c>
      <c r="D2" s="29">
        <f t="array" ref="D2:D18">INDEX(年度计划!E2:M18,,MATCH(填写页!C5,年度计划!E1:M1,0))</f>
      </c>
      <c r="E2" s="29">
        <f t="shared" ref="E2:E15" si="0">SUM(G2:R2)</f>
      </c>
      <c r="F2" s="30">
        <f t="shared" ref="F2:F18" si="1">IFERROR(MAX(1+(E2-D2)/ABS(D2),0),)</f>
      </c>
      <c r="G2" s="31">
        <v>115.23</v>
      </c>
      <c r="H2" s="31">
        <v>97.66</v>
      </c>
      <c r="I2" s="31">
        <v>97.81</v>
      </c>
      <c r="J2" s="31">
        <v>102.53</v>
      </c>
      <c r="K2" s="31">
        <v>0</v>
      </c>
      <c r="L2" s="31">
        <v>0</v>
      </c>
      <c r="M2" s="31">
        <v>0</v>
      </c>
      <c r="N2" s="31">
        <v>0</v>
      </c>
      <c r="O2" s="31">
        <v>0</v>
      </c>
      <c r="P2" s="31">
        <v>0</v>
      </c>
      <c r="Q2" s="31">
        <v>0</v>
      </c>
      <c r="R2" s="31">
        <v>0</v>
      </c>
      <c r="S2" s="25">
        <f>D2-E2</f>
      </c>
    </row>
    <row r="3" customHeight="1" spans="1:19">
      <c r="A3" s="27"/>
      <c r="B3" s="28">
        <v>2</v>
      </c>
      <c r="C3" s="28" t="s">
        <v>214</v>
      </c>
      <c r="D3" s="29">
        <v>903.57</v>
      </c>
      <c r="E3" s="29">
        <f t="shared" si="0"/>
      </c>
      <c r="F3" s="30">
        <f t="shared" si="1"/>
      </c>
      <c r="G3" s="31">
        <v>64.96</v>
      </c>
      <c r="H3" s="31">
        <v>47.55</v>
      </c>
      <c r="I3" s="31">
        <v>49.88</v>
      </c>
      <c r="J3" s="31">
        <v>46.19</v>
      </c>
      <c r="K3" s="31"/>
      <c r="L3" s="31"/>
      <c r="M3" s="31"/>
      <c r="N3" s="31"/>
      <c r="O3" s="31"/>
      <c r="P3" s="31"/>
      <c r="Q3" s="31"/>
      <c r="R3" s="31"/>
    </row>
    <row r="4" customHeight="1" spans="1:19">
      <c r="A4" s="27"/>
      <c r="B4" s="28">
        <v>3</v>
      </c>
      <c r="C4" s="28" t="s">
        <v>65</v>
      </c>
      <c r="D4" s="29">
        <v>664.10036025</v>
      </c>
      <c r="E4" s="29">
        <f t="shared" si="0"/>
      </c>
      <c r="F4" s="30">
        <f t="shared" si="1"/>
      </c>
      <c r="G4" s="31">
        <v>-11.16</v>
      </c>
      <c r="H4" s="31">
        <v>-8.45</v>
      </c>
      <c r="I4" s="31">
        <v>86.87</v>
      </c>
      <c r="J4" s="31">
        <v>21.83</v>
      </c>
      <c r="K4" s="31"/>
      <c r="L4" s="31"/>
      <c r="M4" s="31"/>
      <c r="N4" s="31"/>
      <c r="O4" s="31"/>
      <c r="P4" s="31"/>
      <c r="Q4" s="31"/>
      <c r="R4" s="31"/>
    </row>
    <row r="5" customHeight="1" spans="1:19">
      <c r="A5" s="27" t="s">
        <v>66</v>
      </c>
      <c r="B5" s="28">
        <v>4</v>
      </c>
      <c r="C5" s="28" t="s">
        <v>215</v>
      </c>
      <c r="D5" s="29">
        <v>835.1</v>
      </c>
      <c r="E5" s="29">
        <f t="shared" si="0"/>
      </c>
      <c r="F5" s="30">
        <f t="shared" si="1"/>
      </c>
      <c r="G5" s="31">
        <v>25.4393</v>
      </c>
      <c r="H5" s="31">
        <v>25.42</v>
      </c>
      <c r="I5" s="31">
        <v>23.66</v>
      </c>
      <c r="J5" s="31">
        <v>30.88</v>
      </c>
      <c r="K5" s="31">
        <v>0</v>
      </c>
      <c r="L5" s="31">
        <v>0</v>
      </c>
      <c r="M5" s="31">
        <v>0</v>
      </c>
      <c r="N5" s="31">
        <v>0</v>
      </c>
      <c r="O5" s="31">
        <v>0</v>
      </c>
      <c r="P5" s="31">
        <v>0</v>
      </c>
      <c r="Q5" s="31">
        <v>0</v>
      </c>
      <c r="R5" s="31">
        <v>0</v>
      </c>
    </row>
    <row r="6" customHeight="1" spans="1:19">
      <c r="A6" s="27"/>
      <c r="B6" s="28">
        <v>4.1</v>
      </c>
      <c r="C6" s="28" t="s">
        <v>68</v>
      </c>
      <c r="D6" s="32">
        <v>795.9</v>
      </c>
      <c r="E6" s="32">
        <f t="shared" si="0"/>
      </c>
      <c r="F6" s="33">
        <f t="shared" si="1"/>
      </c>
      <c r="G6" s="31">
        <v>24.8893</v>
      </c>
      <c r="H6" s="31">
        <v>23.58</v>
      </c>
      <c r="I6" s="31">
        <v>23.66</v>
      </c>
      <c r="J6" s="31">
        <v>25.24</v>
      </c>
      <c r="K6" s="31">
        <v>0</v>
      </c>
      <c r="L6" s="31">
        <v>0</v>
      </c>
      <c r="M6" s="31">
        <v>0</v>
      </c>
      <c r="N6" s="31">
        <v>0</v>
      </c>
      <c r="O6" s="31">
        <v>0</v>
      </c>
      <c r="P6" s="31">
        <v>0</v>
      </c>
      <c r="Q6" s="31">
        <v>0</v>
      </c>
      <c r="R6" s="31">
        <v>0</v>
      </c>
    </row>
    <row r="7" customHeight="1" spans="1:19">
      <c r="A7" s="27"/>
      <c r="B7" s="28" t="s">
        <v>69</v>
      </c>
      <c r="C7" s="34" t="s">
        <v>70</v>
      </c>
      <c r="D7" s="32">
        <v>298.77</v>
      </c>
      <c r="E7" s="32">
        <f t="shared" si="0"/>
      </c>
      <c r="F7" s="33">
        <f t="shared" si="1"/>
      </c>
      <c r="G7" s="31">
        <v>24.89</v>
      </c>
      <c r="H7" s="31">
        <v>23.48</v>
      </c>
      <c r="I7" s="31">
        <v>23.55</v>
      </c>
      <c r="J7" s="31">
        <v>23.68</v>
      </c>
      <c r="K7" s="31">
        <v>0</v>
      </c>
      <c r="L7" s="31">
        <v>0</v>
      </c>
      <c r="M7" s="31">
        <v>0</v>
      </c>
      <c r="N7" s="31">
        <v>0</v>
      </c>
      <c r="O7" s="31">
        <v>0</v>
      </c>
      <c r="P7" s="31">
        <v>0</v>
      </c>
      <c r="Q7" s="31">
        <v>0</v>
      </c>
      <c r="R7" s="31">
        <v>0</v>
      </c>
    </row>
    <row r="8" customHeight="1" spans="1:19">
      <c r="A8" s="27"/>
      <c r="B8" s="28" t="s">
        <v>71</v>
      </c>
      <c r="C8" s="34" t="s">
        <v>72</v>
      </c>
      <c r="D8" s="32">
        <v>497.13</v>
      </c>
      <c r="E8" s="32">
        <f t="shared" si="0"/>
      </c>
      <c r="F8" s="33">
        <f t="shared" si="1"/>
      </c>
      <c r="G8" s="31">
        <v>-0.0007</v>
      </c>
      <c r="H8" s="31">
        <v>0.1</v>
      </c>
      <c r="I8" s="31">
        <v>0.11</v>
      </c>
      <c r="J8" s="31">
        <v>1.56</v>
      </c>
      <c r="K8" s="31">
        <v>0</v>
      </c>
      <c r="L8" s="31">
        <v>0</v>
      </c>
      <c r="M8" s="31">
        <v>0</v>
      </c>
      <c r="N8" s="31">
        <v>0</v>
      </c>
      <c r="O8" s="31">
        <v>0</v>
      </c>
      <c r="P8" s="31">
        <v>0</v>
      </c>
      <c r="Q8" s="31">
        <v>0</v>
      </c>
      <c r="R8" s="31">
        <v>0</v>
      </c>
    </row>
    <row r="9" customHeight="1" spans="1:19">
      <c r="A9" s="27"/>
      <c r="B9" s="28">
        <v>4.2</v>
      </c>
      <c r="C9" s="28" t="s">
        <v>73</v>
      </c>
      <c r="D9" s="32">
        <v>39.2</v>
      </c>
      <c r="E9" s="32">
        <f t="shared" si="0"/>
      </c>
      <c r="F9" s="33">
        <f t="shared" si="1"/>
      </c>
      <c r="G9" s="31">
        <v>0.55</v>
      </c>
      <c r="H9" s="31">
        <v>1.84</v>
      </c>
      <c r="I9" s="31">
        <v>0</v>
      </c>
      <c r="J9" s="31">
        <v>5.64</v>
      </c>
      <c r="K9" s="31">
        <v>0</v>
      </c>
      <c r="L9" s="31">
        <v>0</v>
      </c>
      <c r="M9" s="31">
        <v>0</v>
      </c>
      <c r="N9" s="31">
        <v>0</v>
      </c>
      <c r="O9" s="31">
        <v>0</v>
      </c>
      <c r="P9" s="31">
        <v>0</v>
      </c>
      <c r="Q9" s="31">
        <v>0</v>
      </c>
      <c r="R9" s="31">
        <v>0</v>
      </c>
    </row>
    <row r="10" customHeight="1" spans="1:19">
      <c r="A10" s="27"/>
      <c r="B10" s="28" t="s">
        <v>74</v>
      </c>
      <c r="C10" s="34" t="s">
        <v>75</v>
      </c>
      <c r="D10" s="32">
        <v>39.2</v>
      </c>
      <c r="E10" s="32">
        <f t="shared" si="0"/>
      </c>
      <c r="F10" s="33">
        <f t="shared" si="1"/>
      </c>
      <c r="G10" s="31">
        <v>0.55</v>
      </c>
      <c r="H10" s="31">
        <v>1.84</v>
      </c>
      <c r="I10" s="31">
        <v>0</v>
      </c>
      <c r="J10" s="31">
        <v>5.64</v>
      </c>
      <c r="K10" s="31">
        <v>0</v>
      </c>
      <c r="L10" s="31">
        <v>0</v>
      </c>
      <c r="M10" s="31">
        <v>0</v>
      </c>
      <c r="N10" s="31">
        <v>0</v>
      </c>
      <c r="O10" s="31">
        <v>0</v>
      </c>
      <c r="P10" s="31">
        <v>0</v>
      </c>
      <c r="Q10" s="31">
        <v>0</v>
      </c>
      <c r="R10" s="31">
        <v>0</v>
      </c>
    </row>
    <row r="11" customHeight="1" spans="1:19">
      <c r="A11" s="27"/>
      <c r="B11" s="28" t="s">
        <v>76</v>
      </c>
      <c r="C11" s="34" t="s">
        <v>77</v>
      </c>
      <c r="D11" s="32">
        <v>0</v>
      </c>
      <c r="E11" s="32">
        <f t="shared" si="0"/>
      </c>
      <c r="F11" s="33">
        <f t="shared" si="1"/>
      </c>
      <c r="G11" s="31">
        <v>0</v>
      </c>
      <c r="H11" s="31">
        <v>0</v>
      </c>
      <c r="I11" s="31">
        <v>0</v>
      </c>
      <c r="J11" s="31">
        <v>0</v>
      </c>
      <c r="K11" s="31">
        <v>0</v>
      </c>
      <c r="L11" s="31">
        <v>0</v>
      </c>
      <c r="M11" s="31">
        <v>0</v>
      </c>
      <c r="N11" s="31">
        <v>0</v>
      </c>
      <c r="O11" s="31">
        <v>0</v>
      </c>
      <c r="P11" s="31">
        <v>0</v>
      </c>
      <c r="Q11" s="31">
        <v>0</v>
      </c>
      <c r="R11" s="31">
        <v>0</v>
      </c>
    </row>
    <row r="12" customHeight="1" spans="1:19">
      <c r="A12" s="27"/>
      <c r="B12" s="28">
        <v>5</v>
      </c>
      <c r="C12" s="28" t="s">
        <v>78</v>
      </c>
      <c r="D12" s="29">
        <v>52</v>
      </c>
      <c r="E12" s="29">
        <f t="shared" si="0"/>
      </c>
      <c r="F12" s="30">
        <f t="shared" si="1"/>
      </c>
      <c r="G12" s="31">
        <v>0</v>
      </c>
      <c r="H12" s="31">
        <v>0</v>
      </c>
      <c r="I12" s="31">
        <v>0</v>
      </c>
      <c r="J12" s="31">
        <v>0</v>
      </c>
      <c r="K12" s="31">
        <v>0</v>
      </c>
      <c r="L12" s="31">
        <v>0</v>
      </c>
      <c r="M12" s="31">
        <v>0</v>
      </c>
      <c r="N12" s="31">
        <v>0</v>
      </c>
      <c r="O12" s="31">
        <v>0</v>
      </c>
      <c r="P12" s="31">
        <v>0</v>
      </c>
      <c r="Q12" s="31">
        <v>0</v>
      </c>
      <c r="R12" s="31">
        <v>0</v>
      </c>
    </row>
    <row r="13" customHeight="1" spans="1:19">
      <c r="A13" s="27" t="s">
        <v>79</v>
      </c>
      <c r="B13" s="28">
        <v>6</v>
      </c>
      <c r="C13" s="28" t="s">
        <v>80</v>
      </c>
      <c r="D13" s="30">
        <v>0.69</v>
      </c>
      <c r="E13" s="30">
        <f>AVERAGE(G13:R13)</f>
      </c>
      <c r="F13" s="30">
        <f t="shared" si="1"/>
      </c>
      <c r="G13" s="31">
        <v>0.6011</v>
      </c>
      <c r="H13" s="31">
        <v>0.5998</v>
      </c>
      <c r="I13" s="31">
        <v>0.6228</v>
      </c>
      <c r="J13" s="31">
        <v>0.6348</v>
      </c>
      <c r="K13" s="31"/>
      <c r="L13" s="31"/>
      <c r="M13" s="31"/>
      <c r="N13" s="31"/>
      <c r="O13" s="31"/>
      <c r="P13" s="31"/>
      <c r="Q13" s="31"/>
      <c r="R13" s="31"/>
    </row>
    <row r="14" customHeight="1" spans="1:19">
      <c r="A14" s="27"/>
      <c r="B14" s="28">
        <v>7</v>
      </c>
      <c r="C14" s="28" t="s">
        <v>81</v>
      </c>
      <c r="D14" s="30">
        <v>0.89</v>
      </c>
      <c r="E14" s="30">
        <f>AVERAGE(G14:R14)</f>
      </c>
      <c r="F14" s="30">
        <f t="shared" si="1"/>
      </c>
      <c r="G14" s="31">
        <v>0.8345</v>
      </c>
      <c r="H14" s="31">
        <v>0.8097</v>
      </c>
      <c r="I14" s="31">
        <v>0.888</v>
      </c>
      <c r="J14" s="31">
        <v>0.8746</v>
      </c>
      <c r="K14" s="31"/>
      <c r="L14" s="31"/>
      <c r="M14" s="31"/>
      <c r="N14" s="31"/>
      <c r="O14" s="31"/>
      <c r="P14" s="31"/>
      <c r="Q14" s="31"/>
      <c r="R14" s="31"/>
    </row>
    <row r="15" customHeight="1" spans="1:19">
      <c r="A15" s="27"/>
      <c r="B15" s="28">
        <v>8</v>
      </c>
      <c r="C15" s="28" t="s">
        <v>82</v>
      </c>
      <c r="D15" s="29">
        <v>0</v>
      </c>
      <c r="E15" s="29">
        <f t="shared" si="0"/>
      </c>
      <c r="F15" s="30">
        <f t="shared" si="1"/>
      </c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</row>
    <row r="16" customHeight="1" spans="1:19">
      <c r="A16" s="27"/>
      <c r="B16" s="28">
        <v>9</v>
      </c>
      <c r="C16" s="28" t="s">
        <v>83</v>
      </c>
      <c r="D16" s="29">
        <v>0</v>
      </c>
      <c r="E16" s="29"/>
      <c r="F16" s="30">
        <f t="shared" si="1"/>
      </c>
      <c r="G16" s="31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</row>
    <row r="17" customHeight="1" spans="1:18">
      <c r="A17" s="27"/>
      <c r="B17" s="28">
        <v>10</v>
      </c>
      <c r="C17" s="28" t="s">
        <v>84</v>
      </c>
      <c r="D17" s="30">
        <v>0</v>
      </c>
      <c r="E17" s="30"/>
      <c r="F17" s="30">
        <f t="shared" si="1"/>
      </c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</row>
    <row r="18" customHeight="1" spans="1:18">
      <c r="A18" s="27"/>
      <c r="B18" s="28">
        <v>11</v>
      </c>
      <c r="C18" s="28" t="s">
        <v>85</v>
      </c>
      <c r="D18" s="30">
        <v>0</v>
      </c>
      <c r="E18" s="30"/>
      <c r="F18" s="30">
        <f t="shared" si="1"/>
      </c>
      <c r="G18" s="31"/>
      <c r="H18" s="31"/>
      <c r="I18" s="31"/>
      <c r="J18" s="31"/>
      <c r="K18" s="31"/>
      <c r="L18" s="31"/>
      <c r="M18" s="31"/>
      <c r="N18" s="31"/>
      <c r="O18" s="31"/>
      <c r="P18" s="31"/>
      <c r="Q18" s="31"/>
      <c r="R18" s="31"/>
    </row>
    <row r="19" customHeight="1" spans="1:18">
      <c r="C19" s="35" t="s">
        <v>216</v>
      </c>
      <c r="D19" s="35" t="s">
        <v>128</v>
      </c>
      <c r="E19" s="35" t="s">
        <v>129</v>
      </c>
      <c r="F19" s="35" t="s">
        <v>130</v>
      </c>
      <c r="G19" s="35" t="s">
        <v>108</v>
      </c>
      <c r="H19" s="35" t="s">
        <v>109</v>
      </c>
      <c r="I19" s="35" t="s">
        <v>110</v>
      </c>
      <c r="J19" s="35" t="s">
        <v>111</v>
      </c>
      <c r="K19" s="35" t="s">
        <v>112</v>
      </c>
      <c r="L19" s="35" t="s">
        <v>113</v>
      </c>
      <c r="M19" s="35" t="s">
        <v>114</v>
      </c>
      <c r="N19" s="35" t="s">
        <v>115</v>
      </c>
      <c r="O19" s="35" t="s">
        <v>116</v>
      </c>
      <c r="P19" s="35" t="s">
        <v>117</v>
      </c>
      <c r="Q19" s="35" t="s">
        <v>118</v>
      </c>
      <c r="R19" s="35" t="s">
        <v>119</v>
      </c>
    </row>
    <row r="20" customHeight="1" spans="1:18">
      <c r="C20" s="28" t="s">
        <v>63</v>
      </c>
      <c r="D20" s="36">
        <v>1550.77</v>
      </c>
      <c r="E20" s="37">
        <v>1372.83</v>
      </c>
      <c r="F20" s="38">
        <v>0.885257001360614</v>
      </c>
      <c r="G20" s="37">
        <v>111.6</v>
      </c>
      <c r="H20" s="37">
        <v>120.92</v>
      </c>
      <c r="I20" s="37">
        <v>113.45</v>
      </c>
      <c r="J20" s="37">
        <v>120.32</v>
      </c>
      <c r="K20" s="37">
        <v>111.4</v>
      </c>
      <c r="L20" s="37">
        <v>106.45</v>
      </c>
      <c r="M20" s="37">
        <v>110.76</v>
      </c>
      <c r="N20" s="37">
        <v>103.39</v>
      </c>
      <c r="O20" s="37">
        <v>119.5</v>
      </c>
      <c r="P20" s="37">
        <v>126.5</v>
      </c>
      <c r="Q20" s="37">
        <v>118.9</v>
      </c>
      <c r="R20" s="37">
        <v>109.64</v>
      </c>
    </row>
    <row r="21" customHeight="1" spans="1:18">
      <c r="C21" s="28" t="s">
        <v>214</v>
      </c>
      <c r="D21" s="36">
        <v>347.12</v>
      </c>
      <c r="E21" s="37">
        <v>263.42</v>
      </c>
      <c r="F21" s="38">
        <v>0.758873012214796</v>
      </c>
      <c r="G21" s="37">
        <v>52.31</v>
      </c>
      <c r="H21" s="37">
        <v>62.88</v>
      </c>
      <c r="I21" s="37">
        <v>59.23</v>
      </c>
      <c r="J21" s="37">
        <v>35.76</v>
      </c>
      <c r="K21" s="37">
        <v>4.15</v>
      </c>
      <c r="L21" s="37">
        <v>1.04</v>
      </c>
      <c r="M21" s="37">
        <v>33.89</v>
      </c>
      <c r="N21" s="37">
        <v>31.31</v>
      </c>
      <c r="O21" s="37">
        <v>43.66</v>
      </c>
      <c r="P21" s="37">
        <v>66.09</v>
      </c>
      <c r="Q21" s="37">
        <v>58.63</v>
      </c>
      <c r="R21" s="37">
        <v>-185.53</v>
      </c>
    </row>
    <row r="22" customHeight="1" spans="1:18">
      <c r="C22" s="28" t="s">
        <v>65</v>
      </c>
      <c r="D22" s="36">
        <v>260.94</v>
      </c>
      <c r="E22" s="37">
        <v>318.49</v>
      </c>
      <c r="F22" s="38">
        <v>1.22054878516134</v>
      </c>
      <c r="G22" s="37">
        <v>-41.82</v>
      </c>
      <c r="H22" s="37">
        <v>-56.94</v>
      </c>
      <c r="I22" s="37">
        <v>95.26</v>
      </c>
      <c r="J22" s="37">
        <v>-11.52</v>
      </c>
      <c r="K22" s="37">
        <v>-49.6</v>
      </c>
      <c r="L22" s="37">
        <v>-25.25</v>
      </c>
      <c r="M22" s="37">
        <v>-10.38</v>
      </c>
      <c r="N22" s="37">
        <v>10.98</v>
      </c>
      <c r="O22" s="37">
        <v>-20.97</v>
      </c>
      <c r="P22" s="37">
        <v>50.7</v>
      </c>
      <c r="Q22" s="37">
        <v>241</v>
      </c>
      <c r="R22" s="37">
        <v>137.03</v>
      </c>
    </row>
    <row r="23" customHeight="1" spans="1:18">
      <c r="C23" s="28" t="s">
        <v>67</v>
      </c>
      <c r="D23" s="36">
        <v>902.6</v>
      </c>
      <c r="E23" s="37">
        <v>778.03</v>
      </c>
      <c r="F23" s="38">
        <v>0.861987591402615</v>
      </c>
      <c r="G23" s="37">
        <v>30.18</v>
      </c>
      <c r="H23" s="37">
        <v>30.35</v>
      </c>
      <c r="I23" s="37">
        <v>26.69</v>
      </c>
      <c r="J23" s="37">
        <v>56.3</v>
      </c>
      <c r="K23" s="37">
        <v>79.9</v>
      </c>
      <c r="L23" s="37">
        <v>78.44</v>
      </c>
      <c r="M23" s="37">
        <v>48.95</v>
      </c>
      <c r="N23" s="37">
        <v>46.37</v>
      </c>
      <c r="O23" s="37">
        <v>48.86</v>
      </c>
      <c r="P23" s="37">
        <v>32.56</v>
      </c>
      <c r="Q23" s="37">
        <v>31.47</v>
      </c>
      <c r="R23" s="37">
        <v>267.96</v>
      </c>
    </row>
    <row r="24" customHeight="1" spans="1:18">
      <c r="C24" s="28" t="s">
        <v>68</v>
      </c>
      <c r="D24" s="36">
        <v>759.86</v>
      </c>
      <c r="E24" s="37">
        <v>697.05</v>
      </c>
      <c r="F24" s="38">
        <v>0.91734003632248</v>
      </c>
      <c r="G24" s="37">
        <v>27.04</v>
      </c>
      <c r="H24" s="37">
        <v>27.64</v>
      </c>
      <c r="I24" s="37">
        <v>26.69</v>
      </c>
      <c r="J24" s="37">
        <v>19.6</v>
      </c>
      <c r="K24" s="37">
        <v>66.09</v>
      </c>
      <c r="L24" s="37">
        <v>77.8</v>
      </c>
      <c r="M24" s="37">
        <v>36.2</v>
      </c>
      <c r="N24" s="37">
        <v>45.87</v>
      </c>
      <c r="O24" s="37">
        <v>46.19</v>
      </c>
      <c r="P24" s="37">
        <v>30.64</v>
      </c>
      <c r="Q24" s="37">
        <v>28.25</v>
      </c>
      <c r="R24" s="37">
        <v>265.04</v>
      </c>
    </row>
    <row r="25" customHeight="1" spans="1:18">
      <c r="C25" s="34" t="s">
        <v>70</v>
      </c>
      <c r="D25" s="36">
        <v>341.01</v>
      </c>
      <c r="E25" s="37">
        <v>311.08</v>
      </c>
      <c r="F25" s="38">
        <v>0.912231312864725</v>
      </c>
      <c r="G25" s="37">
        <v>26.34</v>
      </c>
      <c r="H25" s="37">
        <v>26.58</v>
      </c>
      <c r="I25" s="37">
        <v>26.2</v>
      </c>
      <c r="J25" s="37">
        <v>17.72</v>
      </c>
      <c r="K25" s="37">
        <v>29.73</v>
      </c>
      <c r="L25" s="37">
        <v>26.8</v>
      </c>
      <c r="M25" s="37">
        <v>26.48</v>
      </c>
      <c r="N25" s="37">
        <v>26.16</v>
      </c>
      <c r="O25" s="37">
        <v>26.13</v>
      </c>
      <c r="P25" s="37">
        <v>26.63</v>
      </c>
      <c r="Q25" s="37">
        <v>26.14</v>
      </c>
      <c r="R25" s="37">
        <v>26.17</v>
      </c>
    </row>
    <row r="26" customHeight="1" spans="1:18">
      <c r="C26" s="34" t="s">
        <v>72</v>
      </c>
      <c r="D26" s="36">
        <v>418.85</v>
      </c>
      <c r="E26" s="37">
        <v>385.97</v>
      </c>
      <c r="F26" s="38">
        <v>0.921499343440372</v>
      </c>
      <c r="G26" s="37">
        <v>0.7</v>
      </c>
      <c r="H26" s="37">
        <v>1.06</v>
      </c>
      <c r="I26" s="37">
        <v>0.49</v>
      </c>
      <c r="J26" s="37">
        <v>1.88</v>
      </c>
      <c r="K26" s="37">
        <v>36.36</v>
      </c>
      <c r="L26" s="37">
        <v>51</v>
      </c>
      <c r="M26" s="37">
        <v>9.72</v>
      </c>
      <c r="N26" s="37">
        <v>19.71</v>
      </c>
      <c r="O26" s="37">
        <v>20.06</v>
      </c>
      <c r="P26" s="37">
        <v>4.01</v>
      </c>
      <c r="Q26" s="37">
        <v>2.11</v>
      </c>
      <c r="R26" s="37">
        <v>238.87</v>
      </c>
    </row>
    <row r="27" customHeight="1" spans="1:18">
      <c r="C27" s="28" t="s">
        <v>73</v>
      </c>
      <c r="D27" s="36">
        <v>142.74</v>
      </c>
      <c r="E27" s="37">
        <v>80.98</v>
      </c>
      <c r="F27" s="38">
        <v>0.567325206669469</v>
      </c>
      <c r="G27" s="37">
        <v>3.14</v>
      </c>
      <c r="H27" s="37">
        <v>2.71</v>
      </c>
      <c r="I27" s="37">
        <v>0</v>
      </c>
      <c r="J27" s="37">
        <v>36.7</v>
      </c>
      <c r="K27" s="37">
        <v>13.81</v>
      </c>
      <c r="L27" s="37">
        <v>0.64</v>
      </c>
      <c r="M27" s="37">
        <v>12.75</v>
      </c>
      <c r="N27" s="37">
        <v>0.5</v>
      </c>
      <c r="O27" s="37">
        <v>2.67</v>
      </c>
      <c r="P27" s="37">
        <v>1.92</v>
      </c>
      <c r="Q27" s="37">
        <v>3.22</v>
      </c>
      <c r="R27" s="37">
        <v>2.92</v>
      </c>
    </row>
    <row r="28" customHeight="1" spans="1:18">
      <c r="C28" s="34" t="s">
        <v>75</v>
      </c>
      <c r="D28" s="36">
        <v>142.74</v>
      </c>
      <c r="E28" s="37">
        <v>80.98</v>
      </c>
      <c r="F28" s="38">
        <v>0.567325206669469</v>
      </c>
      <c r="G28" s="37">
        <v>3.14</v>
      </c>
      <c r="H28" s="37">
        <v>2.71</v>
      </c>
      <c r="I28" s="37">
        <v>0</v>
      </c>
      <c r="J28" s="37">
        <v>36.7</v>
      </c>
      <c r="K28" s="37">
        <v>13.81</v>
      </c>
      <c r="L28" s="37">
        <v>0.64</v>
      </c>
      <c r="M28" s="37">
        <v>12.75</v>
      </c>
      <c r="N28" s="37">
        <v>0.5</v>
      </c>
      <c r="O28" s="37">
        <v>2.67</v>
      </c>
      <c r="P28" s="37">
        <v>1.92</v>
      </c>
      <c r="Q28" s="37">
        <v>3.22</v>
      </c>
      <c r="R28" s="37">
        <v>2.92</v>
      </c>
    </row>
    <row r="29" customHeight="1" spans="1:18">
      <c r="C29" s="34" t="s">
        <v>77</v>
      </c>
      <c r="D29" s="36">
        <v>0</v>
      </c>
      <c r="E29" s="37">
        <v>0</v>
      </c>
      <c r="F29" s="38">
        <v>0</v>
      </c>
      <c r="G29" s="37">
        <v>0</v>
      </c>
      <c r="H29" s="37">
        <v>0</v>
      </c>
      <c r="I29" s="37">
        <v>0</v>
      </c>
      <c r="J29" s="37">
        <v>0</v>
      </c>
      <c r="K29" s="37">
        <v>0</v>
      </c>
      <c r="L29" s="37">
        <v>0</v>
      </c>
      <c r="M29" s="37">
        <v>0</v>
      </c>
      <c r="N29" s="37">
        <v>0</v>
      </c>
      <c r="O29" s="37">
        <v>0</v>
      </c>
      <c r="P29" s="37">
        <v>0</v>
      </c>
      <c r="Q29" s="37">
        <v>0</v>
      </c>
      <c r="R29" s="37">
        <v>0</v>
      </c>
    </row>
    <row r="30" customHeight="1" spans="1:18">
      <c r="C30" s="28" t="s">
        <v>78</v>
      </c>
      <c r="D30" s="36">
        <v>93.2</v>
      </c>
      <c r="E30" s="37">
        <v>2.21</v>
      </c>
      <c r="F30" s="38">
        <v>0.0237124463519313</v>
      </c>
      <c r="G30" s="37">
        <v>0</v>
      </c>
      <c r="H30" s="37">
        <v>0</v>
      </c>
      <c r="I30" s="37">
        <v>0</v>
      </c>
      <c r="J30" s="37">
        <v>0</v>
      </c>
      <c r="K30" s="37">
        <v>0</v>
      </c>
      <c r="L30" s="37">
        <v>2.21</v>
      </c>
      <c r="M30" s="37">
        <v>0</v>
      </c>
      <c r="N30" s="37">
        <v>0</v>
      </c>
      <c r="O30" s="37">
        <v>0</v>
      </c>
      <c r="P30" s="37">
        <v>0</v>
      </c>
      <c r="Q30" s="37">
        <v>0</v>
      </c>
      <c r="R30" s="37">
        <v>0</v>
      </c>
    </row>
    <row r="31" customHeight="1" spans="1:18">
      <c r="C31" s="28" t="s">
        <v>80</v>
      </c>
      <c r="D31" s="36">
        <v>0.63</v>
      </c>
      <c r="E31" s="37">
        <v>0.578416666666667</v>
      </c>
      <c r="F31" s="38">
        <v>0.918121693121693</v>
      </c>
      <c r="G31" s="37">
        <v>0.508</v>
      </c>
      <c r="H31" s="37">
        <v>0.508</v>
      </c>
      <c r="I31" s="37">
        <v>0.5604</v>
      </c>
      <c r="J31" s="37">
        <v>0.6</v>
      </c>
      <c r="K31" s="37">
        <v>0.5986</v>
      </c>
      <c r="L31" s="37">
        <v>0.5916</v>
      </c>
      <c r="M31" s="37">
        <v>0.5859</v>
      </c>
      <c r="N31" s="37">
        <v>0.5892</v>
      </c>
      <c r="O31" s="37">
        <v>0.6013</v>
      </c>
      <c r="P31" s="37">
        <v>0.6026</v>
      </c>
      <c r="Q31" s="37">
        <v>0.5954</v>
      </c>
      <c r="R31" s="37">
        <v>0.6</v>
      </c>
    </row>
    <row r="32" customHeight="1" spans="1:18">
      <c r="C32" s="28" t="s">
        <v>81</v>
      </c>
      <c r="D32" s="36">
        <v>0.95</v>
      </c>
      <c r="E32" s="37">
        <v>0.81445</v>
      </c>
      <c r="F32" s="38">
        <v>0.857315789473684</v>
      </c>
      <c r="G32" s="37">
        <v>0.9427</v>
      </c>
      <c r="H32" s="37">
        <v>0.8111</v>
      </c>
      <c r="I32" s="37">
        <v>0.8419</v>
      </c>
      <c r="J32" s="37">
        <v>0.8812</v>
      </c>
      <c r="K32" s="37">
        <v>0.7439</v>
      </c>
      <c r="L32" s="37">
        <v>0.732</v>
      </c>
      <c r="M32" s="37">
        <v>0.7424</v>
      </c>
      <c r="N32" s="37">
        <v>0.724</v>
      </c>
      <c r="O32" s="37">
        <v>0.8011</v>
      </c>
      <c r="P32" s="37">
        <v>0.8871</v>
      </c>
      <c r="Q32" s="37">
        <v>0.8</v>
      </c>
      <c r="R32" s="37">
        <v>0.866</v>
      </c>
    </row>
    <row r="33" customHeight="1" spans="6:18">
      <c r="F33" s="26" t="s">
        <v>50</v>
      </c>
      <c r="G33" s="26" t="s">
        <v>108</v>
      </c>
      <c r="H33" s="26" t="s">
        <v>109</v>
      </c>
      <c r="I33" s="26" t="s">
        <v>110</v>
      </c>
      <c r="J33" s="26" t="s">
        <v>111</v>
      </c>
      <c r="K33" s="26" t="s">
        <v>112</v>
      </c>
      <c r="L33" s="26" t="s">
        <v>113</v>
      </c>
      <c r="M33" s="26" t="s">
        <v>114</v>
      </c>
      <c r="N33" s="26" t="s">
        <v>115</v>
      </c>
      <c r="O33" s="26" t="s">
        <v>116</v>
      </c>
      <c r="P33" s="26" t="s">
        <v>117</v>
      </c>
      <c r="Q33" s="26" t="s">
        <v>118</v>
      </c>
      <c r="R33" s="26" t="s">
        <v>119</v>
      </c>
    </row>
    <row r="34" customHeight="1" spans="6:18">
      <c r="F34" s="28" t="s">
        <v>63</v>
      </c>
      <c r="G34" s="39">
        <f t="array" ref="G34:R34">IF(COLUMN(G2:R2)&lt;=COLUMN(G2)+MATCH(填写页!$A$1,$G$1:$R$1,0)-1,G2:R2,NA())</f>
      </c>
      <c r="H34" s="41">
        <v>97.66</v>
      </c>
      <c r="I34" s="41">
        <v>97.81</v>
      </c>
      <c r="J34" s="41">
        <v>0</v>
      </c>
      <c r="K34" s="41" t="e">
        <v>#N/A</v>
      </c>
      <c r="L34" s="41" t="e">
        <v>#N/A</v>
      </c>
      <c r="M34" s="41" t="e">
        <v>#N/A</v>
      </c>
      <c r="N34" s="41" t="e">
        <v>#N/A</v>
      </c>
      <c r="O34" s="41" t="e">
        <v>#N/A</v>
      </c>
      <c r="P34" s="41" t="e">
        <v>#N/A</v>
      </c>
      <c r="Q34" s="41" t="e">
        <v>#N/A</v>
      </c>
      <c r="R34" s="41" t="e">
        <v>#N/A</v>
      </c>
    </row>
    <row r="35" customHeight="1" spans="6:18">
      <c r="F35" s="28" t="s">
        <v>217</v>
      </c>
      <c r="G35" s="37">
        <f t="shared" ref="G35:R35" si="2">G20</f>
      </c>
      <c r="H35" s="37">
        <f t="shared" si="2"/>
      </c>
      <c r="I35" s="37">
        <f t="shared" si="2"/>
      </c>
      <c r="J35" s="37">
        <f t="shared" si="2"/>
      </c>
      <c r="K35" s="37">
        <f t="shared" si="2"/>
      </c>
      <c r="L35" s="37">
        <f t="shared" si="2"/>
      </c>
      <c r="M35" s="37">
        <f t="shared" si="2"/>
      </c>
      <c r="N35" s="37">
        <f t="shared" si="2"/>
      </c>
      <c r="O35" s="37">
        <f t="shared" si="2"/>
      </c>
      <c r="P35" s="37">
        <f t="shared" si="2"/>
      </c>
      <c r="Q35" s="37">
        <f t="shared" si="2"/>
      </c>
      <c r="R35" s="37">
        <f t="shared" si="2"/>
      </c>
    </row>
    <row r="36" customHeight="1" spans="6:18">
      <c r="F36" s="28" t="s">
        <v>218</v>
      </c>
      <c r="G36" s="41">
        <f>VLOOKUP(填写页!$C$5,分解计划!$A:$N,COLUMN()-4,FALSE)</f>
      </c>
      <c r="H36" s="41">
        <f>VLOOKUP(填写页!$C$5,分解计划!$A:$N,COLUMN()-4,FALSE)</f>
      </c>
      <c r="I36" s="41">
        <f>VLOOKUP(填写页!$C$5,分解计划!$A:$N,COLUMN()-4,FALSE)</f>
      </c>
      <c r="J36" s="41">
        <f>VLOOKUP(填写页!$C$5,分解计划!$A:$N,COLUMN()-4,FALSE)</f>
      </c>
      <c r="K36" s="41">
        <f>VLOOKUP(填写页!$C$5,分解计划!$A:$N,COLUMN()-4,FALSE)</f>
      </c>
      <c r="L36" s="41">
        <f>VLOOKUP(填写页!$C$5,分解计划!$A:$N,COLUMN()-4,FALSE)</f>
      </c>
      <c r="M36" s="41">
        <f>VLOOKUP(填写页!$C$5,分解计划!$A:$N,COLUMN()-4,FALSE)</f>
      </c>
      <c r="N36" s="41">
        <f>VLOOKUP(填写页!$C$5,分解计划!$A:$N,COLUMN()-4,FALSE)</f>
      </c>
      <c r="O36" s="41">
        <f>VLOOKUP(填写页!$C$5,分解计划!$A:$N,COLUMN()-4,FALSE)</f>
      </c>
      <c r="P36" s="41">
        <f>VLOOKUP(填写页!$C$5,分解计划!$A:$N,COLUMN()-4,FALSE)</f>
      </c>
      <c r="Q36" s="41">
        <f>VLOOKUP(填写页!$C$5,分解计划!$A:$N,COLUMN()-4,FALSE)</f>
      </c>
      <c r="R36" s="41">
        <f>VLOOKUP(填写页!$C$5,分解计划!$A:$N,COLUMN()-4,FALSE)</f>
      </c>
    </row>
    <row r="39" customHeight="1" spans="6:18">
      <c r="F39" s="26" t="s">
        <v>50</v>
      </c>
      <c r="G39" s="26" t="s">
        <v>108</v>
      </c>
      <c r="H39" s="26" t="s">
        <v>109</v>
      </c>
      <c r="I39" s="26" t="s">
        <v>110</v>
      </c>
      <c r="J39" s="26" t="s">
        <v>111</v>
      </c>
      <c r="K39" s="26" t="s">
        <v>112</v>
      </c>
      <c r="L39" s="26" t="s">
        <v>113</v>
      </c>
      <c r="M39" s="26" t="s">
        <v>114</v>
      </c>
      <c r="N39" s="26" t="s">
        <v>115</v>
      </c>
      <c r="O39" s="26" t="s">
        <v>116</v>
      </c>
      <c r="P39" s="26" t="s">
        <v>117</v>
      </c>
      <c r="Q39" s="26" t="s">
        <v>118</v>
      </c>
      <c r="R39" s="26" t="s">
        <v>119</v>
      </c>
    </row>
    <row r="40" customHeight="1" spans="6:18">
      <c r="F40" s="28" t="s">
        <v>63</v>
      </c>
      <c r="G40" s="42">
        <f t="array" ref="G40:R40">IF(COLUMN(G2:R2)&lt;=COLUMN(G2)+MATCH(填写页!$A$1,$G$1:$R$1,0)-1,G2:R2,NA())</f>
      </c>
      <c r="H40" s="42">
        <v>97.66</v>
      </c>
      <c r="I40" s="42">
        <v>97.81</v>
      </c>
      <c r="J40" s="42">
        <v>0</v>
      </c>
      <c r="K40" s="42" t="e">
        <v>#N/A</v>
      </c>
      <c r="L40" s="42" t="e">
        <v>#N/A</v>
      </c>
      <c r="M40" s="42" t="e">
        <v>#N/A</v>
      </c>
      <c r="N40" s="42" t="e">
        <v>#N/A</v>
      </c>
      <c r="O40" s="42" t="e">
        <v>#N/A</v>
      </c>
      <c r="P40" s="42" t="e">
        <v>#N/A</v>
      </c>
      <c r="Q40" s="42" t="e">
        <v>#N/A</v>
      </c>
      <c r="R40" s="42" t="e">
        <v>#N/A</v>
      </c>
    </row>
    <row r="41" customHeight="1" spans="6:18">
      <c r="F41" s="28" t="s">
        <v>214</v>
      </c>
      <c r="G41" s="42">
        <f t="array" ref="G41:R41">IF(COLUMN(G3:R3)&lt;=COLUMN(G3)+MATCH(填写页!$A$1,$G$1:$R$1,0)-1,G3:R3,NA())</f>
      </c>
      <c r="H41" s="42">
        <v>47.55</v>
      </c>
      <c r="I41" s="42">
        <v>49.88</v>
      </c>
      <c r="J41" s="42">
        <v>0</v>
      </c>
      <c r="K41" s="42" t="e">
        <v>#N/A</v>
      </c>
      <c r="L41" s="42" t="e">
        <v>#N/A</v>
      </c>
      <c r="M41" s="42" t="e">
        <v>#N/A</v>
      </c>
      <c r="N41" s="42" t="e">
        <v>#N/A</v>
      </c>
      <c r="O41" s="42" t="e">
        <v>#N/A</v>
      </c>
      <c r="P41" s="42" t="e">
        <v>#N/A</v>
      </c>
      <c r="Q41" s="42" t="e">
        <v>#N/A</v>
      </c>
      <c r="R41" s="42" t="e">
        <v>#N/A</v>
      </c>
    </row>
    <row r="42" customHeight="1" spans="6:18">
      <c r="F42" s="28" t="s">
        <v>65</v>
      </c>
      <c r="G42" s="42">
        <f t="array" ref="G42:R42">IF(COLUMN(G4:R4)&lt;=COLUMN(G4)+MATCH(填写页!$A$1,$G$1:$R$1,0)-1,G4:R4,NA())</f>
      </c>
      <c r="H42" s="42">
        <v>-8.45</v>
      </c>
      <c r="I42" s="42">
        <v>86.87</v>
      </c>
      <c r="J42" s="42">
        <v>0</v>
      </c>
      <c r="K42" s="42" t="e">
        <v>#N/A</v>
      </c>
      <c r="L42" s="42" t="e">
        <v>#N/A</v>
      </c>
      <c r="M42" s="42" t="e">
        <v>#N/A</v>
      </c>
      <c r="N42" s="42" t="e">
        <v>#N/A</v>
      </c>
      <c r="O42" s="42" t="e">
        <v>#N/A</v>
      </c>
      <c r="P42" s="42" t="e">
        <v>#N/A</v>
      </c>
      <c r="Q42" s="42" t="e">
        <v>#N/A</v>
      </c>
      <c r="R42" s="42" t="e">
        <v>#N/A</v>
      </c>
    </row>
    <row r="43" customHeight="1" spans="6:18">
      <c r="F43" s="28" t="s">
        <v>67</v>
      </c>
      <c r="G43" s="42">
        <f t="array" ref="G43:R43">IF(COLUMN(G5:R5)&lt;=COLUMN(G5)+MATCH(填写页!$A$1,$G$1:$R$1,0)-1,G5:R5,NA())</f>
      </c>
      <c r="H43" s="42">
        <v>25.42</v>
      </c>
      <c r="I43" s="42">
        <v>23.66</v>
      </c>
      <c r="J43" s="42">
        <v>0</v>
      </c>
      <c r="K43" s="42" t="e">
        <v>#N/A</v>
      </c>
      <c r="L43" s="42" t="e">
        <v>#N/A</v>
      </c>
      <c r="M43" s="42" t="e">
        <v>#N/A</v>
      </c>
      <c r="N43" s="42" t="e">
        <v>#N/A</v>
      </c>
      <c r="O43" s="42" t="e">
        <v>#N/A</v>
      </c>
      <c r="P43" s="42" t="e">
        <v>#N/A</v>
      </c>
      <c r="Q43" s="42" t="e">
        <v>#N/A</v>
      </c>
      <c r="R43" s="42" t="e">
        <v>#N/A</v>
      </c>
    </row>
    <row r="60" customHeight="1" spans="3:9">
      <c r="C60" s="43"/>
    </row>
    <row r="61" ht="118" customHeight="1" spans="3:9">
      <c r="C61" s="43"/>
      <c r="D61" s="43"/>
      <c r="E61" s="43"/>
      <c r="F61" s="43"/>
      <c r="G61" s="43"/>
      <c r="H61" s="43"/>
      <c r="I61" s="43"/>
    </row>
  </sheetData>
  <mergeCells count="4">
    <mergeCell ref="C61:I61"/>
    <mergeCell ref="A2:A4"/>
    <mergeCell ref="A5:A12"/>
    <mergeCell ref="A13:A18"/>
  </mergeCells>
  <pageMargins left="0.75" right="0.75" top="1" bottom="1" header="0.5" footer="0.5"/>
  <pageSetup paperSize="9" orientation="portrait"/>
  <headerFooter/>
  <drawing r:id="rId2"/>
  <legacyDrawing r:id="rId3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9">
    <tabColor rgb="FF9CD2A4"/>
  </sheetPr>
  <dimension ref="A1:R61"/>
  <sheetViews>
    <sheetView topLeftCell="A37" workbookViewId="0">
      <selection activeCell="C61" sqref="C61:I61"/>
    </sheetView>
  </sheetViews>
  <sheetFormatPr defaultColWidth="19.6126126126126" defaultRowHeight="18" customHeight="1"/>
  <cols>
    <col min="1" max="1" width="9.61261261261261" style="25" customWidth="1"/>
    <col min="2" max="2" width="7.45945945945946" style="25" customWidth="1"/>
    <col min="3" max="3" width="19" style="25" customWidth="1"/>
    <col min="4" max="5" width="14.6126126126126" style="25" customWidth="1"/>
    <col min="6" max="6" width="9" style="25" customWidth="1"/>
    <col min="7" max="25" width="9.61261261261261" style="25" customWidth="1"/>
    <col min="26" max="16384" width="19.6126126126126" style="25"/>
  </cols>
  <sheetData>
    <row r="1" customHeight="1" spans="1:18">
      <c r="A1" s="26" t="s">
        <v>48</v>
      </c>
      <c r="B1" s="26" t="s">
        <v>49</v>
      </c>
      <c r="C1" s="26" t="s">
        <v>50</v>
      </c>
      <c r="D1" s="26" t="s">
        <v>128</v>
      </c>
      <c r="E1" s="26" t="s">
        <v>129</v>
      </c>
      <c r="F1" s="26" t="s">
        <v>213</v>
      </c>
      <c r="G1" s="26" t="s">
        <v>108</v>
      </c>
      <c r="H1" s="26" t="s">
        <v>109</v>
      </c>
      <c r="I1" s="26" t="s">
        <v>110</v>
      </c>
      <c r="J1" s="26" t="s">
        <v>111</v>
      </c>
      <c r="K1" s="26" t="s">
        <v>112</v>
      </c>
      <c r="L1" s="26" t="s">
        <v>113</v>
      </c>
      <c r="M1" s="26" t="s">
        <v>114</v>
      </c>
      <c r="N1" s="26" t="s">
        <v>115</v>
      </c>
      <c r="O1" s="26" t="s">
        <v>116</v>
      </c>
      <c r="P1" s="26" t="s">
        <v>117</v>
      </c>
      <c r="Q1" s="26" t="s">
        <v>118</v>
      </c>
      <c r="R1" s="26" t="s">
        <v>119</v>
      </c>
    </row>
    <row r="2" customHeight="1" spans="1:18">
      <c r="A2" s="27" t="s">
        <v>62</v>
      </c>
      <c r="B2" s="28">
        <v>1</v>
      </c>
      <c r="C2" s="28" t="s">
        <v>63</v>
      </c>
      <c r="D2" s="29">
        <f t="array" ref="D2:D18">INDEX(年度计划!E2:M18,,MATCH(填写页!C6,年度计划!E1:M1,0))</f>
      </c>
      <c r="E2" s="29">
        <f t="shared" ref="E2:E15" si="0">SUM(G2:R2)</f>
      </c>
      <c r="F2" s="30">
        <f t="shared" ref="F2:F18" si="1">IFERROR(MAX(1+(E2-D2)/ABS(D2),0),)</f>
      </c>
      <c r="G2" s="31">
        <v>51.121052</v>
      </c>
      <c r="H2" s="31">
        <v>28.623522</v>
      </c>
      <c r="I2" s="31">
        <v>50.833071</v>
      </c>
      <c r="J2" s="31">
        <v>31.674646</v>
      </c>
      <c r="K2" s="31">
        <v>0</v>
      </c>
      <c r="L2" s="31">
        <v>0</v>
      </c>
      <c r="M2" s="31">
        <v>0</v>
      </c>
      <c r="N2" s="31">
        <v>0</v>
      </c>
      <c r="O2" s="31">
        <v>0</v>
      </c>
      <c r="P2" s="31">
        <v>0</v>
      </c>
      <c r="Q2" s="31">
        <v>0</v>
      </c>
      <c r="R2" s="31">
        <v>0</v>
      </c>
    </row>
    <row r="3" customHeight="1" spans="1:18">
      <c r="A3" s="27"/>
      <c r="B3" s="28">
        <v>2</v>
      </c>
      <c r="C3" s="28" t="s">
        <v>214</v>
      </c>
      <c r="D3" s="29">
        <v>190.720375834931</v>
      </c>
      <c r="E3" s="29">
        <f t="shared" si="0"/>
      </c>
      <c r="F3" s="30">
        <f t="shared" si="1"/>
      </c>
      <c r="G3" s="31">
        <v>45.562446</v>
      </c>
      <c r="H3" s="31">
        <v>23.283589</v>
      </c>
      <c r="I3" s="31">
        <v>3.393221</v>
      </c>
      <c r="J3" s="31">
        <v>-116.289511</v>
      </c>
      <c r="K3" s="31"/>
      <c r="L3" s="31"/>
      <c r="M3" s="31"/>
      <c r="N3" s="31"/>
      <c r="O3" s="31"/>
      <c r="P3" s="31"/>
      <c r="Q3" s="31"/>
      <c r="R3" s="31"/>
    </row>
    <row r="4" customHeight="1" spans="1:18">
      <c r="A4" s="27"/>
      <c r="B4" s="28">
        <v>3</v>
      </c>
      <c r="C4" s="28" t="s">
        <v>65</v>
      </c>
      <c r="D4" s="29">
        <v>259.62622280893</v>
      </c>
      <c r="E4" s="29">
        <f t="shared" si="0"/>
      </c>
      <c r="F4" s="30">
        <f t="shared" si="1"/>
      </c>
      <c r="G4" s="31">
        <v>27.423488</v>
      </c>
      <c r="H4" s="31">
        <v>11.955679</v>
      </c>
      <c r="I4" s="31">
        <v>66.988168</v>
      </c>
      <c r="J4" s="31">
        <v>-115.157617</v>
      </c>
      <c r="K4" s="31"/>
      <c r="L4" s="31"/>
      <c r="M4" s="31"/>
      <c r="N4" s="31"/>
      <c r="O4" s="31"/>
      <c r="P4" s="31"/>
      <c r="Q4" s="31"/>
      <c r="R4" s="31"/>
    </row>
    <row r="5" customHeight="1" spans="1:18">
      <c r="A5" s="27" t="s">
        <v>66</v>
      </c>
      <c r="B5" s="28">
        <v>4</v>
      </c>
      <c r="C5" s="28" t="s">
        <v>215</v>
      </c>
      <c r="D5" s="29">
        <v>268.663688</v>
      </c>
      <c r="E5" s="29">
        <f t="shared" si="0"/>
      </c>
      <c r="F5" s="30">
        <f t="shared" si="1"/>
      </c>
      <c r="G5" s="31">
        <v>5.135138</v>
      </c>
      <c r="H5" s="31">
        <v>5.14162</v>
      </c>
      <c r="I5" s="31">
        <v>47.184892</v>
      </c>
      <c r="J5" s="31">
        <v>5.15811</v>
      </c>
      <c r="K5" s="31">
        <v>0</v>
      </c>
      <c r="L5" s="31">
        <v>0</v>
      </c>
      <c r="M5" s="31">
        <v>0</v>
      </c>
      <c r="N5" s="31">
        <v>0</v>
      </c>
      <c r="O5" s="31">
        <v>0</v>
      </c>
      <c r="P5" s="31">
        <v>0</v>
      </c>
      <c r="Q5" s="31">
        <v>0</v>
      </c>
      <c r="R5" s="31">
        <v>0</v>
      </c>
    </row>
    <row r="6" customHeight="1" spans="1:18">
      <c r="A6" s="27"/>
      <c r="B6" s="28">
        <v>4.1</v>
      </c>
      <c r="C6" s="28" t="s">
        <v>68</v>
      </c>
      <c r="D6" s="32">
        <v>89.223688</v>
      </c>
      <c r="E6" s="32">
        <f t="shared" si="0"/>
      </c>
      <c r="F6" s="33">
        <f t="shared" si="1"/>
      </c>
      <c r="G6" s="31">
        <v>5.135138</v>
      </c>
      <c r="H6" s="31">
        <v>5.133978</v>
      </c>
      <c r="I6" s="31">
        <v>5.119921</v>
      </c>
      <c r="J6" s="31">
        <v>5.15811</v>
      </c>
      <c r="K6" s="31">
        <v>0</v>
      </c>
      <c r="L6" s="31">
        <v>0</v>
      </c>
      <c r="M6" s="31">
        <v>0</v>
      </c>
      <c r="N6" s="31">
        <v>0</v>
      </c>
      <c r="O6" s="31">
        <v>0</v>
      </c>
      <c r="P6" s="31">
        <v>0</v>
      </c>
      <c r="Q6" s="31">
        <v>0</v>
      </c>
      <c r="R6" s="31">
        <v>0</v>
      </c>
    </row>
    <row r="7" customHeight="1" spans="1:18">
      <c r="A7" s="27"/>
      <c r="B7" s="28" t="s">
        <v>69</v>
      </c>
      <c r="C7" s="34" t="s">
        <v>70</v>
      </c>
      <c r="D7" s="32">
        <v>56.812</v>
      </c>
      <c r="E7" s="32">
        <f t="shared" si="0"/>
      </c>
      <c r="F7" s="33">
        <f t="shared" si="1"/>
      </c>
      <c r="G7" s="31">
        <v>4.15351</v>
      </c>
      <c r="H7" s="31">
        <v>4.15751</v>
      </c>
      <c r="I7" s="31">
        <v>4.16351</v>
      </c>
      <c r="J7" s="31">
        <v>4.18151</v>
      </c>
      <c r="K7" s="31">
        <v>0</v>
      </c>
      <c r="L7" s="31">
        <v>0</v>
      </c>
      <c r="M7" s="31">
        <v>0</v>
      </c>
      <c r="N7" s="31">
        <v>0</v>
      </c>
      <c r="O7" s="31">
        <v>0</v>
      </c>
      <c r="P7" s="31">
        <v>0</v>
      </c>
      <c r="Q7" s="31">
        <v>0</v>
      </c>
      <c r="R7" s="31">
        <v>0</v>
      </c>
    </row>
    <row r="8" customHeight="1" spans="1:18">
      <c r="A8" s="27"/>
      <c r="B8" s="28" t="s">
        <v>71</v>
      </c>
      <c r="C8" s="34" t="s">
        <v>72</v>
      </c>
      <c r="D8" s="32">
        <v>32.411688</v>
      </c>
      <c r="E8" s="32">
        <f t="shared" si="0"/>
      </c>
      <c r="F8" s="33">
        <f t="shared" si="1"/>
      </c>
      <c r="G8" s="31">
        <v>0.981628</v>
      </c>
      <c r="H8" s="31">
        <v>0.976468</v>
      </c>
      <c r="I8" s="31">
        <v>0.956411</v>
      </c>
      <c r="J8" s="31">
        <v>0.9766</v>
      </c>
      <c r="K8" s="31">
        <v>0</v>
      </c>
      <c r="L8" s="31">
        <v>0</v>
      </c>
      <c r="M8" s="31">
        <v>0</v>
      </c>
      <c r="N8" s="31">
        <v>0</v>
      </c>
      <c r="O8" s="31">
        <v>0</v>
      </c>
      <c r="P8" s="31">
        <v>0</v>
      </c>
      <c r="Q8" s="31">
        <v>0</v>
      </c>
      <c r="R8" s="31">
        <v>0</v>
      </c>
    </row>
    <row r="9" customHeight="1" spans="1:18">
      <c r="A9" s="27"/>
      <c r="B9" s="28">
        <v>4.2</v>
      </c>
      <c r="C9" s="28" t="s">
        <v>73</v>
      </c>
      <c r="D9" s="32">
        <v>179.44</v>
      </c>
      <c r="E9" s="32">
        <f t="shared" si="0"/>
      </c>
      <c r="F9" s="33">
        <f t="shared" si="1"/>
      </c>
      <c r="G9" s="31">
        <v>0</v>
      </c>
      <c r="H9" s="31">
        <v>0.007642</v>
      </c>
      <c r="I9" s="31">
        <v>42.064971</v>
      </c>
      <c r="J9" s="31">
        <v>0</v>
      </c>
      <c r="K9" s="31">
        <v>0</v>
      </c>
      <c r="L9" s="31">
        <v>0</v>
      </c>
      <c r="M9" s="31">
        <v>0</v>
      </c>
      <c r="N9" s="31">
        <v>0</v>
      </c>
      <c r="O9" s="31">
        <v>0</v>
      </c>
      <c r="P9" s="31">
        <v>0</v>
      </c>
      <c r="Q9" s="31">
        <v>0</v>
      </c>
      <c r="R9" s="31">
        <v>0</v>
      </c>
    </row>
    <row r="10" customHeight="1" spans="1:18">
      <c r="A10" s="27"/>
      <c r="B10" s="28" t="s">
        <v>74</v>
      </c>
      <c r="C10" s="34" t="s">
        <v>75</v>
      </c>
      <c r="D10" s="32">
        <v>179.44</v>
      </c>
      <c r="E10" s="32">
        <f t="shared" si="0"/>
      </c>
      <c r="F10" s="33">
        <f t="shared" si="1"/>
      </c>
      <c r="G10" s="31">
        <v>0</v>
      </c>
      <c r="H10" s="31">
        <v>0.007642</v>
      </c>
      <c r="I10" s="31">
        <v>42.064971</v>
      </c>
      <c r="J10" s="31">
        <v>0</v>
      </c>
      <c r="K10" s="31">
        <v>0</v>
      </c>
      <c r="L10" s="31">
        <v>0</v>
      </c>
      <c r="M10" s="31">
        <v>0</v>
      </c>
      <c r="N10" s="31">
        <v>0</v>
      </c>
      <c r="O10" s="31">
        <v>0</v>
      </c>
      <c r="P10" s="31">
        <v>0</v>
      </c>
      <c r="Q10" s="31">
        <v>0</v>
      </c>
      <c r="R10" s="31">
        <v>0</v>
      </c>
    </row>
    <row r="11" customHeight="1" spans="1:18">
      <c r="A11" s="27"/>
      <c r="B11" s="28" t="s">
        <v>76</v>
      </c>
      <c r="C11" s="34" t="s">
        <v>77</v>
      </c>
      <c r="D11" s="32">
        <v>0</v>
      </c>
      <c r="E11" s="32">
        <f t="shared" si="0"/>
      </c>
      <c r="F11" s="33">
        <f t="shared" si="1"/>
      </c>
      <c r="G11" s="31">
        <v>0</v>
      </c>
      <c r="H11" s="31">
        <v>0</v>
      </c>
      <c r="I11" s="31">
        <v>0</v>
      </c>
      <c r="J11" s="31">
        <v>0</v>
      </c>
      <c r="K11" s="31">
        <v>0</v>
      </c>
      <c r="L11" s="31">
        <v>0</v>
      </c>
      <c r="M11" s="31">
        <v>0</v>
      </c>
      <c r="N11" s="31">
        <v>0</v>
      </c>
      <c r="O11" s="31">
        <v>0</v>
      </c>
      <c r="P11" s="31">
        <v>0</v>
      </c>
      <c r="Q11" s="31">
        <v>0</v>
      </c>
      <c r="R11" s="31">
        <v>0</v>
      </c>
    </row>
    <row r="12" customHeight="1" spans="1:18">
      <c r="A12" s="27"/>
      <c r="B12" s="28">
        <v>5</v>
      </c>
      <c r="C12" s="28" t="s">
        <v>78</v>
      </c>
      <c r="D12" s="29">
        <v>0</v>
      </c>
      <c r="E12" s="29">
        <f t="shared" si="0"/>
      </c>
      <c r="F12" s="30">
        <f t="shared" si="1"/>
      </c>
      <c r="G12" s="31">
        <v>0</v>
      </c>
      <c r="H12" s="31">
        <v>0</v>
      </c>
      <c r="I12" s="31">
        <v>0</v>
      </c>
      <c r="J12" s="31">
        <v>0</v>
      </c>
      <c r="K12" s="31">
        <v>0</v>
      </c>
      <c r="L12" s="31">
        <v>0</v>
      </c>
      <c r="M12" s="31">
        <v>0</v>
      </c>
      <c r="N12" s="31">
        <v>0</v>
      </c>
      <c r="O12" s="31">
        <v>0</v>
      </c>
      <c r="P12" s="31">
        <v>0</v>
      </c>
      <c r="Q12" s="31">
        <v>0</v>
      </c>
      <c r="R12" s="31">
        <v>0</v>
      </c>
    </row>
    <row r="13" customHeight="1" spans="1:18">
      <c r="A13" s="27" t="s">
        <v>79</v>
      </c>
      <c r="B13" s="28">
        <v>6</v>
      </c>
      <c r="C13" s="28" t="s">
        <v>80</v>
      </c>
      <c r="D13" s="30">
        <v>0.5805</v>
      </c>
      <c r="E13" s="30">
        <f>AVERAGE(G13:R13)</f>
      </c>
      <c r="F13" s="30">
        <f t="shared" si="1"/>
      </c>
      <c r="G13" s="31">
        <v>0.4458</v>
      </c>
      <c r="H13" s="31">
        <v>0.4458</v>
      </c>
      <c r="I13" s="31">
        <v>0.431</v>
      </c>
      <c r="J13" s="31">
        <v>0.43</v>
      </c>
      <c r="K13" s="31"/>
      <c r="L13" s="31"/>
      <c r="M13" s="31"/>
      <c r="N13" s="31"/>
      <c r="O13" s="31"/>
      <c r="P13" s="31"/>
      <c r="Q13" s="31"/>
      <c r="R13" s="31"/>
    </row>
    <row r="14" customHeight="1" spans="1:18">
      <c r="A14" s="27"/>
      <c r="B14" s="28">
        <v>7</v>
      </c>
      <c r="C14" s="28" t="s">
        <v>81</v>
      </c>
      <c r="D14" s="30">
        <v>0.95</v>
      </c>
      <c r="E14" s="30">
        <f>AVERAGE(G14:R14)</f>
      </c>
      <c r="F14" s="30">
        <f t="shared" si="1"/>
      </c>
      <c r="G14" s="31">
        <v>0.55</v>
      </c>
      <c r="H14" s="31">
        <v>0.99</v>
      </c>
      <c r="I14" s="31">
        <v>7.94</v>
      </c>
      <c r="J14" s="31">
        <v>0.32</v>
      </c>
      <c r="K14" s="31"/>
      <c r="L14" s="31"/>
      <c r="M14" s="31"/>
      <c r="N14" s="31"/>
      <c r="O14" s="31"/>
      <c r="P14" s="31"/>
      <c r="Q14" s="31"/>
      <c r="R14" s="31"/>
    </row>
    <row r="15" customHeight="1" spans="1:18">
      <c r="A15" s="27"/>
      <c r="B15" s="28">
        <v>8</v>
      </c>
      <c r="C15" s="28" t="s">
        <v>82</v>
      </c>
      <c r="D15" s="29">
        <v>0</v>
      </c>
      <c r="E15" s="29">
        <f t="shared" si="0"/>
      </c>
      <c r="F15" s="30">
        <f t="shared" si="1"/>
      </c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</row>
    <row r="16" customHeight="1" spans="1:18">
      <c r="A16" s="27"/>
      <c r="B16" s="28">
        <v>9</v>
      </c>
      <c r="C16" s="28" t="s">
        <v>83</v>
      </c>
      <c r="D16" s="29">
        <v>0</v>
      </c>
      <c r="E16" s="29"/>
      <c r="F16" s="30">
        <f t="shared" si="1"/>
      </c>
      <c r="G16" s="31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</row>
    <row r="17" customHeight="1" spans="1:18">
      <c r="A17" s="27"/>
      <c r="B17" s="28">
        <v>10</v>
      </c>
      <c r="C17" s="28" t="s">
        <v>84</v>
      </c>
      <c r="D17" s="30">
        <v>0</v>
      </c>
      <c r="E17" s="30"/>
      <c r="F17" s="30">
        <f t="shared" si="1"/>
      </c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</row>
    <row r="18" customHeight="1" spans="1:18">
      <c r="A18" s="27"/>
      <c r="B18" s="28">
        <v>11</v>
      </c>
      <c r="C18" s="28" t="s">
        <v>85</v>
      </c>
      <c r="D18" s="30">
        <v>0</v>
      </c>
      <c r="E18" s="30"/>
      <c r="F18" s="30">
        <f t="shared" si="1"/>
      </c>
      <c r="G18" s="31"/>
      <c r="H18" s="31"/>
      <c r="I18" s="31"/>
      <c r="J18" s="31"/>
      <c r="K18" s="31"/>
      <c r="L18" s="31"/>
      <c r="M18" s="31"/>
      <c r="N18" s="31"/>
      <c r="O18" s="31"/>
      <c r="P18" s="31"/>
      <c r="Q18" s="31"/>
      <c r="R18" s="31"/>
    </row>
    <row r="19" customHeight="1" spans="1:18">
      <c r="C19" s="35" t="s">
        <v>216</v>
      </c>
      <c r="D19" s="35" t="s">
        <v>128</v>
      </c>
      <c r="E19" s="35" t="s">
        <v>129</v>
      </c>
      <c r="F19" s="35" t="s">
        <v>130</v>
      </c>
      <c r="G19" s="35" t="s">
        <v>108</v>
      </c>
      <c r="H19" s="35" t="s">
        <v>109</v>
      </c>
      <c r="I19" s="35" t="s">
        <v>110</v>
      </c>
      <c r="J19" s="35" t="s">
        <v>111</v>
      </c>
      <c r="K19" s="35" t="s">
        <v>112</v>
      </c>
      <c r="L19" s="35" t="s">
        <v>113</v>
      </c>
      <c r="M19" s="35" t="s">
        <v>114</v>
      </c>
      <c r="N19" s="35" t="s">
        <v>115</v>
      </c>
      <c r="O19" s="35" t="s">
        <v>116</v>
      </c>
      <c r="P19" s="35" t="s">
        <v>117</v>
      </c>
      <c r="Q19" s="35" t="s">
        <v>118</v>
      </c>
      <c r="R19" s="35" t="s">
        <v>119</v>
      </c>
    </row>
    <row r="20" customHeight="1" spans="1:18">
      <c r="C20" s="28" t="s">
        <v>63</v>
      </c>
      <c r="D20" s="36">
        <v>946.75</v>
      </c>
      <c r="E20" s="37">
        <v>708.339225</v>
      </c>
      <c r="F20" s="38">
        <v>0.748179799313441</v>
      </c>
      <c r="G20" s="37">
        <v>60.893351</v>
      </c>
      <c r="H20" s="37">
        <v>61.44702</v>
      </c>
      <c r="I20" s="37">
        <v>62.937243</v>
      </c>
      <c r="J20" s="37">
        <v>58.140368</v>
      </c>
      <c r="K20" s="37">
        <v>54.59992</v>
      </c>
      <c r="L20" s="37">
        <v>57.112126</v>
      </c>
      <c r="M20" s="37">
        <v>57.107671</v>
      </c>
      <c r="N20" s="37">
        <v>57.864961</v>
      </c>
      <c r="O20" s="37">
        <v>58.017674</v>
      </c>
      <c r="P20" s="37">
        <v>58.010279</v>
      </c>
      <c r="Q20" s="37">
        <v>59.447189</v>
      </c>
      <c r="R20" s="37">
        <v>62.761423</v>
      </c>
    </row>
    <row r="21" customHeight="1" spans="1:18">
      <c r="C21" s="28" t="s">
        <v>214</v>
      </c>
      <c r="D21" s="36">
        <v>299.2</v>
      </c>
      <c r="E21" s="37">
        <v>178.613965</v>
      </c>
      <c r="F21" s="38">
        <v>0.59697180815508</v>
      </c>
      <c r="G21" s="37">
        <v>55.345344</v>
      </c>
      <c r="H21" s="37">
        <v>52.94616</v>
      </c>
      <c r="I21" s="37">
        <v>10.920281</v>
      </c>
      <c r="J21" s="37">
        <v>-92.776627</v>
      </c>
      <c r="K21" s="37">
        <v>50.910904</v>
      </c>
      <c r="L21" s="37">
        <v>4.59086100000001</v>
      </c>
      <c r="M21" s="37">
        <v>55.615657</v>
      </c>
      <c r="N21" s="37">
        <v>71.043053</v>
      </c>
      <c r="O21" s="37">
        <v>8.255389</v>
      </c>
      <c r="P21" s="37">
        <v>-100.084817</v>
      </c>
      <c r="Q21" s="37">
        <v>50.585096</v>
      </c>
      <c r="R21" s="37">
        <v>11.262664</v>
      </c>
    </row>
    <row r="22" customHeight="1" spans="1:18">
      <c r="C22" s="28" t="s">
        <v>65</v>
      </c>
      <c r="D22" s="36">
        <v>419.4</v>
      </c>
      <c r="E22" s="37">
        <v>-135.228051</v>
      </c>
      <c r="F22" s="38">
        <v>0</v>
      </c>
      <c r="G22" s="37">
        <v>-1.41261</v>
      </c>
      <c r="H22" s="37">
        <v>53.257678</v>
      </c>
      <c r="I22" s="37">
        <v>40.865669</v>
      </c>
      <c r="J22" s="37">
        <v>-125.202057</v>
      </c>
      <c r="K22" s="37">
        <v>1.002805</v>
      </c>
      <c r="L22" s="37">
        <v>28.571851</v>
      </c>
      <c r="M22" s="37">
        <v>-29.549682</v>
      </c>
      <c r="N22" s="37">
        <v>65.141702</v>
      </c>
      <c r="O22" s="37">
        <v>-25.666086</v>
      </c>
      <c r="P22" s="37">
        <v>-143.741813</v>
      </c>
      <c r="Q22" s="37">
        <v>27.289989</v>
      </c>
      <c r="R22" s="37">
        <v>-25.785497</v>
      </c>
    </row>
    <row r="23" customHeight="1" spans="1:18">
      <c r="C23" s="28" t="s">
        <v>67</v>
      </c>
      <c r="D23" s="36">
        <v>350.08</v>
      </c>
      <c r="E23" s="37">
        <v>251.969409</v>
      </c>
      <c r="F23" s="38">
        <v>0.719748083295247</v>
      </c>
      <c r="G23" s="37">
        <v>4.863251</v>
      </c>
      <c r="H23" s="37">
        <v>10.057306</v>
      </c>
      <c r="I23" s="37">
        <v>52.514199</v>
      </c>
      <c r="J23" s="37">
        <v>3.604859</v>
      </c>
      <c r="K23" s="37">
        <v>4.082708</v>
      </c>
      <c r="L23" s="37">
        <v>52.48927</v>
      </c>
      <c r="M23" s="37">
        <v>1.151065</v>
      </c>
      <c r="N23" s="37">
        <v>4.161439</v>
      </c>
      <c r="O23" s="37">
        <v>53.638572</v>
      </c>
      <c r="P23" s="37">
        <v>5.621372</v>
      </c>
      <c r="Q23" s="37">
        <v>8.176755</v>
      </c>
      <c r="R23" s="37">
        <v>51.608613</v>
      </c>
    </row>
    <row r="24" customHeight="1" spans="1:18">
      <c r="C24" s="28" t="s">
        <v>68</v>
      </c>
      <c r="D24" s="36">
        <v>105.48</v>
      </c>
      <c r="E24" s="37">
        <v>70.468867</v>
      </c>
      <c r="F24" s="38">
        <v>0.668077995828593</v>
      </c>
      <c r="G24" s="37">
        <v>4.236976</v>
      </c>
      <c r="H24" s="37">
        <v>4.209171</v>
      </c>
      <c r="I24" s="37">
        <v>7.354025</v>
      </c>
      <c r="J24" s="37">
        <v>3.596335</v>
      </c>
      <c r="K24" s="37">
        <v>4.020908</v>
      </c>
      <c r="L24" s="37">
        <v>10.315817</v>
      </c>
      <c r="M24" s="37">
        <v>4.178119</v>
      </c>
      <c r="N24" s="37">
        <v>4.161439</v>
      </c>
      <c r="O24" s="37">
        <v>7.432971</v>
      </c>
      <c r="P24" s="37">
        <v>5.521376</v>
      </c>
      <c r="Q24" s="37">
        <v>7.535327</v>
      </c>
      <c r="R24" s="37">
        <v>7.906403</v>
      </c>
    </row>
    <row r="25" customHeight="1" spans="1:18">
      <c r="C25" s="34" t="s">
        <v>70</v>
      </c>
      <c r="D25" s="36">
        <v>73.96</v>
      </c>
      <c r="E25" s="37">
        <v>48.369547</v>
      </c>
      <c r="F25" s="38">
        <v>0.653996038399135</v>
      </c>
      <c r="G25" s="37">
        <v>4.212146</v>
      </c>
      <c r="H25" s="37">
        <v>4.1866</v>
      </c>
      <c r="I25" s="37">
        <v>4.1564</v>
      </c>
      <c r="J25" s="37">
        <v>2.393701</v>
      </c>
      <c r="K25" s="37">
        <v>4.137445</v>
      </c>
      <c r="L25" s="37">
        <v>4.139445</v>
      </c>
      <c r="M25" s="37">
        <v>4.154388</v>
      </c>
      <c r="N25" s="37">
        <v>4.139445</v>
      </c>
      <c r="O25" s="37">
        <v>4.239045</v>
      </c>
      <c r="P25" s="37">
        <v>4.308327</v>
      </c>
      <c r="Q25" s="37">
        <v>4.15351</v>
      </c>
      <c r="R25" s="37">
        <v>4.149095</v>
      </c>
    </row>
    <row r="26" customHeight="1" spans="1:18">
      <c r="C26" s="34" t="s">
        <v>72</v>
      </c>
      <c r="D26" s="36">
        <v>31.52</v>
      </c>
      <c r="E26" s="37">
        <v>22.09932</v>
      </c>
      <c r="F26" s="38">
        <v>0.701120558375634</v>
      </c>
      <c r="G26" s="37">
        <v>0.02483</v>
      </c>
      <c r="H26" s="37">
        <v>0.022571</v>
      </c>
      <c r="I26" s="37">
        <v>3.197625</v>
      </c>
      <c r="J26" s="37">
        <v>1.202634</v>
      </c>
      <c r="K26" s="37">
        <v>-0.116537</v>
      </c>
      <c r="L26" s="37">
        <v>6.176372</v>
      </c>
      <c r="M26" s="37">
        <v>0.023731</v>
      </c>
      <c r="N26" s="37">
        <v>0.021994</v>
      </c>
      <c r="O26" s="37">
        <v>3.193926</v>
      </c>
      <c r="P26" s="37">
        <v>1.213049</v>
      </c>
      <c r="Q26" s="37">
        <v>3.381817</v>
      </c>
      <c r="R26" s="37">
        <v>3.757308</v>
      </c>
    </row>
    <row r="27" customHeight="1" spans="1:18">
      <c r="C27" s="28" t="s">
        <v>73</v>
      </c>
      <c r="D27" s="36">
        <v>244.6</v>
      </c>
      <c r="E27" s="37">
        <v>181.500542</v>
      </c>
      <c r="F27" s="38">
        <v>0.74203001635323</v>
      </c>
      <c r="G27" s="37">
        <v>0.626275</v>
      </c>
      <c r="H27" s="37">
        <v>5.848135</v>
      </c>
      <c r="I27" s="37">
        <v>45.160174</v>
      </c>
      <c r="J27" s="37">
        <v>0.008524</v>
      </c>
      <c r="K27" s="37">
        <v>0.0618</v>
      </c>
      <c r="L27" s="37">
        <v>42.173453</v>
      </c>
      <c r="M27" s="37">
        <v>-3.027054</v>
      </c>
      <c r="N27" s="37">
        <v>0</v>
      </c>
      <c r="O27" s="37">
        <v>46.205601</v>
      </c>
      <c r="P27" s="37">
        <v>0.099996</v>
      </c>
      <c r="Q27" s="37">
        <v>0.641428</v>
      </c>
      <c r="R27" s="37">
        <v>43.70221</v>
      </c>
    </row>
    <row r="28" customHeight="1" spans="1:18">
      <c r="C28" s="34" t="s">
        <v>75</v>
      </c>
      <c r="D28" s="36">
        <v>244.6</v>
      </c>
      <c r="E28" s="37">
        <v>181.500542</v>
      </c>
      <c r="F28" s="38">
        <v>0.74203001635323</v>
      </c>
      <c r="G28" s="37">
        <v>0.626275</v>
      </c>
      <c r="H28" s="37">
        <v>5.848135</v>
      </c>
      <c r="I28" s="37">
        <v>45.160174</v>
      </c>
      <c r="J28" s="37">
        <v>0.008524</v>
      </c>
      <c r="K28" s="37">
        <v>0.0618</v>
      </c>
      <c r="L28" s="37">
        <v>42.173453</v>
      </c>
      <c r="M28" s="37">
        <v>-3.027054</v>
      </c>
      <c r="N28" s="37">
        <v>0</v>
      </c>
      <c r="O28" s="37">
        <v>46.205601</v>
      </c>
      <c r="P28" s="37">
        <v>0.099996</v>
      </c>
      <c r="Q28" s="37">
        <v>0.641428</v>
      </c>
      <c r="R28" s="37">
        <v>43.70221</v>
      </c>
    </row>
    <row r="29" customHeight="1" spans="1:18">
      <c r="C29" s="34" t="s">
        <v>77</v>
      </c>
      <c r="D29" s="36">
        <v>0</v>
      </c>
      <c r="E29" s="37">
        <v>0</v>
      </c>
      <c r="F29" s="38">
        <v>0</v>
      </c>
      <c r="G29" s="37">
        <v>0</v>
      </c>
      <c r="H29" s="37">
        <v>0</v>
      </c>
      <c r="I29" s="37">
        <v>0</v>
      </c>
      <c r="J29" s="37">
        <v>0</v>
      </c>
      <c r="K29" s="37">
        <v>0</v>
      </c>
      <c r="L29" s="37">
        <v>0</v>
      </c>
      <c r="M29" s="37">
        <v>0</v>
      </c>
      <c r="N29" s="37">
        <v>0</v>
      </c>
      <c r="O29" s="37">
        <v>0</v>
      </c>
      <c r="P29" s="37">
        <v>0</v>
      </c>
      <c r="Q29" s="37">
        <v>0</v>
      </c>
      <c r="R29" s="37">
        <v>0</v>
      </c>
    </row>
    <row r="30" customHeight="1" spans="1:18">
      <c r="C30" s="28" t="s">
        <v>78</v>
      </c>
      <c r="D30" s="36">
        <v>61.2</v>
      </c>
      <c r="E30" s="37">
        <v>0</v>
      </c>
      <c r="F30" s="38">
        <v>0</v>
      </c>
      <c r="G30" s="37">
        <v>0</v>
      </c>
      <c r="H30" s="37">
        <v>0</v>
      </c>
      <c r="I30" s="37">
        <v>0</v>
      </c>
      <c r="J30" s="37">
        <v>0</v>
      </c>
      <c r="K30" s="37">
        <v>0</v>
      </c>
      <c r="L30" s="37">
        <v>0</v>
      </c>
      <c r="M30" s="37">
        <v>0</v>
      </c>
      <c r="N30" s="37">
        <v>0</v>
      </c>
      <c r="O30" s="37">
        <v>0</v>
      </c>
      <c r="P30" s="37">
        <v>0</v>
      </c>
      <c r="Q30" s="37">
        <v>0</v>
      </c>
      <c r="R30" s="37">
        <v>0</v>
      </c>
    </row>
    <row r="31" customHeight="1" spans="1:18">
      <c r="C31" s="28" t="s">
        <v>80</v>
      </c>
      <c r="D31" s="36">
        <v>0.735308796757341</v>
      </c>
      <c r="E31" s="37">
        <v>0.406983333333333</v>
      </c>
      <c r="F31" s="38">
        <v>0.553486283760103</v>
      </c>
      <c r="G31" s="37">
        <v>0.401</v>
      </c>
      <c r="H31" s="37">
        <v>0.423</v>
      </c>
      <c r="I31" s="37">
        <v>0.423</v>
      </c>
      <c r="J31" s="37">
        <v>0.423</v>
      </c>
      <c r="K31" s="37">
        <v>0.423</v>
      </c>
      <c r="L31" s="37">
        <v>0.3808</v>
      </c>
      <c r="M31" s="37">
        <v>0.3803</v>
      </c>
      <c r="N31" s="37">
        <v>0.3806</v>
      </c>
      <c r="O31" s="37">
        <v>0.3818</v>
      </c>
      <c r="P31" s="37">
        <v>0.3813</v>
      </c>
      <c r="Q31" s="37">
        <v>0.443</v>
      </c>
      <c r="R31" s="37">
        <v>0.443</v>
      </c>
    </row>
    <row r="32" customHeight="1" spans="1:18">
      <c r="C32" s="28" t="s">
        <v>81</v>
      </c>
      <c r="D32" s="36">
        <v>0.95</v>
      </c>
      <c r="E32" s="37">
        <v>1.939925</v>
      </c>
      <c r="F32" s="38">
        <v>2.04202631578947</v>
      </c>
      <c r="G32" s="37">
        <v>0.413</v>
      </c>
      <c r="H32" s="37">
        <v>0.77</v>
      </c>
      <c r="I32" s="37">
        <v>4.185</v>
      </c>
      <c r="J32" s="37">
        <v>0.275</v>
      </c>
      <c r="K32" s="37">
        <v>0.702</v>
      </c>
      <c r="L32" s="37">
        <v>8.05</v>
      </c>
      <c r="M32" s="37">
        <v>0.1741</v>
      </c>
      <c r="N32" s="37">
        <v>3.16</v>
      </c>
      <c r="O32" s="37">
        <v>1.99</v>
      </c>
      <c r="P32" s="37">
        <v>0.26</v>
      </c>
      <c r="Q32" s="37">
        <v>1.18</v>
      </c>
      <c r="R32" s="37">
        <v>2.12</v>
      </c>
    </row>
    <row r="33" customHeight="1" spans="6:18">
      <c r="F33" s="26" t="s">
        <v>50</v>
      </c>
      <c r="G33" s="26" t="s">
        <v>108</v>
      </c>
      <c r="H33" s="26" t="s">
        <v>109</v>
      </c>
      <c r="I33" s="26" t="s">
        <v>110</v>
      </c>
      <c r="J33" s="26" t="s">
        <v>111</v>
      </c>
      <c r="K33" s="26" t="s">
        <v>112</v>
      </c>
      <c r="L33" s="26" t="s">
        <v>113</v>
      </c>
      <c r="M33" s="26" t="s">
        <v>114</v>
      </c>
      <c r="N33" s="26" t="s">
        <v>115</v>
      </c>
      <c r="O33" s="26" t="s">
        <v>116</v>
      </c>
      <c r="P33" s="26" t="s">
        <v>117</v>
      </c>
      <c r="Q33" s="26" t="s">
        <v>118</v>
      </c>
      <c r="R33" s="26" t="s">
        <v>119</v>
      </c>
    </row>
    <row r="34" customHeight="1" spans="6:18">
      <c r="F34" s="28" t="s">
        <v>63</v>
      </c>
      <c r="G34" s="39">
        <f t="array" ref="G34:R34">IF(COLUMN(G2:R2)&lt;=COLUMN(G2)+MATCH(填写页!$A$1,$G$1:$R$1,0)-1,G2:R2,NA())</f>
      </c>
      <c r="H34" s="41">
        <v>28.623522</v>
      </c>
      <c r="I34" s="41">
        <v>50.833071</v>
      </c>
      <c r="J34" s="41">
        <v>0</v>
      </c>
      <c r="K34" s="41" t="e">
        <v>#N/A</v>
      </c>
      <c r="L34" s="41" t="e">
        <v>#N/A</v>
      </c>
      <c r="M34" s="41" t="e">
        <v>#N/A</v>
      </c>
      <c r="N34" s="41" t="e">
        <v>#N/A</v>
      </c>
      <c r="O34" s="41" t="e">
        <v>#N/A</v>
      </c>
      <c r="P34" s="41" t="e">
        <v>#N/A</v>
      </c>
      <c r="Q34" s="41" t="e">
        <v>#N/A</v>
      </c>
      <c r="R34" s="41" t="e">
        <v>#N/A</v>
      </c>
    </row>
    <row r="35" customHeight="1" spans="6:18">
      <c r="F35" s="28" t="s">
        <v>217</v>
      </c>
      <c r="G35" s="37">
        <f t="shared" ref="G35:R35" si="2">G20</f>
      </c>
      <c r="H35" s="37">
        <f t="shared" si="2"/>
      </c>
      <c r="I35" s="37">
        <f t="shared" si="2"/>
      </c>
      <c r="J35" s="37">
        <f t="shared" si="2"/>
      </c>
      <c r="K35" s="37">
        <f t="shared" si="2"/>
      </c>
      <c r="L35" s="37">
        <f t="shared" si="2"/>
      </c>
      <c r="M35" s="37">
        <f t="shared" si="2"/>
      </c>
      <c r="N35" s="37">
        <f t="shared" si="2"/>
      </c>
      <c r="O35" s="37">
        <f t="shared" si="2"/>
      </c>
      <c r="P35" s="37">
        <f t="shared" si="2"/>
      </c>
      <c r="Q35" s="37">
        <f t="shared" si="2"/>
      </c>
      <c r="R35" s="37">
        <f t="shared" si="2"/>
      </c>
    </row>
    <row r="36" customHeight="1" spans="6:18">
      <c r="F36" s="28" t="s">
        <v>218</v>
      </c>
      <c r="G36" s="41">
        <f>VLOOKUP(填写页!$C$6,分解计划!$A:$N,COLUMN()-4,FALSE)</f>
      </c>
      <c r="H36" s="41">
        <f>VLOOKUP(填写页!$C$6,分解计划!$A:$N,COLUMN()-4,FALSE)</f>
      </c>
      <c r="I36" s="41">
        <f>VLOOKUP(填写页!$C$6,分解计划!$A:$N,COLUMN()-4,FALSE)</f>
      </c>
      <c r="J36" s="41">
        <f>VLOOKUP(填写页!$C$6,分解计划!$A:$N,COLUMN()-4,FALSE)</f>
      </c>
      <c r="K36" s="41">
        <f>VLOOKUP(填写页!$C$6,分解计划!$A:$N,COLUMN()-4,FALSE)</f>
      </c>
      <c r="L36" s="41">
        <f>VLOOKUP(填写页!$C$6,分解计划!$A:$N,COLUMN()-4,FALSE)</f>
      </c>
      <c r="M36" s="41">
        <f>VLOOKUP(填写页!$C$6,分解计划!$A:$N,COLUMN()-4,FALSE)</f>
      </c>
      <c r="N36" s="41">
        <f>VLOOKUP(填写页!$C$6,分解计划!$A:$N,COLUMN()-4,FALSE)</f>
      </c>
      <c r="O36" s="41">
        <f>VLOOKUP(填写页!$C$6,分解计划!$A:$N,COLUMN()-4,FALSE)</f>
      </c>
      <c r="P36" s="41">
        <f>VLOOKUP(填写页!$C$6,分解计划!$A:$N,COLUMN()-4,FALSE)</f>
      </c>
      <c r="Q36" s="41">
        <f>VLOOKUP(填写页!$C$6,分解计划!$A:$N,COLUMN()-4,FALSE)</f>
      </c>
      <c r="R36" s="41">
        <f>VLOOKUP(填写页!$C$6,分解计划!$A:$N,COLUMN()-4,FALSE)</f>
      </c>
    </row>
    <row r="39" customHeight="1" spans="6:18">
      <c r="F39" s="26" t="s">
        <v>50</v>
      </c>
      <c r="G39" s="26" t="s">
        <v>108</v>
      </c>
      <c r="H39" s="26" t="s">
        <v>109</v>
      </c>
      <c r="I39" s="26" t="s">
        <v>110</v>
      </c>
      <c r="J39" s="26" t="s">
        <v>111</v>
      </c>
      <c r="K39" s="26" t="s">
        <v>112</v>
      </c>
      <c r="L39" s="26" t="s">
        <v>113</v>
      </c>
      <c r="M39" s="26" t="s">
        <v>114</v>
      </c>
      <c r="N39" s="26" t="s">
        <v>115</v>
      </c>
      <c r="O39" s="26" t="s">
        <v>116</v>
      </c>
      <c r="P39" s="26" t="s">
        <v>117</v>
      </c>
      <c r="Q39" s="26" t="s">
        <v>118</v>
      </c>
      <c r="R39" s="26" t="s">
        <v>119</v>
      </c>
    </row>
    <row r="40" customHeight="1" spans="6:18">
      <c r="F40" s="28" t="s">
        <v>63</v>
      </c>
      <c r="G40" s="42">
        <f t="array" ref="G40:R40">IF(COLUMN(G2:R2)&lt;=COLUMN(G2)+MATCH(填写页!$A$1,$G$1:$R$1,0)-1,G2:R2,NA())</f>
      </c>
      <c r="H40" s="42">
        <v>28.623522</v>
      </c>
      <c r="I40" s="42">
        <v>50.833071</v>
      </c>
      <c r="J40" s="42">
        <v>0</v>
      </c>
      <c r="K40" s="42" t="e">
        <v>#N/A</v>
      </c>
      <c r="L40" s="42" t="e">
        <v>#N/A</v>
      </c>
      <c r="M40" s="42" t="e">
        <v>#N/A</v>
      </c>
      <c r="N40" s="42" t="e">
        <v>#N/A</v>
      </c>
      <c r="O40" s="42" t="e">
        <v>#N/A</v>
      </c>
      <c r="P40" s="42" t="e">
        <v>#N/A</v>
      </c>
      <c r="Q40" s="42" t="e">
        <v>#N/A</v>
      </c>
      <c r="R40" s="42" t="e">
        <v>#N/A</v>
      </c>
    </row>
    <row r="41" customHeight="1" spans="6:18">
      <c r="F41" s="28" t="s">
        <v>214</v>
      </c>
      <c r="G41" s="42">
        <f t="array" ref="G41:R41">IF(COLUMN(G3:R3)&lt;=COLUMN(G3)+MATCH(填写页!$A$1,$G$1:$R$1,0)-1,G3:R3,NA())</f>
      </c>
      <c r="H41" s="42">
        <v>23.283589</v>
      </c>
      <c r="I41" s="42">
        <v>3.393221</v>
      </c>
      <c r="J41" s="42">
        <v>0</v>
      </c>
      <c r="K41" s="42" t="e">
        <v>#N/A</v>
      </c>
      <c r="L41" s="42" t="e">
        <v>#N/A</v>
      </c>
      <c r="M41" s="42" t="e">
        <v>#N/A</v>
      </c>
      <c r="N41" s="42" t="e">
        <v>#N/A</v>
      </c>
      <c r="O41" s="42" t="e">
        <v>#N/A</v>
      </c>
      <c r="P41" s="42" t="e">
        <v>#N/A</v>
      </c>
      <c r="Q41" s="42" t="e">
        <v>#N/A</v>
      </c>
      <c r="R41" s="42" t="e">
        <v>#N/A</v>
      </c>
    </row>
    <row r="42" customHeight="1" spans="6:18">
      <c r="F42" s="28" t="s">
        <v>65</v>
      </c>
      <c r="G42" s="42">
        <f t="array" ref="G42:R42">IF(COLUMN(G4:R4)&lt;=COLUMN(G4)+MATCH(填写页!$A$1,$G$1:$R$1,0)-1,G4:R4,NA())</f>
      </c>
      <c r="H42" s="42">
        <v>11.955679</v>
      </c>
      <c r="I42" s="42">
        <v>66.988168</v>
      </c>
      <c r="J42" s="42">
        <v>0</v>
      </c>
      <c r="K42" s="42" t="e">
        <v>#N/A</v>
      </c>
      <c r="L42" s="42" t="e">
        <v>#N/A</v>
      </c>
      <c r="M42" s="42" t="e">
        <v>#N/A</v>
      </c>
      <c r="N42" s="42" t="e">
        <v>#N/A</v>
      </c>
      <c r="O42" s="42" t="e">
        <v>#N/A</v>
      </c>
      <c r="P42" s="42" t="e">
        <v>#N/A</v>
      </c>
      <c r="Q42" s="42" t="e">
        <v>#N/A</v>
      </c>
      <c r="R42" s="42" t="e">
        <v>#N/A</v>
      </c>
    </row>
    <row r="43" customHeight="1" spans="6:18">
      <c r="F43" s="28" t="s">
        <v>67</v>
      </c>
      <c r="G43" s="42">
        <f t="array" ref="G43:R43">IF(COLUMN(G5:R5)&lt;=COLUMN(G5)+MATCH(填写页!$A$1,$G$1:$R$1,0)-1,G5:R5,NA())</f>
      </c>
      <c r="H43" s="42">
        <v>5.14162</v>
      </c>
      <c r="I43" s="42">
        <v>47.184892</v>
      </c>
      <c r="J43" s="42">
        <v>0</v>
      </c>
      <c r="K43" s="42" t="e">
        <v>#N/A</v>
      </c>
      <c r="L43" s="42" t="e">
        <v>#N/A</v>
      </c>
      <c r="M43" s="42" t="e">
        <v>#N/A</v>
      </c>
      <c r="N43" s="42" t="e">
        <v>#N/A</v>
      </c>
      <c r="O43" s="42" t="e">
        <v>#N/A</v>
      </c>
      <c r="P43" s="42" t="e">
        <v>#N/A</v>
      </c>
      <c r="Q43" s="42" t="e">
        <v>#N/A</v>
      </c>
      <c r="R43" s="42" t="e">
        <v>#N/A</v>
      </c>
    </row>
    <row r="60" customHeight="1" spans="3:9">
      <c r="C60" s="43"/>
    </row>
    <row r="61" ht="118" customHeight="1" spans="3:9">
      <c r="C61" s="43"/>
      <c r="D61" s="43"/>
      <c r="E61" s="43"/>
      <c r="F61" s="43"/>
      <c r="G61" s="43"/>
      <c r="H61" s="43"/>
      <c r="I61" s="43"/>
    </row>
  </sheetData>
  <mergeCells count="4">
    <mergeCell ref="C61:I61"/>
    <mergeCell ref="A2:A4"/>
    <mergeCell ref="A5:A12"/>
    <mergeCell ref="A13:A18"/>
  </mergeCells>
  <pageMargins left="0.75" right="0.75" top="1" bottom="1" header="0.5" footer="0.5"/>
  <pageSetup paperSize="9" orientation="portrait"/>
  <headerFooter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0">
    <tabColor rgb="FF9CD2A4"/>
  </sheetPr>
  <dimension ref="A1:R61"/>
  <sheetViews>
    <sheetView topLeftCell="A41" workbookViewId="0">
      <selection activeCell="C61" sqref="C61:I61"/>
    </sheetView>
  </sheetViews>
  <sheetFormatPr defaultColWidth="19.6126126126126" defaultRowHeight="18" customHeight="1"/>
  <cols>
    <col min="1" max="1" width="9.61261261261261" style="25" customWidth="1"/>
    <col min="2" max="2" width="7.45945945945946" style="25" customWidth="1"/>
    <col min="3" max="3" width="19" style="25" customWidth="1"/>
    <col min="4" max="5" width="14.6126126126126" style="25" customWidth="1"/>
    <col min="6" max="6" width="9" style="25" customWidth="1"/>
    <col min="7" max="25" width="9.61261261261261" style="25" customWidth="1"/>
    <col min="26" max="16384" width="19.6126126126126" style="25"/>
  </cols>
  <sheetData>
    <row r="1" customHeight="1" spans="1:18">
      <c r="A1" s="26" t="s">
        <v>48</v>
      </c>
      <c r="B1" s="26" t="s">
        <v>49</v>
      </c>
      <c r="C1" s="26" t="s">
        <v>50</v>
      </c>
      <c r="D1" s="26" t="s">
        <v>128</v>
      </c>
      <c r="E1" s="26" t="s">
        <v>129</v>
      </c>
      <c r="F1" s="26" t="s">
        <v>213</v>
      </c>
      <c r="G1" s="26" t="s">
        <v>108</v>
      </c>
      <c r="H1" s="26" t="s">
        <v>109</v>
      </c>
      <c r="I1" s="26" t="s">
        <v>110</v>
      </c>
      <c r="J1" s="26" t="s">
        <v>111</v>
      </c>
      <c r="K1" s="26" t="s">
        <v>112</v>
      </c>
      <c r="L1" s="26" t="s">
        <v>113</v>
      </c>
      <c r="M1" s="26" t="s">
        <v>114</v>
      </c>
      <c r="N1" s="26" t="s">
        <v>115</v>
      </c>
      <c r="O1" s="26" t="s">
        <v>116</v>
      </c>
      <c r="P1" s="26" t="s">
        <v>117</v>
      </c>
      <c r="Q1" s="26" t="s">
        <v>118</v>
      </c>
      <c r="R1" s="26" t="s">
        <v>119</v>
      </c>
    </row>
    <row r="2" customHeight="1" spans="1:18">
      <c r="A2" s="27" t="s">
        <v>62</v>
      </c>
      <c r="B2" s="28">
        <v>1</v>
      </c>
      <c r="C2" s="28" t="s">
        <v>63</v>
      </c>
      <c r="D2" s="29">
        <f t="array" ref="D2:D18">INDEX(年度计划!E2:M18,,MATCH(填写页!C7,年度计划!E1:M1,0))</f>
      </c>
      <c r="E2" s="29">
        <f>SUM(G2:R2)</f>
      </c>
      <c r="F2" s="30">
        <f t="shared" ref="F2:F18" si="0">IFERROR(MAX(1+(E2-D2)/ABS(D2),0),)</f>
      </c>
      <c r="G2" s="31">
        <v>557.51</v>
      </c>
      <c r="H2" s="31">
        <v>405.76</v>
      </c>
      <c r="I2" s="31">
        <v>524.09</v>
      </c>
      <c r="J2" s="31">
        <v>614.99</v>
      </c>
      <c r="K2" s="31">
        <v>0</v>
      </c>
      <c r="L2" s="31">
        <v>0</v>
      </c>
      <c r="M2" s="31">
        <v>0</v>
      </c>
      <c r="N2" s="31">
        <v>0</v>
      </c>
      <c r="O2" s="31">
        <v>0</v>
      </c>
      <c r="P2" s="31">
        <v>0</v>
      </c>
      <c r="Q2" s="31">
        <v>0</v>
      </c>
      <c r="R2" s="31">
        <v>0</v>
      </c>
    </row>
    <row r="3" customHeight="1" spans="1:18">
      <c r="A3" s="27"/>
      <c r="B3" s="28">
        <v>2</v>
      </c>
      <c r="C3" s="28" t="s">
        <v>219</v>
      </c>
      <c r="D3" s="29">
        <v>3208.89</v>
      </c>
      <c r="E3" s="29">
        <f t="shared" ref="E3:E12" si="1">SUM(G3:R3)</f>
      </c>
      <c r="F3" s="30">
        <f t="shared" si="0"/>
      </c>
      <c r="G3" s="31">
        <v>200.89239999999995</v>
      </c>
      <c r="H3" s="31">
        <v>69.875</v>
      </c>
      <c r="I3" s="31">
        <v>196.984</v>
      </c>
      <c r="J3" s="31">
        <v>278.19100000000003</v>
      </c>
      <c r="K3" s="31">
        <v>0</v>
      </c>
      <c r="L3" s="31">
        <v>0</v>
      </c>
      <c r="M3" s="31">
        <v>0</v>
      </c>
      <c r="N3" s="31">
        <v>0</v>
      </c>
      <c r="O3" s="31">
        <v>0</v>
      </c>
      <c r="P3" s="31">
        <v>0</v>
      </c>
      <c r="Q3" s="31">
        <v>0</v>
      </c>
      <c r="R3" s="31">
        <v>0</v>
      </c>
    </row>
    <row r="4" customHeight="1" spans="1:18">
      <c r="A4" s="27"/>
      <c r="B4" s="28">
        <v>3</v>
      </c>
      <c r="C4" s="28" t="s">
        <v>65</v>
      </c>
      <c r="D4" s="29">
        <v>2140.79</v>
      </c>
      <c r="E4" s="29">
        <f t="shared" si="1"/>
      </c>
      <c r="F4" s="30">
        <f t="shared" si="0"/>
      </c>
      <c r="G4" s="31">
        <v>17.26</v>
      </c>
      <c r="H4" s="31">
        <v>25.62</v>
      </c>
      <c r="I4" s="31">
        <v>207.69</v>
      </c>
      <c r="J4" s="31">
        <v>-186.61</v>
      </c>
      <c r="K4" s="31"/>
      <c r="L4" s="31"/>
      <c r="M4" s="31"/>
      <c r="N4" s="31"/>
      <c r="O4" s="31"/>
      <c r="P4" s="31"/>
      <c r="Q4" s="31"/>
      <c r="R4" s="31"/>
    </row>
    <row r="5" customHeight="1" spans="1:18">
      <c r="A5" s="27" t="s">
        <v>66</v>
      </c>
      <c r="B5" s="28">
        <v>4</v>
      </c>
      <c r="C5" s="28" t="s">
        <v>215</v>
      </c>
      <c r="D5" s="29">
        <v>4751.02</v>
      </c>
      <c r="E5" s="29">
        <f t="shared" si="1"/>
      </c>
      <c r="F5" s="30">
        <f t="shared" si="0"/>
      </c>
      <c r="G5" s="31">
        <v>359.0376</v>
      </c>
      <c r="H5" s="31">
        <v>338.005</v>
      </c>
      <c r="I5" s="31">
        <v>331.67600000000004</v>
      </c>
      <c r="J5" s="31">
        <v>338.93899999999996</v>
      </c>
      <c r="K5" s="31">
        <v>0</v>
      </c>
      <c r="L5" s="31">
        <v>0</v>
      </c>
      <c r="M5" s="31">
        <v>0</v>
      </c>
      <c r="N5" s="31">
        <v>0</v>
      </c>
      <c r="O5" s="31">
        <v>0</v>
      </c>
      <c r="P5" s="31">
        <v>0</v>
      </c>
      <c r="Q5" s="31">
        <v>0</v>
      </c>
      <c r="R5" s="31">
        <v>0</v>
      </c>
    </row>
    <row r="6" customHeight="1" spans="1:18">
      <c r="A6" s="27"/>
      <c r="B6" s="28">
        <v>4.1</v>
      </c>
      <c r="C6" s="28" t="s">
        <v>68</v>
      </c>
      <c r="D6" s="32">
        <v>2813.65</v>
      </c>
      <c r="E6" s="32">
        <f t="shared" si="1"/>
      </c>
      <c r="F6" s="33">
        <f t="shared" si="0"/>
      </c>
      <c r="G6" s="31">
        <v>196.84</v>
      </c>
      <c r="H6" s="31">
        <v>206.45999999999998</v>
      </c>
      <c r="I6" s="31">
        <v>208.23000000000002</v>
      </c>
      <c r="J6" s="31">
        <v>203.96999999999997</v>
      </c>
      <c r="K6" s="31">
        <v>0</v>
      </c>
      <c r="L6" s="31">
        <v>0</v>
      </c>
      <c r="M6" s="31">
        <v>0</v>
      </c>
      <c r="N6" s="31">
        <v>0</v>
      </c>
      <c r="O6" s="31">
        <v>0</v>
      </c>
      <c r="P6" s="31">
        <v>0</v>
      </c>
      <c r="Q6" s="31">
        <v>0</v>
      </c>
      <c r="R6" s="31">
        <v>0</v>
      </c>
    </row>
    <row r="7" customHeight="1" spans="1:18">
      <c r="A7" s="27"/>
      <c r="B7" s="28" t="s">
        <v>69</v>
      </c>
      <c r="C7" s="34" t="s">
        <v>70</v>
      </c>
      <c r="D7" s="32">
        <v>2148.46</v>
      </c>
      <c r="E7" s="32">
        <f t="shared" si="1"/>
      </c>
      <c r="F7" s="33">
        <f t="shared" si="0"/>
      </c>
      <c r="G7" s="31">
        <v>167.97</v>
      </c>
      <c r="H7" s="31">
        <v>178.29999999999998</v>
      </c>
      <c r="I7" s="31">
        <v>163.82000000000002</v>
      </c>
      <c r="J7" s="31">
        <v>164.76999999999998</v>
      </c>
      <c r="K7" s="31">
        <v>0</v>
      </c>
      <c r="L7" s="31">
        <v>0</v>
      </c>
      <c r="M7" s="31">
        <v>0</v>
      </c>
      <c r="N7" s="31">
        <v>0</v>
      </c>
      <c r="O7" s="31">
        <v>0</v>
      </c>
      <c r="P7" s="31">
        <v>0</v>
      </c>
      <c r="Q7" s="31">
        <v>0</v>
      </c>
      <c r="R7" s="31">
        <v>0</v>
      </c>
    </row>
    <row r="8" customHeight="1" spans="1:18">
      <c r="A8" s="27"/>
      <c r="B8" s="28" t="s">
        <v>71</v>
      </c>
      <c r="C8" s="34" t="s">
        <v>72</v>
      </c>
      <c r="D8" s="32">
        <v>665.19</v>
      </c>
      <c r="E8" s="32">
        <f t="shared" si="1"/>
      </c>
      <c r="F8" s="33">
        <f t="shared" si="0"/>
      </c>
      <c r="G8" s="31">
        <v>28.870000000000005</v>
      </c>
      <c r="H8" s="31">
        <v>28.16</v>
      </c>
      <c r="I8" s="31">
        <v>44.410000000000004</v>
      </c>
      <c r="J8" s="31">
        <v>39.2</v>
      </c>
      <c r="K8" s="31">
        <v>0</v>
      </c>
      <c r="L8" s="31">
        <v>0</v>
      </c>
      <c r="M8" s="31">
        <v>0</v>
      </c>
      <c r="N8" s="31">
        <v>0</v>
      </c>
      <c r="O8" s="31">
        <v>0</v>
      </c>
      <c r="P8" s="31">
        <v>0</v>
      </c>
      <c r="Q8" s="31">
        <v>0</v>
      </c>
      <c r="R8" s="31">
        <v>0</v>
      </c>
    </row>
    <row r="9" customHeight="1" spans="1:18">
      <c r="A9" s="27"/>
      <c r="B9" s="28">
        <v>4.2</v>
      </c>
      <c r="C9" s="28" t="s">
        <v>73</v>
      </c>
      <c r="D9" s="32">
        <v>1937.37</v>
      </c>
      <c r="E9" s="32">
        <f t="shared" si="1"/>
      </c>
      <c r="F9" s="33">
        <f t="shared" si="0"/>
      </c>
      <c r="G9" s="31">
        <v>162.1976</v>
      </c>
      <c r="H9" s="31">
        <v>131.54500000000002</v>
      </c>
      <c r="I9" s="31">
        <v>123.446</v>
      </c>
      <c r="J9" s="31">
        <v>134.969</v>
      </c>
      <c r="K9" s="31">
        <v>0</v>
      </c>
      <c r="L9" s="31">
        <v>0</v>
      </c>
      <c r="M9" s="31">
        <v>0</v>
      </c>
      <c r="N9" s="31">
        <v>0</v>
      </c>
      <c r="O9" s="31">
        <v>0</v>
      </c>
      <c r="P9" s="31">
        <v>0</v>
      </c>
      <c r="Q9" s="31">
        <v>0</v>
      </c>
      <c r="R9" s="31">
        <v>0</v>
      </c>
    </row>
    <row r="10" customHeight="1" spans="1:18">
      <c r="A10" s="27"/>
      <c r="B10" s="28" t="s">
        <v>74</v>
      </c>
      <c r="C10" s="34" t="s">
        <v>75</v>
      </c>
      <c r="D10" s="32">
        <v>647.28</v>
      </c>
      <c r="E10" s="32">
        <f t="shared" si="1"/>
      </c>
      <c r="F10" s="33">
        <f t="shared" si="0"/>
      </c>
      <c r="G10" s="31">
        <v>51.09759999999999</v>
      </c>
      <c r="H10" s="31">
        <v>43.375</v>
      </c>
      <c r="I10" s="31">
        <v>51.276</v>
      </c>
      <c r="J10" s="31">
        <v>55.93900000000001</v>
      </c>
      <c r="K10" s="31">
        <v>0</v>
      </c>
      <c r="L10" s="31">
        <v>0</v>
      </c>
      <c r="M10" s="31">
        <v>0</v>
      </c>
      <c r="N10" s="31">
        <v>0</v>
      </c>
      <c r="O10" s="31">
        <v>0</v>
      </c>
      <c r="P10" s="31">
        <v>0</v>
      </c>
      <c r="Q10" s="31">
        <v>0</v>
      </c>
      <c r="R10" s="31">
        <v>0</v>
      </c>
    </row>
    <row r="11" customHeight="1" spans="1:18">
      <c r="A11" s="27"/>
      <c r="B11" s="28" t="s">
        <v>76</v>
      </c>
      <c r="C11" s="34" t="s">
        <v>77</v>
      </c>
      <c r="D11" s="32">
        <v>1290.09</v>
      </c>
      <c r="E11" s="32">
        <f t="shared" si="1"/>
      </c>
      <c r="F11" s="33">
        <f t="shared" si="0"/>
      </c>
      <c r="G11" s="31">
        <v>111.10000000000001</v>
      </c>
      <c r="H11" s="31">
        <v>88.17</v>
      </c>
      <c r="I11" s="31">
        <v>72.17</v>
      </c>
      <c r="J11" s="31">
        <v>79.03</v>
      </c>
      <c r="K11" s="31">
        <v>0</v>
      </c>
      <c r="L11" s="31">
        <v>0</v>
      </c>
      <c r="M11" s="31">
        <v>0</v>
      </c>
      <c r="N11" s="31">
        <v>0</v>
      </c>
      <c r="O11" s="31">
        <v>0</v>
      </c>
      <c r="P11" s="31">
        <v>0</v>
      </c>
      <c r="Q11" s="31">
        <v>0</v>
      </c>
      <c r="R11" s="31">
        <v>0</v>
      </c>
    </row>
    <row r="12" customHeight="1" spans="1:18">
      <c r="A12" s="27"/>
      <c r="B12" s="28">
        <v>5</v>
      </c>
      <c r="C12" s="28" t="s">
        <v>78</v>
      </c>
      <c r="D12" s="29">
        <v>294.498</v>
      </c>
      <c r="E12" s="29">
        <f t="shared" si="1"/>
      </c>
      <c r="F12" s="30">
        <f t="shared" si="0"/>
      </c>
      <c r="G12" s="31">
        <v>0</v>
      </c>
      <c r="H12" s="31">
        <v>0</v>
      </c>
      <c r="I12" s="31">
        <v>0</v>
      </c>
      <c r="J12" s="31">
        <v>0</v>
      </c>
      <c r="K12" s="31">
        <v>0</v>
      </c>
      <c r="L12" s="31">
        <v>0</v>
      </c>
      <c r="M12" s="31">
        <v>0</v>
      </c>
      <c r="N12" s="31">
        <v>0</v>
      </c>
      <c r="O12" s="31">
        <v>0</v>
      </c>
      <c r="P12" s="31">
        <v>0</v>
      </c>
      <c r="Q12" s="31">
        <v>0</v>
      </c>
      <c r="R12" s="31">
        <v>0</v>
      </c>
    </row>
    <row r="13" customHeight="1" spans="1:18">
      <c r="A13" s="27" t="s">
        <v>79</v>
      </c>
      <c r="B13" s="28">
        <v>6</v>
      </c>
      <c r="C13" s="28" t="s">
        <v>80</v>
      </c>
      <c r="D13" s="30">
        <v>0.8203</v>
      </c>
      <c r="E13" s="30">
        <f>AVERAGE(G13:R13)</f>
      </c>
      <c r="F13" s="30">
        <f t="shared" si="0"/>
      </c>
      <c r="G13" s="44">
        <v>0.6527</v>
      </c>
      <c r="H13" s="44">
        <v>0.5493</v>
      </c>
      <c r="I13" s="31">
        <v>0.7096</v>
      </c>
      <c r="J13" s="31">
        <v>0.877</v>
      </c>
      <c r="K13" s="31"/>
      <c r="L13" s="31"/>
      <c r="M13" s="31"/>
      <c r="N13" s="31"/>
      <c r="O13" s="31"/>
      <c r="P13" s="31"/>
      <c r="Q13" s="31"/>
      <c r="R13" s="31"/>
    </row>
    <row r="14" customHeight="1" spans="1:18">
      <c r="A14" s="27"/>
      <c r="B14" s="28">
        <v>7</v>
      </c>
      <c r="C14" s="28" t="s">
        <v>81</v>
      </c>
      <c r="D14" s="30">
        <v>0.842</v>
      </c>
      <c r="E14" s="30">
        <f>AVERAGE(G14:R14)</f>
      </c>
      <c r="F14" s="30">
        <f t="shared" si="0"/>
      </c>
      <c r="G14" s="44">
        <v>0.7759</v>
      </c>
      <c r="H14" s="44">
        <v>0.7279</v>
      </c>
      <c r="I14" s="31">
        <v>0.7701</v>
      </c>
      <c r="J14" s="31">
        <v>0.9935</v>
      </c>
      <c r="K14" s="31"/>
      <c r="L14" s="31"/>
      <c r="M14" s="31"/>
      <c r="N14" s="31"/>
      <c r="O14" s="31"/>
      <c r="P14" s="31"/>
      <c r="Q14" s="31"/>
      <c r="R14" s="31"/>
    </row>
    <row r="15" customHeight="1" spans="1:18">
      <c r="A15" s="27"/>
      <c r="B15" s="28">
        <v>8</v>
      </c>
      <c r="C15" s="28" t="s">
        <v>82</v>
      </c>
      <c r="D15" s="29">
        <v>4.7</v>
      </c>
      <c r="E15" s="45">
        <f>AVERAGE(G15:R15)</f>
      </c>
      <c r="F15" s="30">
        <f t="shared" si="0"/>
      </c>
      <c r="G15" s="46">
        <v>4.68</v>
      </c>
      <c r="H15" s="46">
        <v>4.67</v>
      </c>
      <c r="I15" s="31">
        <v>4.69</v>
      </c>
      <c r="J15" s="31">
        <v>4.67</v>
      </c>
      <c r="K15" s="31"/>
      <c r="L15" s="31"/>
      <c r="M15" s="31"/>
      <c r="N15" s="31"/>
      <c r="O15" s="31"/>
      <c r="P15" s="31"/>
      <c r="Q15" s="31"/>
      <c r="R15" s="31"/>
    </row>
    <row r="16" customHeight="1" spans="1:18">
      <c r="A16" s="27"/>
      <c r="B16" s="28">
        <v>9</v>
      </c>
      <c r="C16" s="28" t="s">
        <v>83</v>
      </c>
      <c r="D16" s="29">
        <v>0</v>
      </c>
      <c r="E16" s="29"/>
      <c r="F16" s="30">
        <f t="shared" si="0"/>
      </c>
      <c r="G16" s="31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</row>
    <row r="17" customHeight="1" spans="1:18">
      <c r="A17" s="27"/>
      <c r="B17" s="28">
        <v>10</v>
      </c>
      <c r="C17" s="28" t="s">
        <v>84</v>
      </c>
      <c r="D17" s="30">
        <v>0</v>
      </c>
      <c r="E17" s="30"/>
      <c r="F17" s="30">
        <f t="shared" si="0"/>
      </c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</row>
    <row r="18" customHeight="1" spans="1:18">
      <c r="A18" s="27"/>
      <c r="B18" s="28">
        <v>11</v>
      </c>
      <c r="C18" s="28" t="s">
        <v>85</v>
      </c>
      <c r="D18" s="30">
        <v>0</v>
      </c>
      <c r="E18" s="30"/>
      <c r="F18" s="30">
        <f t="shared" si="0"/>
      </c>
      <c r="G18" s="31"/>
      <c r="H18" s="31"/>
      <c r="I18" s="31"/>
      <c r="J18" s="31"/>
      <c r="K18" s="31"/>
      <c r="L18" s="31"/>
      <c r="M18" s="31"/>
      <c r="N18" s="31"/>
      <c r="O18" s="31"/>
      <c r="P18" s="31"/>
      <c r="Q18" s="31"/>
      <c r="R18" s="31"/>
    </row>
    <row r="19" customHeight="1" spans="1:18">
      <c r="C19" s="35" t="s">
        <v>216</v>
      </c>
      <c r="D19" s="35" t="s">
        <v>128</v>
      </c>
      <c r="E19" s="35" t="s">
        <v>129</v>
      </c>
      <c r="F19" s="35" t="s">
        <v>130</v>
      </c>
      <c r="G19" s="35" t="s">
        <v>108</v>
      </c>
      <c r="H19" s="35" t="s">
        <v>109</v>
      </c>
      <c r="I19" s="35" t="s">
        <v>110</v>
      </c>
      <c r="J19" s="35" t="s">
        <v>111</v>
      </c>
      <c r="K19" s="35" t="s">
        <v>112</v>
      </c>
      <c r="L19" s="35" t="s">
        <v>113</v>
      </c>
      <c r="M19" s="35" t="s">
        <v>114</v>
      </c>
      <c r="N19" s="35" t="s">
        <v>115</v>
      </c>
      <c r="O19" s="35" t="s">
        <v>116</v>
      </c>
      <c r="P19" s="35" t="s">
        <v>117</v>
      </c>
      <c r="Q19" s="35" t="s">
        <v>118</v>
      </c>
      <c r="R19" s="35" t="s">
        <v>119</v>
      </c>
    </row>
    <row r="20" customHeight="1" spans="1:18">
      <c r="C20" s="28" t="s">
        <v>63</v>
      </c>
      <c r="D20" s="36">
        <v>8778.3</v>
      </c>
      <c r="E20" s="37">
        <v>7549.28</v>
      </c>
      <c r="F20" s="38">
        <v>0.85999339279815</v>
      </c>
      <c r="G20" s="37">
        <v>638.59</v>
      </c>
      <c r="H20" s="37">
        <v>508.88</v>
      </c>
      <c r="I20" s="37">
        <v>583.66</v>
      </c>
      <c r="J20" s="37">
        <v>632.44</v>
      </c>
      <c r="K20" s="37">
        <v>669.89</v>
      </c>
      <c r="L20" s="37">
        <v>654.76</v>
      </c>
      <c r="M20" s="37">
        <v>751.06</v>
      </c>
      <c r="N20" s="37">
        <v>672.56</v>
      </c>
      <c r="O20" s="37">
        <v>585.23</v>
      </c>
      <c r="P20" s="37">
        <v>673.95</v>
      </c>
      <c r="Q20" s="37">
        <v>623.86</v>
      </c>
      <c r="R20" s="37">
        <v>554.4</v>
      </c>
    </row>
    <row r="21" customHeight="1" spans="1:18">
      <c r="C21" s="28" t="s">
        <v>219</v>
      </c>
      <c r="D21" s="36">
        <v>3749.94</v>
      </c>
      <c r="E21" s="37">
        <v>2969.6251</v>
      </c>
      <c r="F21" s="38">
        <v>0.791912697269823</v>
      </c>
      <c r="G21" s="37">
        <v>206.54</v>
      </c>
      <c r="H21" s="37">
        <v>132.75</v>
      </c>
      <c r="I21" s="37">
        <v>222.6261</v>
      </c>
      <c r="J21" s="37">
        <v>273.82</v>
      </c>
      <c r="K21" s="37">
        <v>282.32</v>
      </c>
      <c r="L21" s="37">
        <v>278.26</v>
      </c>
      <c r="M21" s="37">
        <v>346.88</v>
      </c>
      <c r="N21" s="37">
        <v>275.043</v>
      </c>
      <c r="O21" s="37">
        <v>231.813</v>
      </c>
      <c r="P21" s="37">
        <v>291.005</v>
      </c>
      <c r="Q21" s="37">
        <v>258.948</v>
      </c>
      <c r="R21" s="37">
        <v>169.62</v>
      </c>
    </row>
    <row r="22" customHeight="1" spans="1:18">
      <c r="C22" s="28" t="s">
        <v>65</v>
      </c>
      <c r="D22" s="36">
        <v>2297.88</v>
      </c>
      <c r="E22" s="37">
        <v>1105.78</v>
      </c>
      <c r="F22" s="38">
        <v>0.481217470015841</v>
      </c>
      <c r="G22" s="37">
        <v>37.57</v>
      </c>
      <c r="H22" s="37">
        <v>26.77</v>
      </c>
      <c r="I22" s="37">
        <v>149.98</v>
      </c>
      <c r="J22" s="37">
        <v>-211.81</v>
      </c>
      <c r="K22" s="37">
        <v>229.59</v>
      </c>
      <c r="L22" s="37">
        <v>169.05</v>
      </c>
      <c r="M22" s="37">
        <v>281.06</v>
      </c>
      <c r="N22" s="37">
        <v>285.12</v>
      </c>
      <c r="O22" s="37">
        <v>254.51</v>
      </c>
      <c r="P22" s="37">
        <v>-376.23</v>
      </c>
      <c r="Q22" s="37">
        <v>118.4</v>
      </c>
      <c r="R22" s="37">
        <v>141.77</v>
      </c>
    </row>
    <row r="23" customHeight="1" spans="1:18">
      <c r="C23" s="28" t="s">
        <v>67</v>
      </c>
      <c r="D23" s="36">
        <v>5050.36</v>
      </c>
      <c r="E23" s="37">
        <v>4621.7049</v>
      </c>
      <c r="F23" s="38">
        <v>0.915123852557045</v>
      </c>
      <c r="G23" s="37">
        <v>431.87</v>
      </c>
      <c r="H23" s="37">
        <v>375.86</v>
      </c>
      <c r="I23" s="37">
        <v>363.5439</v>
      </c>
      <c r="J23" s="37">
        <v>358.34</v>
      </c>
      <c r="K23" s="37">
        <v>401.51</v>
      </c>
      <c r="L23" s="37">
        <v>381.88</v>
      </c>
      <c r="M23" s="37">
        <v>406.45</v>
      </c>
      <c r="N23" s="37">
        <v>399.797</v>
      </c>
      <c r="O23" s="37">
        <v>359.457</v>
      </c>
      <c r="P23" s="37">
        <v>385.285</v>
      </c>
      <c r="Q23" s="37">
        <v>367.262</v>
      </c>
      <c r="R23" s="37">
        <v>390.45</v>
      </c>
    </row>
    <row r="24" customHeight="1" spans="1:18">
      <c r="C24" s="28" t="s">
        <v>68</v>
      </c>
      <c r="D24" s="36">
        <v>2620.81</v>
      </c>
      <c r="E24" s="37">
        <v>2558.95</v>
      </c>
      <c r="F24" s="38">
        <v>0.976396610208294</v>
      </c>
      <c r="G24" s="37">
        <v>241.55</v>
      </c>
      <c r="H24" s="37">
        <v>212.22</v>
      </c>
      <c r="I24" s="37">
        <v>208.383</v>
      </c>
      <c r="J24" s="37">
        <v>210.2</v>
      </c>
      <c r="K24" s="37">
        <v>219.812</v>
      </c>
      <c r="L24" s="37">
        <v>212.98</v>
      </c>
      <c r="M24" s="37">
        <v>211.755</v>
      </c>
      <c r="N24" s="37">
        <v>207.25</v>
      </c>
      <c r="O24" s="37">
        <v>210.79</v>
      </c>
      <c r="P24" s="37">
        <v>216.355</v>
      </c>
      <c r="Q24" s="37">
        <v>206.385</v>
      </c>
      <c r="R24" s="37">
        <v>201.27</v>
      </c>
    </row>
    <row r="25" customHeight="1" spans="1:18">
      <c r="C25" s="34" t="s">
        <v>70</v>
      </c>
      <c r="D25" s="36">
        <v>2233.02</v>
      </c>
      <c r="E25" s="37">
        <v>2216.83</v>
      </c>
      <c r="F25" s="38">
        <v>0.992749729066466</v>
      </c>
      <c r="G25" s="37">
        <v>210.63</v>
      </c>
      <c r="H25" s="37">
        <v>183.02</v>
      </c>
      <c r="I25" s="37">
        <v>181.86</v>
      </c>
      <c r="J25" s="37">
        <v>185.99</v>
      </c>
      <c r="K25" s="37">
        <v>187.97</v>
      </c>
      <c r="L25" s="37">
        <v>185.91</v>
      </c>
      <c r="M25" s="37">
        <v>182.75</v>
      </c>
      <c r="N25" s="37">
        <v>176.48</v>
      </c>
      <c r="O25" s="37">
        <v>184.77</v>
      </c>
      <c r="P25" s="37">
        <v>190.98</v>
      </c>
      <c r="Q25" s="37">
        <v>177.12</v>
      </c>
      <c r="R25" s="37">
        <v>169.35</v>
      </c>
    </row>
    <row r="26" customHeight="1" spans="1:18">
      <c r="C26" s="34" t="s">
        <v>72</v>
      </c>
      <c r="D26" s="36">
        <v>387.79</v>
      </c>
      <c r="E26" s="37">
        <v>342.12</v>
      </c>
      <c r="F26" s="38">
        <v>0.882230072977642</v>
      </c>
      <c r="G26" s="37">
        <v>30.92</v>
      </c>
      <c r="H26" s="37">
        <v>29.2</v>
      </c>
      <c r="I26" s="37">
        <v>26.523</v>
      </c>
      <c r="J26" s="37">
        <v>24.21</v>
      </c>
      <c r="K26" s="37">
        <v>31.842</v>
      </c>
      <c r="L26" s="37">
        <v>27.07</v>
      </c>
      <c r="M26" s="37">
        <v>29.005</v>
      </c>
      <c r="N26" s="37">
        <v>30.77</v>
      </c>
      <c r="O26" s="37">
        <v>26.02</v>
      </c>
      <c r="P26" s="37">
        <v>25.375</v>
      </c>
      <c r="Q26" s="37">
        <v>29.265</v>
      </c>
      <c r="R26" s="37">
        <v>31.92</v>
      </c>
    </row>
    <row r="27" customHeight="1" spans="1:18">
      <c r="C27" s="28" t="s">
        <v>73</v>
      </c>
      <c r="D27" s="36">
        <v>2429.55</v>
      </c>
      <c r="E27" s="37">
        <v>2062.7549</v>
      </c>
      <c r="F27" s="38">
        <v>0.849027556543393</v>
      </c>
      <c r="G27" s="37">
        <v>190.32</v>
      </c>
      <c r="H27" s="37">
        <v>163.64</v>
      </c>
      <c r="I27" s="37">
        <v>155.1609</v>
      </c>
      <c r="J27" s="37">
        <v>148.14</v>
      </c>
      <c r="K27" s="37">
        <v>181.698</v>
      </c>
      <c r="L27" s="37">
        <v>168.9</v>
      </c>
      <c r="M27" s="37">
        <v>194.695</v>
      </c>
      <c r="N27" s="37">
        <v>192.547</v>
      </c>
      <c r="O27" s="37">
        <v>148.667</v>
      </c>
      <c r="P27" s="37">
        <v>168.93</v>
      </c>
      <c r="Q27" s="37">
        <v>160.877</v>
      </c>
      <c r="R27" s="37">
        <v>189.18</v>
      </c>
    </row>
    <row r="28" customHeight="1" spans="1:18">
      <c r="C28" s="34" t="s">
        <v>75</v>
      </c>
      <c r="D28" s="36">
        <v>942.96</v>
      </c>
      <c r="E28" s="37">
        <v>891.0549</v>
      </c>
      <c r="F28" s="38">
        <v>0.944955141257317</v>
      </c>
      <c r="G28" s="37">
        <v>68.45</v>
      </c>
      <c r="H28" s="37">
        <v>70.04</v>
      </c>
      <c r="I28" s="37">
        <v>75.6709</v>
      </c>
      <c r="J28" s="37">
        <v>71.2</v>
      </c>
      <c r="K28" s="37">
        <v>80.108</v>
      </c>
      <c r="L28" s="37">
        <v>74.62</v>
      </c>
      <c r="M28" s="37">
        <v>82.975</v>
      </c>
      <c r="N28" s="37">
        <v>85.877</v>
      </c>
      <c r="O28" s="37">
        <v>65.857</v>
      </c>
      <c r="P28" s="37">
        <v>69.76</v>
      </c>
      <c r="Q28" s="37">
        <v>80.287</v>
      </c>
      <c r="R28" s="37">
        <v>66.21</v>
      </c>
    </row>
    <row r="29" customHeight="1" spans="1:18">
      <c r="C29" s="34" t="s">
        <v>77</v>
      </c>
      <c r="D29" s="36">
        <v>1486.59</v>
      </c>
      <c r="E29" s="37">
        <v>1171.7</v>
      </c>
      <c r="F29" s="38">
        <v>0.788179659489167</v>
      </c>
      <c r="G29" s="37">
        <v>121.87</v>
      </c>
      <c r="H29" s="37">
        <v>93.6</v>
      </c>
      <c r="I29" s="37">
        <v>79.49</v>
      </c>
      <c r="J29" s="37">
        <v>76.94</v>
      </c>
      <c r="K29" s="37">
        <v>101.59</v>
      </c>
      <c r="L29" s="37">
        <v>94.28</v>
      </c>
      <c r="M29" s="37">
        <v>111.72</v>
      </c>
      <c r="N29" s="37">
        <v>106.67</v>
      </c>
      <c r="O29" s="37">
        <v>82.81</v>
      </c>
      <c r="P29" s="37">
        <v>99.17</v>
      </c>
      <c r="Q29" s="37">
        <v>80.59</v>
      </c>
      <c r="R29" s="37">
        <v>122.97</v>
      </c>
    </row>
    <row r="30" customHeight="1" spans="1:18">
      <c r="C30" s="28" t="s">
        <v>78</v>
      </c>
      <c r="D30" s="36">
        <v>231.78</v>
      </c>
      <c r="E30" s="37">
        <v>131.16</v>
      </c>
      <c r="F30" s="38">
        <v>0.565881439295884</v>
      </c>
      <c r="G30" s="37">
        <v>0</v>
      </c>
      <c r="H30" s="37">
        <v>0.98</v>
      </c>
      <c r="I30" s="37">
        <v>0</v>
      </c>
      <c r="J30" s="37">
        <v>5.13</v>
      </c>
      <c r="K30" s="37">
        <v>5.09</v>
      </c>
      <c r="L30" s="37">
        <v>5.42</v>
      </c>
      <c r="M30" s="37">
        <v>2.1</v>
      </c>
      <c r="N30" s="37">
        <v>1.86</v>
      </c>
      <c r="O30" s="37">
        <v>4.59</v>
      </c>
      <c r="P30" s="37">
        <v>0.52</v>
      </c>
      <c r="Q30" s="37">
        <v>9.33</v>
      </c>
      <c r="R30" s="37">
        <v>96.14</v>
      </c>
    </row>
    <row r="31" customHeight="1" spans="1:18">
      <c r="C31" s="28" t="s">
        <v>80</v>
      </c>
      <c r="D31" s="36">
        <v>0.844</v>
      </c>
      <c r="E31" s="37">
        <v>0.786083333333333</v>
      </c>
      <c r="F31" s="38">
        <v>0.931378357030016</v>
      </c>
      <c r="G31" s="37">
        <v>0.708</v>
      </c>
      <c r="H31" s="37">
        <v>0.627</v>
      </c>
      <c r="I31" s="37">
        <v>0.696</v>
      </c>
      <c r="J31" s="37">
        <v>0.786</v>
      </c>
      <c r="K31" s="37">
        <v>0.829</v>
      </c>
      <c r="L31" s="37">
        <v>0.86</v>
      </c>
      <c r="M31" s="37">
        <v>0.936</v>
      </c>
      <c r="N31" s="37">
        <v>0.89</v>
      </c>
      <c r="O31" s="37">
        <v>0.803</v>
      </c>
      <c r="P31" s="37">
        <v>0.823</v>
      </c>
      <c r="Q31" s="37">
        <v>0.801</v>
      </c>
      <c r="R31" s="37">
        <v>0.674</v>
      </c>
    </row>
    <row r="32" customHeight="1" spans="1:18">
      <c r="C32" s="28" t="s">
        <v>81</v>
      </c>
      <c r="D32" s="36">
        <v>0.95</v>
      </c>
      <c r="E32" s="37">
        <v>0.822833333333333</v>
      </c>
      <c r="F32" s="38">
        <v>0.866140350877193</v>
      </c>
      <c r="G32" s="37">
        <v>0.763</v>
      </c>
      <c r="H32" s="37">
        <v>0.799</v>
      </c>
      <c r="I32" s="37">
        <v>0.793</v>
      </c>
      <c r="J32" s="37">
        <v>0.922</v>
      </c>
      <c r="K32" s="37">
        <v>0.762</v>
      </c>
      <c r="L32" s="37">
        <v>0.665</v>
      </c>
      <c r="M32" s="37">
        <v>0.867</v>
      </c>
      <c r="N32" s="37">
        <v>0.962</v>
      </c>
      <c r="O32" s="37">
        <v>0.891</v>
      </c>
      <c r="P32" s="37">
        <v>0.795</v>
      </c>
      <c r="Q32" s="37">
        <v>0.784</v>
      </c>
      <c r="R32" s="37">
        <v>0.871</v>
      </c>
    </row>
    <row r="33" customHeight="1" spans="4:18">
      <c r="F33" s="26" t="s">
        <v>50</v>
      </c>
      <c r="G33" s="26" t="s">
        <v>108</v>
      </c>
      <c r="H33" s="26" t="s">
        <v>109</v>
      </c>
      <c r="I33" s="26" t="s">
        <v>110</v>
      </c>
      <c r="J33" s="26" t="s">
        <v>111</v>
      </c>
      <c r="K33" s="26" t="s">
        <v>112</v>
      </c>
      <c r="L33" s="26" t="s">
        <v>113</v>
      </c>
      <c r="M33" s="26" t="s">
        <v>114</v>
      </c>
      <c r="N33" s="26" t="s">
        <v>115</v>
      </c>
      <c r="O33" s="26" t="s">
        <v>116</v>
      </c>
      <c r="P33" s="26" t="s">
        <v>117</v>
      </c>
      <c r="Q33" s="26" t="s">
        <v>118</v>
      </c>
      <c r="R33" s="26" t="s">
        <v>119</v>
      </c>
    </row>
    <row r="34" customHeight="1" spans="4:18">
      <c r="F34" s="28" t="s">
        <v>63</v>
      </c>
      <c r="G34" s="39">
        <f t="array" ref="G34:R34">IF(COLUMN(G2:R2)&lt;=COLUMN(G2)+MATCH(填写页!$A$1,$G$1:$R$1,0)-1,G2:R2,NA())</f>
      </c>
      <c r="H34" s="41">
        <v>405.76</v>
      </c>
      <c r="I34" s="41">
        <v>524.09</v>
      </c>
      <c r="J34" s="41">
        <v>0</v>
      </c>
      <c r="K34" s="41" t="e">
        <v>#N/A</v>
      </c>
      <c r="L34" s="41" t="e">
        <v>#N/A</v>
      </c>
      <c r="M34" s="41" t="e">
        <v>#N/A</v>
      </c>
      <c r="N34" s="41" t="e">
        <v>#N/A</v>
      </c>
      <c r="O34" s="41" t="e">
        <v>#N/A</v>
      </c>
      <c r="P34" s="41" t="e">
        <v>#N/A</v>
      </c>
      <c r="Q34" s="41" t="e">
        <v>#N/A</v>
      </c>
      <c r="R34" s="41" t="e">
        <v>#N/A</v>
      </c>
    </row>
    <row r="35" customHeight="1" spans="4:18">
      <c r="F35" s="28" t="s">
        <v>217</v>
      </c>
      <c r="G35" s="37">
        <f t="shared" ref="G35:R35" si="2">G20</f>
      </c>
      <c r="H35" s="37">
        <f t="shared" si="2"/>
      </c>
      <c r="I35" s="37">
        <f t="shared" si="2"/>
      </c>
      <c r="J35" s="37">
        <f t="shared" si="2"/>
      </c>
      <c r="K35" s="37">
        <f t="shared" si="2"/>
      </c>
      <c r="L35" s="37">
        <f t="shared" si="2"/>
      </c>
      <c r="M35" s="37">
        <f t="shared" si="2"/>
      </c>
      <c r="N35" s="37">
        <f t="shared" si="2"/>
      </c>
      <c r="O35" s="37">
        <f t="shared" si="2"/>
      </c>
      <c r="P35" s="37">
        <f t="shared" si="2"/>
      </c>
      <c r="Q35" s="37">
        <f t="shared" si="2"/>
      </c>
      <c r="R35" s="37">
        <f t="shared" si="2"/>
      </c>
    </row>
    <row r="36" customHeight="1" spans="4:18">
      <c r="D36" s="25">
        <f>D3/D2</f>
      </c>
      <c r="E36" s="25">
        <f>E3/E2</f>
      </c>
      <c r="F36" s="28" t="s">
        <v>218</v>
      </c>
      <c r="G36" s="41">
        <f>VLOOKUP(填写页!$C$7,分解计划!$A:$N,COLUMN()-4,FALSE)</f>
      </c>
      <c r="H36" s="41">
        <f>VLOOKUP(填写页!$C$7,分解计划!$A:$N,COLUMN()-4,FALSE)</f>
      </c>
      <c r="I36" s="41">
        <f>VLOOKUP(填写页!$C$7,分解计划!$A:$N,COLUMN()-4,FALSE)</f>
      </c>
      <c r="J36" s="41">
        <f>VLOOKUP(填写页!$C$7,分解计划!$A:$N,COLUMN()-4,FALSE)</f>
      </c>
      <c r="K36" s="41">
        <f>VLOOKUP(填写页!$C$7,分解计划!$A:$N,COLUMN()-4,FALSE)</f>
      </c>
      <c r="L36" s="41">
        <f>VLOOKUP(填写页!$C$7,分解计划!$A:$N,COLUMN()-4,FALSE)</f>
      </c>
      <c r="M36" s="41">
        <f>VLOOKUP(填写页!$C$7,分解计划!$A:$N,COLUMN()-4,FALSE)</f>
      </c>
      <c r="N36" s="41">
        <f>VLOOKUP(填写页!$C$7,分解计划!$A:$N,COLUMN()-4,FALSE)</f>
      </c>
      <c r="O36" s="41">
        <f>VLOOKUP(填写页!$C$7,分解计划!$A:$N,COLUMN()-4,FALSE)</f>
      </c>
      <c r="P36" s="41">
        <f>VLOOKUP(填写页!$C$7,分解计划!$A:$N,COLUMN()-4,FALSE)</f>
      </c>
      <c r="Q36" s="41">
        <f>VLOOKUP(填写页!$C$7,分解计划!$A:$N,COLUMN()-4,FALSE)</f>
      </c>
      <c r="R36" s="41">
        <f>VLOOKUP(填写页!$C$7,分解计划!$A:$N,COLUMN()-4,FALSE)</f>
      </c>
    </row>
    <row r="37" customHeight="1" spans="4:18">
      <c r="E37" s="25">
        <f>E5/E2</f>
      </c>
    </row>
    <row r="39" customHeight="1" spans="4:18">
      <c r="F39" s="26" t="s">
        <v>50</v>
      </c>
      <c r="G39" s="26" t="s">
        <v>108</v>
      </c>
      <c r="H39" s="26" t="s">
        <v>109</v>
      </c>
      <c r="I39" s="26" t="s">
        <v>110</v>
      </c>
      <c r="J39" s="26" t="s">
        <v>111</v>
      </c>
      <c r="K39" s="26" t="s">
        <v>112</v>
      </c>
      <c r="L39" s="26" t="s">
        <v>113</v>
      </c>
      <c r="M39" s="26" t="s">
        <v>114</v>
      </c>
      <c r="N39" s="26" t="s">
        <v>115</v>
      </c>
      <c r="O39" s="26" t="s">
        <v>116</v>
      </c>
      <c r="P39" s="26" t="s">
        <v>117</v>
      </c>
      <c r="Q39" s="26" t="s">
        <v>118</v>
      </c>
      <c r="R39" s="26" t="s">
        <v>119</v>
      </c>
    </row>
    <row r="40" customHeight="1" spans="4:18">
      <c r="F40" s="28" t="s">
        <v>63</v>
      </c>
      <c r="G40" s="42">
        <f t="array" ref="G40:R40">IF(COLUMN(G2:R2)&lt;=COLUMN(G2)+MATCH(填写页!$A$1,$G$1:$R$1,0)-1,G2:R2,NA())</f>
      </c>
      <c r="H40" s="42">
        <v>405.76</v>
      </c>
      <c r="I40" s="42">
        <v>524.09</v>
      </c>
      <c r="J40" s="42">
        <v>0</v>
      </c>
      <c r="K40" s="42" t="e">
        <v>#N/A</v>
      </c>
      <c r="L40" s="42" t="e">
        <v>#N/A</v>
      </c>
      <c r="M40" s="42" t="e">
        <v>#N/A</v>
      </c>
      <c r="N40" s="42" t="e">
        <v>#N/A</v>
      </c>
      <c r="O40" s="42" t="e">
        <v>#N/A</v>
      </c>
      <c r="P40" s="42" t="e">
        <v>#N/A</v>
      </c>
      <c r="Q40" s="42" t="e">
        <v>#N/A</v>
      </c>
      <c r="R40" s="42" t="e">
        <v>#N/A</v>
      </c>
    </row>
    <row r="41" customHeight="1" spans="4:18">
      <c r="F41" s="28" t="s">
        <v>219</v>
      </c>
      <c r="G41" s="42">
        <f t="array" ref="G41:R41">IF(COLUMN(G3:R3)&lt;=COLUMN(G3)+MATCH(填写页!$A$1,$G$1:$R$1,0)-1,G3:R3,NA())</f>
      </c>
      <c r="H41" s="42">
        <v>69.875</v>
      </c>
      <c r="I41" s="42">
        <v>196.984</v>
      </c>
      <c r="J41" s="42">
        <v>0</v>
      </c>
      <c r="K41" s="42" t="e">
        <v>#N/A</v>
      </c>
      <c r="L41" s="42" t="e">
        <v>#N/A</v>
      </c>
      <c r="M41" s="42" t="e">
        <v>#N/A</v>
      </c>
      <c r="N41" s="42" t="e">
        <v>#N/A</v>
      </c>
      <c r="O41" s="42" t="e">
        <v>#N/A</v>
      </c>
      <c r="P41" s="42" t="e">
        <v>#N/A</v>
      </c>
      <c r="Q41" s="42" t="e">
        <v>#N/A</v>
      </c>
      <c r="R41" s="42" t="e">
        <v>#N/A</v>
      </c>
    </row>
    <row r="42" customHeight="1" spans="4:18">
      <c r="F42" s="28" t="s">
        <v>65</v>
      </c>
      <c r="G42" s="42">
        <f t="array" ref="G42:R42">IF(COLUMN(G4:R4)&lt;=COLUMN(G4)+MATCH(填写页!$A$1,$G$1:$R$1,0)-1,G4:R4,NA())</f>
      </c>
      <c r="H42" s="42">
        <v>25.62</v>
      </c>
      <c r="I42" s="42">
        <v>207.69</v>
      </c>
      <c r="J42" s="42">
        <v>0</v>
      </c>
      <c r="K42" s="42" t="e">
        <v>#N/A</v>
      </c>
      <c r="L42" s="42" t="e">
        <v>#N/A</v>
      </c>
      <c r="M42" s="42" t="e">
        <v>#N/A</v>
      </c>
      <c r="N42" s="42" t="e">
        <v>#N/A</v>
      </c>
      <c r="O42" s="42" t="e">
        <v>#N/A</v>
      </c>
      <c r="P42" s="42" t="e">
        <v>#N/A</v>
      </c>
      <c r="Q42" s="42" t="e">
        <v>#N/A</v>
      </c>
      <c r="R42" s="42" t="e">
        <v>#N/A</v>
      </c>
    </row>
    <row r="43" customHeight="1" spans="4:18">
      <c r="F43" s="28" t="s">
        <v>67</v>
      </c>
      <c r="G43" s="42">
        <f t="array" ref="G43:R43">IF(COLUMN(G5:R5)&lt;=COLUMN(G5)+MATCH(填写页!$A$1,$G$1:$R$1,0)-1,G5:R5,NA())</f>
      </c>
      <c r="H43" s="42">
        <v>338.005</v>
      </c>
      <c r="I43" s="42">
        <v>331.676</v>
      </c>
      <c r="J43" s="42">
        <v>0</v>
      </c>
      <c r="K43" s="42" t="e">
        <v>#N/A</v>
      </c>
      <c r="L43" s="42" t="e">
        <v>#N/A</v>
      </c>
      <c r="M43" s="42" t="e">
        <v>#N/A</v>
      </c>
      <c r="N43" s="42" t="e">
        <v>#N/A</v>
      </c>
      <c r="O43" s="42" t="e">
        <v>#N/A</v>
      </c>
      <c r="P43" s="42" t="e">
        <v>#N/A</v>
      </c>
      <c r="Q43" s="42" t="e">
        <v>#N/A</v>
      </c>
      <c r="R43" s="42" t="e">
        <v>#N/A</v>
      </c>
    </row>
    <row r="60" customHeight="1" spans="3:9">
      <c r="C60" s="43"/>
    </row>
    <row r="61" ht="118" customHeight="1" spans="3:9">
      <c r="C61" s="43"/>
      <c r="D61" s="43"/>
      <c r="E61" s="43"/>
      <c r="F61" s="43"/>
      <c r="G61" s="43"/>
      <c r="H61" s="43"/>
      <c r="I61" s="43"/>
    </row>
  </sheetData>
  <mergeCells count="4">
    <mergeCell ref="C61:I61"/>
    <mergeCell ref="A2:A4"/>
    <mergeCell ref="A5:A12"/>
    <mergeCell ref="A13:A18"/>
  </mergeCells>
  <pageMargins left="0.75" right="0.75" top="1" bottom="1" header="0.5" footer="0.5"/>
  <pageSetup paperSize="9" orientation="portrait"/>
  <headerFooter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1">
    <tabColor rgb="FF9CD2A4"/>
  </sheetPr>
  <dimension ref="A1:R61"/>
  <sheetViews>
    <sheetView topLeftCell="A39" workbookViewId="0">
      <selection activeCell="C61" sqref="C61:I61"/>
    </sheetView>
  </sheetViews>
  <sheetFormatPr defaultColWidth="19.6126126126126" defaultRowHeight="18" customHeight="1"/>
  <cols>
    <col min="1" max="1" width="9.61261261261261" style="25" customWidth="1"/>
    <col min="2" max="2" width="7.45945945945946" style="25" customWidth="1"/>
    <col min="3" max="3" width="19" style="25" customWidth="1"/>
    <col min="4" max="5" width="14.6126126126126" style="25" customWidth="1"/>
    <col min="6" max="6" width="9" style="25" customWidth="1"/>
    <col min="7" max="25" width="9.61261261261261" style="25" customWidth="1"/>
    <col min="26" max="16384" width="19.6126126126126" style="25"/>
  </cols>
  <sheetData>
    <row r="1" customHeight="1" spans="1:18">
      <c r="A1" s="26" t="s">
        <v>48</v>
      </c>
      <c r="B1" s="26" t="s">
        <v>49</v>
      </c>
      <c r="C1" s="26" t="s">
        <v>50</v>
      </c>
      <c r="D1" s="26" t="s">
        <v>128</v>
      </c>
      <c r="E1" s="26" t="s">
        <v>129</v>
      </c>
      <c r="F1" s="26" t="s">
        <v>213</v>
      </c>
      <c r="G1" s="26" t="s">
        <v>108</v>
      </c>
      <c r="H1" s="26" t="s">
        <v>109</v>
      </c>
      <c r="I1" s="26" t="s">
        <v>110</v>
      </c>
      <c r="J1" s="26" t="s">
        <v>111</v>
      </c>
      <c r="K1" s="26" t="s">
        <v>112</v>
      </c>
      <c r="L1" s="26" t="s">
        <v>113</v>
      </c>
      <c r="M1" s="26" t="s">
        <v>114</v>
      </c>
      <c r="N1" s="26" t="s">
        <v>115</v>
      </c>
      <c r="O1" s="26" t="s">
        <v>116</v>
      </c>
      <c r="P1" s="26" t="s">
        <v>117</v>
      </c>
      <c r="Q1" s="26" t="s">
        <v>118</v>
      </c>
      <c r="R1" s="26" t="s">
        <v>119</v>
      </c>
    </row>
    <row r="2" customHeight="1" spans="1:18">
      <c r="A2" s="27" t="s">
        <v>62</v>
      </c>
      <c r="B2" s="28">
        <v>1</v>
      </c>
      <c r="C2" s="28" t="s">
        <v>63</v>
      </c>
      <c r="D2" s="29">
        <f t="array" ref="D2:D18">INDEX(年度计划!E2:M18,,MATCH(填写页!C8,年度计划!E1:M1,0))</f>
      </c>
      <c r="E2" s="29">
        <f t="shared" ref="E2:E12" si="0">SUM(G2:R2)</f>
      </c>
      <c r="F2" s="30">
        <f t="shared" ref="F2:F18" si="1">IFERROR(MAX(1+(E2-D2)/ABS(D2),0),)</f>
      </c>
      <c r="G2" s="31">
        <v>78.97726</v>
      </c>
      <c r="H2" s="31">
        <v>63.822824</v>
      </c>
      <c r="I2" s="31">
        <v>80.56083</v>
      </c>
      <c r="J2" s="31">
        <v>96.956248</v>
      </c>
      <c r="K2" s="31">
        <v>0</v>
      </c>
      <c r="L2" s="31">
        <v>0</v>
      </c>
      <c r="M2" s="31">
        <v>0</v>
      </c>
      <c r="N2" s="31">
        <v>0</v>
      </c>
      <c r="O2" s="31">
        <v>0</v>
      </c>
      <c r="P2" s="31">
        <v>0</v>
      </c>
      <c r="Q2" s="31">
        <v>0</v>
      </c>
      <c r="R2" s="31">
        <v>0</v>
      </c>
    </row>
    <row r="3" customHeight="1" spans="1:18">
      <c r="A3" s="27"/>
      <c r="B3" s="28">
        <v>2</v>
      </c>
      <c r="C3" s="28" t="s">
        <v>219</v>
      </c>
      <c r="D3" s="29">
        <v>-55.5167373786195</v>
      </c>
      <c r="E3" s="29">
        <f t="shared" si="0"/>
      </c>
      <c r="F3" s="30">
        <f t="shared" si="1"/>
      </c>
      <c r="G3" s="31">
        <v>-52.776259</v>
      </c>
      <c r="H3" s="31">
        <v>-38.670642</v>
      </c>
      <c r="I3" s="31">
        <v>-1.72705700000001</v>
      </c>
      <c r="J3" s="31">
        <v>-13.573026</v>
      </c>
      <c r="K3" s="31">
        <v>0</v>
      </c>
      <c r="L3" s="31">
        <v>0</v>
      </c>
      <c r="M3" s="31">
        <v>0</v>
      </c>
      <c r="N3" s="31">
        <v>0</v>
      </c>
      <c r="O3" s="31">
        <v>0</v>
      </c>
      <c r="P3" s="31">
        <v>0</v>
      </c>
      <c r="Q3" s="31">
        <v>0</v>
      </c>
      <c r="R3" s="31">
        <v>0</v>
      </c>
    </row>
    <row r="4" customHeight="1" spans="1:18">
      <c r="A4" s="27"/>
      <c r="B4" s="28">
        <v>3</v>
      </c>
      <c r="C4" s="28" t="s">
        <v>65</v>
      </c>
      <c r="D4" s="29">
        <v>-178.550070598611</v>
      </c>
      <c r="E4" s="29">
        <f t="shared" si="0"/>
      </c>
      <c r="F4" s="30">
        <f t="shared" si="1"/>
      </c>
      <c r="G4" s="31">
        <v>-59.297686</v>
      </c>
      <c r="H4" s="31">
        <v>-47.233397</v>
      </c>
      <c r="I4" s="31">
        <v>-17.259462</v>
      </c>
      <c r="J4" s="31">
        <v>-90.647837</v>
      </c>
      <c r="K4" s="31"/>
      <c r="L4" s="31"/>
      <c r="M4" s="31"/>
      <c r="N4" s="31"/>
      <c r="O4" s="31"/>
      <c r="P4" s="31"/>
      <c r="Q4" s="31"/>
      <c r="R4" s="31"/>
    </row>
    <row r="5" customHeight="1" spans="1:18">
      <c r="A5" s="27" t="s">
        <v>66</v>
      </c>
      <c r="B5" s="28">
        <v>4</v>
      </c>
      <c r="C5" s="28" t="s">
        <v>215</v>
      </c>
      <c r="D5" s="29">
        <v>1518.43400025046</v>
      </c>
      <c r="E5" s="29">
        <f t="shared" si="0"/>
      </c>
      <c r="F5" s="30">
        <f t="shared" si="1"/>
      </c>
      <c r="G5" s="31">
        <v>131.622547</v>
      </c>
      <c r="H5" s="31">
        <v>102.388778</v>
      </c>
      <c r="I5" s="31">
        <v>82.703909</v>
      </c>
      <c r="J5" s="31">
        <v>110.36911</v>
      </c>
      <c r="K5" s="31">
        <v>0</v>
      </c>
      <c r="L5" s="31">
        <v>0</v>
      </c>
      <c r="M5" s="31">
        <v>0</v>
      </c>
      <c r="N5" s="31">
        <v>0</v>
      </c>
      <c r="O5" s="31">
        <v>0</v>
      </c>
      <c r="P5" s="31">
        <v>0</v>
      </c>
      <c r="Q5" s="31">
        <v>0</v>
      </c>
      <c r="R5" s="31">
        <v>0</v>
      </c>
    </row>
    <row r="6" customHeight="1" spans="1:18">
      <c r="A6" s="27"/>
      <c r="B6" s="28">
        <v>4.1</v>
      </c>
      <c r="C6" s="28" t="s">
        <v>68</v>
      </c>
      <c r="D6" s="32">
        <v>793.4447</v>
      </c>
      <c r="E6" s="32">
        <f t="shared" si="0"/>
      </c>
      <c r="F6" s="33">
        <f t="shared" si="1"/>
      </c>
      <c r="G6" s="31">
        <v>82.740795</v>
      </c>
      <c r="H6" s="31">
        <v>54.661567</v>
      </c>
      <c r="I6" s="31">
        <v>41.604384</v>
      </c>
      <c r="J6" s="31">
        <v>62.007687</v>
      </c>
      <c r="K6" s="31">
        <v>0</v>
      </c>
      <c r="L6" s="31">
        <v>0</v>
      </c>
      <c r="M6" s="31">
        <v>0</v>
      </c>
      <c r="N6" s="31">
        <v>0</v>
      </c>
      <c r="O6" s="31">
        <v>0</v>
      </c>
      <c r="P6" s="31">
        <v>0</v>
      </c>
      <c r="Q6" s="31">
        <v>0</v>
      </c>
      <c r="R6" s="31">
        <v>0</v>
      </c>
    </row>
    <row r="7" customHeight="1" spans="1:18">
      <c r="A7" s="27"/>
      <c r="B7" s="28" t="s">
        <v>69</v>
      </c>
      <c r="C7" s="34" t="s">
        <v>70</v>
      </c>
      <c r="D7" s="32">
        <v>700.56</v>
      </c>
      <c r="E7" s="32">
        <f t="shared" si="0"/>
      </c>
      <c r="F7" s="33">
        <f t="shared" si="1"/>
      </c>
      <c r="G7" s="31">
        <v>77.910641</v>
      </c>
      <c r="H7" s="31">
        <v>52.070162</v>
      </c>
      <c r="I7" s="31">
        <v>46.482044</v>
      </c>
      <c r="J7" s="31">
        <v>47.60297</v>
      </c>
      <c r="K7" s="31">
        <v>0</v>
      </c>
      <c r="L7" s="31">
        <v>0</v>
      </c>
      <c r="M7" s="31">
        <v>0</v>
      </c>
      <c r="N7" s="31">
        <v>0</v>
      </c>
      <c r="O7" s="31">
        <v>0</v>
      </c>
      <c r="P7" s="31">
        <v>0</v>
      </c>
      <c r="Q7" s="31">
        <v>0</v>
      </c>
      <c r="R7" s="31">
        <v>0</v>
      </c>
    </row>
    <row r="8" customHeight="1" spans="1:18">
      <c r="A8" s="27"/>
      <c r="B8" s="28" t="s">
        <v>71</v>
      </c>
      <c r="C8" s="34" t="s">
        <v>72</v>
      </c>
      <c r="D8" s="32">
        <v>92.8847</v>
      </c>
      <c r="E8" s="32">
        <f t="shared" si="0"/>
      </c>
      <c r="F8" s="33">
        <f t="shared" si="1"/>
      </c>
      <c r="G8" s="31">
        <v>4.830154</v>
      </c>
      <c r="H8" s="31">
        <v>2.591405</v>
      </c>
      <c r="I8" s="31">
        <v>-4.87766</v>
      </c>
      <c r="J8" s="31">
        <v>14.404717</v>
      </c>
      <c r="K8" s="31">
        <v>0</v>
      </c>
      <c r="L8" s="31">
        <v>0</v>
      </c>
      <c r="M8" s="31">
        <v>0</v>
      </c>
      <c r="N8" s="31">
        <v>0</v>
      </c>
      <c r="O8" s="31">
        <v>0</v>
      </c>
      <c r="P8" s="31">
        <v>0</v>
      </c>
      <c r="Q8" s="31">
        <v>0</v>
      </c>
      <c r="R8" s="31">
        <v>0</v>
      </c>
    </row>
    <row r="9" customHeight="1" spans="1:18">
      <c r="A9" s="27"/>
      <c r="B9" s="28">
        <v>4.2</v>
      </c>
      <c r="C9" s="28" t="s">
        <v>73</v>
      </c>
      <c r="D9" s="32">
        <v>724.989300250459</v>
      </c>
      <c r="E9" s="32">
        <f t="shared" si="0"/>
      </c>
      <c r="F9" s="33">
        <f t="shared" si="1"/>
      </c>
      <c r="G9" s="31">
        <v>48.881752</v>
      </c>
      <c r="H9" s="31">
        <v>47.727211</v>
      </c>
      <c r="I9" s="31">
        <v>41.099525</v>
      </c>
      <c r="J9" s="31">
        <v>48.361423</v>
      </c>
      <c r="K9" s="31">
        <v>0</v>
      </c>
      <c r="L9" s="31">
        <v>0</v>
      </c>
      <c r="M9" s="31">
        <v>0</v>
      </c>
      <c r="N9" s="31">
        <v>0</v>
      </c>
      <c r="O9" s="31">
        <v>0</v>
      </c>
      <c r="P9" s="31">
        <v>0</v>
      </c>
      <c r="Q9" s="31">
        <v>0</v>
      </c>
      <c r="R9" s="31">
        <v>0</v>
      </c>
    </row>
    <row r="10" customHeight="1" spans="1:18">
      <c r="A10" s="27"/>
      <c r="B10" s="28" t="s">
        <v>74</v>
      </c>
      <c r="C10" s="34" t="s">
        <v>75</v>
      </c>
      <c r="D10" s="32">
        <v>225.42</v>
      </c>
      <c r="E10" s="32">
        <f t="shared" si="0"/>
      </c>
      <c r="F10" s="33">
        <f t="shared" si="1"/>
      </c>
      <c r="G10" s="31">
        <v>14.661237</v>
      </c>
      <c r="H10" s="31">
        <v>17.69237</v>
      </c>
      <c r="I10" s="31">
        <v>15.084433</v>
      </c>
      <c r="J10" s="31">
        <v>20.184048</v>
      </c>
      <c r="K10" s="31">
        <v>0</v>
      </c>
      <c r="L10" s="31">
        <v>0</v>
      </c>
      <c r="M10" s="31">
        <v>0</v>
      </c>
      <c r="N10" s="31">
        <v>0</v>
      </c>
      <c r="O10" s="31">
        <v>0</v>
      </c>
      <c r="P10" s="31">
        <v>0</v>
      </c>
      <c r="Q10" s="31">
        <v>0</v>
      </c>
      <c r="R10" s="31">
        <v>0</v>
      </c>
    </row>
    <row r="11" customHeight="1" spans="1:18">
      <c r="A11" s="27"/>
      <c r="B11" s="28" t="s">
        <v>76</v>
      </c>
      <c r="C11" s="34" t="s">
        <v>77</v>
      </c>
      <c r="D11" s="32">
        <v>499.569300250459</v>
      </c>
      <c r="E11" s="32">
        <f t="shared" si="0"/>
      </c>
      <c r="F11" s="33">
        <f t="shared" si="1"/>
      </c>
      <c r="G11" s="31">
        <v>34.220515</v>
      </c>
      <c r="H11" s="31">
        <v>30.034841</v>
      </c>
      <c r="I11" s="31">
        <v>26.015092</v>
      </c>
      <c r="J11" s="31">
        <v>28.177375</v>
      </c>
      <c r="K11" s="31">
        <v>0</v>
      </c>
      <c r="L11" s="31">
        <v>0</v>
      </c>
      <c r="M11" s="31">
        <v>0</v>
      </c>
      <c r="N11" s="31">
        <v>0</v>
      </c>
      <c r="O11" s="31">
        <v>0</v>
      </c>
      <c r="P11" s="31">
        <v>0</v>
      </c>
      <c r="Q11" s="31">
        <v>0</v>
      </c>
      <c r="R11" s="31">
        <v>0</v>
      </c>
    </row>
    <row r="12" customHeight="1" spans="1:18">
      <c r="A12" s="27"/>
      <c r="B12" s="28">
        <v>5</v>
      </c>
      <c r="C12" s="28" t="s">
        <v>78</v>
      </c>
      <c r="D12" s="29">
        <v>153.94</v>
      </c>
      <c r="E12" s="29">
        <f t="shared" si="0"/>
      </c>
      <c r="F12" s="30">
        <f t="shared" si="1"/>
      </c>
      <c r="G12" s="31">
        <v>0</v>
      </c>
      <c r="H12" s="31">
        <v>0</v>
      </c>
      <c r="I12" s="31">
        <v>0</v>
      </c>
      <c r="J12" s="31">
        <v>0</v>
      </c>
      <c r="K12" s="31">
        <v>0</v>
      </c>
      <c r="L12" s="31">
        <v>0</v>
      </c>
      <c r="M12" s="31">
        <v>0</v>
      </c>
      <c r="N12" s="31">
        <v>0</v>
      </c>
      <c r="O12" s="31">
        <v>0</v>
      </c>
      <c r="P12" s="31">
        <v>0</v>
      </c>
      <c r="Q12" s="31">
        <v>0</v>
      </c>
      <c r="R12" s="31">
        <v>0</v>
      </c>
    </row>
    <row r="13" customHeight="1" spans="1:18">
      <c r="A13" s="27" t="s">
        <v>79</v>
      </c>
      <c r="B13" s="28">
        <v>6</v>
      </c>
      <c r="C13" s="28" t="s">
        <v>80</v>
      </c>
      <c r="D13" s="30">
        <v>0.71</v>
      </c>
      <c r="E13" s="30">
        <f>AVERAGE(G13:R13)</f>
      </c>
      <c r="F13" s="30">
        <f t="shared" si="1"/>
      </c>
      <c r="G13" s="44">
        <v>0.412863886703383</v>
      </c>
      <c r="H13" s="44">
        <v>0.319468641114983</v>
      </c>
      <c r="I13" s="31">
        <v>0.593430369787569</v>
      </c>
      <c r="J13" s="31">
        <v>0.745121951219512</v>
      </c>
      <c r="K13" s="31"/>
      <c r="L13" s="31"/>
      <c r="M13" s="31"/>
      <c r="N13" s="31"/>
      <c r="O13" s="31"/>
      <c r="P13" s="31"/>
      <c r="Q13" s="31"/>
      <c r="R13" s="31"/>
    </row>
    <row r="14" customHeight="1" spans="1:18">
      <c r="A14" s="27"/>
      <c r="B14" s="28">
        <v>7</v>
      </c>
      <c r="C14" s="28" t="s">
        <v>81</v>
      </c>
      <c r="D14" s="30">
        <v>0.98</v>
      </c>
      <c r="E14" s="30">
        <f>AVERAGE(G14:R14)</f>
      </c>
      <c r="F14" s="30">
        <f t="shared" si="1"/>
      </c>
      <c r="G14" s="44">
        <v>0.978242349082098</v>
      </c>
      <c r="H14" s="44">
        <v>0.946512030036687</v>
      </c>
      <c r="I14" s="31">
        <v>0.896002472364109</v>
      </c>
      <c r="J14" s="31">
        <v>0.916665988723585</v>
      </c>
      <c r="K14" s="31"/>
      <c r="L14" s="31"/>
      <c r="M14" s="31"/>
      <c r="N14" s="31"/>
      <c r="O14" s="31"/>
      <c r="P14" s="31"/>
      <c r="Q14" s="31"/>
      <c r="R14" s="31"/>
    </row>
    <row r="15" customHeight="1" spans="1:18">
      <c r="A15" s="27"/>
      <c r="B15" s="28">
        <v>8</v>
      </c>
      <c r="C15" s="28" t="s">
        <v>82</v>
      </c>
      <c r="D15" s="29">
        <v>4.7</v>
      </c>
      <c r="E15" s="45">
        <f>AVERAGE(G15:R15)</f>
      </c>
      <c r="F15" s="30">
        <f t="shared" si="1"/>
      </c>
      <c r="G15" s="31">
        <v>4.7</v>
      </c>
      <c r="H15" s="31">
        <v>4.7</v>
      </c>
      <c r="I15" s="31">
        <v>4.7</v>
      </c>
      <c r="J15" s="31">
        <v>4.7</v>
      </c>
      <c r="K15" s="31"/>
      <c r="L15" s="31"/>
      <c r="M15" s="31"/>
      <c r="N15" s="31"/>
      <c r="O15" s="31"/>
      <c r="P15" s="31"/>
      <c r="Q15" s="31"/>
      <c r="R15" s="31"/>
    </row>
    <row r="16" customHeight="1" spans="1:18">
      <c r="A16" s="27"/>
      <c r="B16" s="28">
        <v>9</v>
      </c>
      <c r="C16" s="28" t="s">
        <v>83</v>
      </c>
      <c r="D16" s="29">
        <v>0</v>
      </c>
      <c r="E16" s="29"/>
      <c r="F16" s="30">
        <f t="shared" si="1"/>
      </c>
      <c r="G16" s="31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</row>
    <row r="17" customHeight="1" spans="1:18">
      <c r="A17" s="27"/>
      <c r="B17" s="28">
        <v>10</v>
      </c>
      <c r="C17" s="28" t="s">
        <v>84</v>
      </c>
      <c r="D17" s="30">
        <v>0</v>
      </c>
      <c r="E17" s="30"/>
      <c r="F17" s="30">
        <f t="shared" si="1"/>
      </c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</row>
    <row r="18" customHeight="1" spans="1:18">
      <c r="A18" s="27"/>
      <c r="B18" s="28">
        <v>11</v>
      </c>
      <c r="C18" s="28" t="s">
        <v>85</v>
      </c>
      <c r="D18" s="30">
        <v>0</v>
      </c>
      <c r="E18" s="30"/>
      <c r="F18" s="30">
        <f t="shared" si="1"/>
      </c>
      <c r="G18" s="31"/>
      <c r="H18" s="31"/>
      <c r="I18" s="31"/>
      <c r="J18" s="31"/>
      <c r="K18" s="31"/>
      <c r="L18" s="31"/>
      <c r="M18" s="31"/>
      <c r="N18" s="31"/>
      <c r="O18" s="31"/>
      <c r="P18" s="31"/>
      <c r="Q18" s="31"/>
      <c r="R18" s="31"/>
    </row>
    <row r="19" customHeight="1" spans="1:18">
      <c r="C19" s="35" t="s">
        <v>216</v>
      </c>
      <c r="D19" s="35" t="s">
        <v>128</v>
      </c>
      <c r="E19" s="35" t="s">
        <v>129</v>
      </c>
      <c r="F19" s="35" t="s">
        <v>130</v>
      </c>
      <c r="G19" s="35" t="s">
        <v>108</v>
      </c>
      <c r="H19" s="35" t="s">
        <v>109</v>
      </c>
      <c r="I19" s="35" t="s">
        <v>110</v>
      </c>
      <c r="J19" s="35" t="s">
        <v>111</v>
      </c>
      <c r="K19" s="35" t="s">
        <v>112</v>
      </c>
      <c r="L19" s="35" t="s">
        <v>113</v>
      </c>
      <c r="M19" s="35" t="s">
        <v>114</v>
      </c>
      <c r="N19" s="35" t="s">
        <v>115</v>
      </c>
      <c r="O19" s="35" t="s">
        <v>116</v>
      </c>
      <c r="P19" s="35" t="s">
        <v>117</v>
      </c>
      <c r="Q19" s="35" t="s">
        <v>118</v>
      </c>
      <c r="R19" s="35" t="s">
        <v>119</v>
      </c>
    </row>
    <row r="20" customHeight="1" spans="1:18">
      <c r="C20" s="28" t="s">
        <v>63</v>
      </c>
      <c r="D20" s="36">
        <v>1749.21</v>
      </c>
      <c r="E20" s="37">
        <v>1317.021117</v>
      </c>
      <c r="F20" s="38">
        <v>0.75292338655736</v>
      </c>
      <c r="G20" s="37">
        <v>122.070553</v>
      </c>
      <c r="H20" s="37">
        <v>81.181808</v>
      </c>
      <c r="I20" s="37">
        <v>97.998313</v>
      </c>
      <c r="J20" s="37">
        <v>102.574815</v>
      </c>
      <c r="K20" s="37">
        <v>114.977634</v>
      </c>
      <c r="L20" s="37">
        <v>96.161043</v>
      </c>
      <c r="M20" s="37">
        <v>113.346138</v>
      </c>
      <c r="N20" s="37">
        <v>129.571562</v>
      </c>
      <c r="O20" s="37">
        <v>113.185232</v>
      </c>
      <c r="P20" s="37">
        <v>138.985576</v>
      </c>
      <c r="Q20" s="37">
        <v>123.142682</v>
      </c>
      <c r="R20" s="37">
        <v>83.825761</v>
      </c>
    </row>
    <row r="21" customHeight="1" spans="1:18">
      <c r="C21" s="28" t="s">
        <v>219</v>
      </c>
      <c r="D21" s="36">
        <v>185.18</v>
      </c>
      <c r="E21" s="37">
        <v>-62.410234</v>
      </c>
      <c r="F21" s="38">
        <v>0</v>
      </c>
      <c r="G21" s="37">
        <v>-30.342026</v>
      </c>
      <c r="H21" s="37">
        <v>-23.808526</v>
      </c>
      <c r="I21" s="37">
        <v>-2.670252</v>
      </c>
      <c r="J21" s="37">
        <v>8.87845</v>
      </c>
      <c r="K21" s="37">
        <v>-9.08262200000001</v>
      </c>
      <c r="L21" s="37">
        <v>-13.523187</v>
      </c>
      <c r="M21" s="37">
        <v>-0.486976000000009</v>
      </c>
      <c r="N21" s="37">
        <v>14.714839</v>
      </c>
      <c r="O21" s="37">
        <v>3.159387</v>
      </c>
      <c r="P21" s="37">
        <v>9.34238100000001</v>
      </c>
      <c r="Q21" s="37">
        <v>-1.889775</v>
      </c>
      <c r="R21" s="37">
        <v>-16.701927</v>
      </c>
    </row>
    <row r="22" customHeight="1" spans="1:18">
      <c r="C22" s="28" t="s">
        <v>65</v>
      </c>
      <c r="D22" s="36">
        <v>15.37</v>
      </c>
      <c r="E22" s="37">
        <v>-334.319392</v>
      </c>
      <c r="F22" s="38">
        <v>0</v>
      </c>
      <c r="G22" s="37">
        <v>-22.160819</v>
      </c>
      <c r="H22" s="37">
        <v>-64.887175</v>
      </c>
      <c r="I22" s="37">
        <v>-1.79800099999998</v>
      </c>
      <c r="J22" s="37">
        <v>-110.409681</v>
      </c>
      <c r="K22" s="37">
        <v>26.191044</v>
      </c>
      <c r="L22" s="37">
        <v>-14.371964</v>
      </c>
      <c r="M22" s="37">
        <v>-35.609103</v>
      </c>
      <c r="N22" s="37">
        <v>-8.64416500000001</v>
      </c>
      <c r="O22" s="37">
        <v>3.29949400000002</v>
      </c>
      <c r="P22" s="37">
        <v>-91.279589</v>
      </c>
      <c r="Q22" s="37">
        <v>-13.699818</v>
      </c>
      <c r="R22" s="37">
        <v>-0.949615</v>
      </c>
    </row>
    <row r="23" customHeight="1" spans="1:18">
      <c r="C23" s="28" t="s">
        <v>67</v>
      </c>
      <c r="D23" s="36">
        <v>1573.61</v>
      </c>
      <c r="E23" s="37">
        <v>1383.950984</v>
      </c>
      <c r="F23" s="38">
        <v>0.879475209232275</v>
      </c>
      <c r="G23" s="37">
        <v>152.267673</v>
      </c>
      <c r="H23" s="37">
        <v>106.345114</v>
      </c>
      <c r="I23" s="37">
        <v>100.975734</v>
      </c>
      <c r="J23" s="37">
        <v>93.525853</v>
      </c>
      <c r="K23" s="37">
        <v>123.818108</v>
      </c>
      <c r="L23" s="37">
        <v>110.316081</v>
      </c>
      <c r="M23" s="37">
        <v>113.661702</v>
      </c>
      <c r="N23" s="37">
        <v>119.366498</v>
      </c>
      <c r="O23" s="37">
        <v>109.922828</v>
      </c>
      <c r="P23" s="37">
        <v>129.469486</v>
      </c>
      <c r="Q23" s="37">
        <v>125.642256</v>
      </c>
      <c r="R23" s="37">
        <v>98.639651</v>
      </c>
    </row>
    <row r="24" customHeight="1" spans="1:18">
      <c r="C24" s="28" t="s">
        <v>68</v>
      </c>
      <c r="D24" s="36">
        <v>741.27</v>
      </c>
      <c r="E24" s="37">
        <v>723.7531</v>
      </c>
      <c r="F24" s="38">
        <v>0.976369069299985</v>
      </c>
      <c r="G24" s="37">
        <v>66.421653</v>
      </c>
      <c r="H24" s="37">
        <v>58.459528</v>
      </c>
      <c r="I24" s="37">
        <v>54.903276</v>
      </c>
      <c r="J24" s="37">
        <v>46.604141</v>
      </c>
      <c r="K24" s="37">
        <v>71.358028</v>
      </c>
      <c r="L24" s="37">
        <v>55.95855</v>
      </c>
      <c r="M24" s="37">
        <v>57.568122</v>
      </c>
      <c r="N24" s="37">
        <v>55.12155</v>
      </c>
      <c r="O24" s="37">
        <v>54.711267</v>
      </c>
      <c r="P24" s="37">
        <v>70.248746</v>
      </c>
      <c r="Q24" s="37">
        <v>70.477954</v>
      </c>
      <c r="R24" s="37">
        <v>61.920285</v>
      </c>
    </row>
    <row r="25" customHeight="1" spans="1:18">
      <c r="C25" s="34" t="s">
        <v>70</v>
      </c>
      <c r="D25" s="36">
        <v>645.31</v>
      </c>
      <c r="E25" s="37">
        <v>628.601914</v>
      </c>
      <c r="F25" s="38">
        <v>0.9741084347058</v>
      </c>
      <c r="G25" s="37">
        <v>60.679863</v>
      </c>
      <c r="H25" s="37">
        <v>52.981514</v>
      </c>
      <c r="I25" s="37">
        <v>52.264505</v>
      </c>
      <c r="J25" s="37">
        <v>35.619784</v>
      </c>
      <c r="K25" s="37">
        <v>64.600598</v>
      </c>
      <c r="L25" s="37">
        <v>49.420506</v>
      </c>
      <c r="M25" s="37">
        <v>54.495432</v>
      </c>
      <c r="N25" s="37">
        <v>51.821029</v>
      </c>
      <c r="O25" s="37">
        <v>49.744293</v>
      </c>
      <c r="P25" s="37">
        <v>56.277602</v>
      </c>
      <c r="Q25" s="37">
        <v>49.951766</v>
      </c>
      <c r="R25" s="37">
        <v>50.745022</v>
      </c>
    </row>
    <row r="26" customHeight="1" spans="1:18">
      <c r="C26" s="34" t="s">
        <v>72</v>
      </c>
      <c r="D26" s="36">
        <v>95.96</v>
      </c>
      <c r="E26" s="37">
        <v>95.151186</v>
      </c>
      <c r="F26" s="38">
        <v>0.991571342225928</v>
      </c>
      <c r="G26" s="37">
        <v>5.74179</v>
      </c>
      <c r="H26" s="37">
        <v>5.478014</v>
      </c>
      <c r="I26" s="37">
        <v>2.638771</v>
      </c>
      <c r="J26" s="37">
        <v>10.984357</v>
      </c>
      <c r="K26" s="37">
        <v>6.75743</v>
      </c>
      <c r="L26" s="37">
        <v>6.538044</v>
      </c>
      <c r="M26" s="37">
        <v>3.07269</v>
      </c>
      <c r="N26" s="37">
        <v>3.300521</v>
      </c>
      <c r="O26" s="37">
        <v>4.966974</v>
      </c>
      <c r="P26" s="37">
        <v>13.971144</v>
      </c>
      <c r="Q26" s="37">
        <v>20.526188</v>
      </c>
      <c r="R26" s="37">
        <v>11.175263</v>
      </c>
    </row>
    <row r="27" customHeight="1" spans="1:18">
      <c r="C27" s="28" t="s">
        <v>73</v>
      </c>
      <c r="D27" s="36">
        <v>832.35</v>
      </c>
      <c r="E27" s="37">
        <v>660.197884</v>
      </c>
      <c r="F27" s="38">
        <v>0.793173405418394</v>
      </c>
      <c r="G27" s="37">
        <v>85.84602</v>
      </c>
      <c r="H27" s="37">
        <v>47.885586</v>
      </c>
      <c r="I27" s="37">
        <v>46.072458</v>
      </c>
      <c r="J27" s="37">
        <v>46.921712</v>
      </c>
      <c r="K27" s="37">
        <v>52.46008</v>
      </c>
      <c r="L27" s="37">
        <v>54.357531</v>
      </c>
      <c r="M27" s="37">
        <v>56.09358</v>
      </c>
      <c r="N27" s="37">
        <v>64.244948</v>
      </c>
      <c r="O27" s="37">
        <v>55.211561</v>
      </c>
      <c r="P27" s="37">
        <v>59.22074</v>
      </c>
      <c r="Q27" s="37">
        <v>55.164302</v>
      </c>
      <c r="R27" s="37">
        <v>36.719366</v>
      </c>
    </row>
    <row r="28" customHeight="1" spans="1:18">
      <c r="C28" s="34" t="s">
        <v>75</v>
      </c>
      <c r="D28" s="36">
        <v>238.03</v>
      </c>
      <c r="E28" s="37">
        <v>204.556307</v>
      </c>
      <c r="F28" s="38">
        <v>0.859371957316305</v>
      </c>
      <c r="G28" s="37">
        <v>21.862432</v>
      </c>
      <c r="H28" s="37">
        <v>15.525939</v>
      </c>
      <c r="I28" s="37">
        <v>18.129138</v>
      </c>
      <c r="J28" s="37">
        <v>17.697507</v>
      </c>
      <c r="K28" s="37">
        <v>17.47416</v>
      </c>
      <c r="L28" s="37">
        <v>22.092931</v>
      </c>
      <c r="M28" s="37">
        <v>13.202619</v>
      </c>
      <c r="N28" s="37">
        <v>16.035961</v>
      </c>
      <c r="O28" s="37">
        <v>20.631425</v>
      </c>
      <c r="P28" s="37">
        <v>15.199642</v>
      </c>
      <c r="Q28" s="37">
        <v>17.972665</v>
      </c>
      <c r="R28" s="37">
        <v>8.731888</v>
      </c>
    </row>
    <row r="29" customHeight="1" spans="1:18">
      <c r="C29" s="34" t="s">
        <v>77</v>
      </c>
      <c r="D29" s="36">
        <v>594.31</v>
      </c>
      <c r="E29" s="37">
        <v>455.641577</v>
      </c>
      <c r="F29" s="38">
        <v>0.766673246285609</v>
      </c>
      <c r="G29" s="37">
        <v>63.983588</v>
      </c>
      <c r="H29" s="37">
        <v>32.359647</v>
      </c>
      <c r="I29" s="37">
        <v>27.94332</v>
      </c>
      <c r="J29" s="37">
        <v>29.224205</v>
      </c>
      <c r="K29" s="37">
        <v>34.98592</v>
      </c>
      <c r="L29" s="37">
        <v>32.2646</v>
      </c>
      <c r="M29" s="37">
        <v>42.890961</v>
      </c>
      <c r="N29" s="37">
        <v>48.208987</v>
      </c>
      <c r="O29" s="37">
        <v>34.580136</v>
      </c>
      <c r="P29" s="37">
        <v>44.021098</v>
      </c>
      <c r="Q29" s="37">
        <v>37.191637</v>
      </c>
      <c r="R29" s="37">
        <v>27.987478</v>
      </c>
    </row>
    <row r="30" customHeight="1" spans="1:18">
      <c r="C30" s="28" t="s">
        <v>78</v>
      </c>
      <c r="D30" s="36">
        <v>234.95</v>
      </c>
      <c r="E30" s="37">
        <v>14.644794</v>
      </c>
      <c r="F30" s="38">
        <v>0.0623315343690146</v>
      </c>
      <c r="G30" s="37">
        <v>2.251681</v>
      </c>
      <c r="H30" s="37">
        <v>0</v>
      </c>
      <c r="I30" s="37">
        <v>0</v>
      </c>
      <c r="J30" s="37">
        <v>0</v>
      </c>
      <c r="K30" s="37">
        <v>1.752211</v>
      </c>
      <c r="L30" s="37">
        <v>0</v>
      </c>
      <c r="M30" s="37">
        <v>0</v>
      </c>
      <c r="N30" s="37">
        <v>0</v>
      </c>
      <c r="O30" s="37">
        <v>1.651361</v>
      </c>
      <c r="P30" s="37">
        <v>0</v>
      </c>
      <c r="Q30" s="37">
        <v>0</v>
      </c>
      <c r="R30" s="37">
        <v>8.989541</v>
      </c>
    </row>
    <row r="31" customHeight="1" spans="1:18">
      <c r="C31" s="28" t="s">
        <v>80</v>
      </c>
      <c r="D31" s="36">
        <v>0.73</v>
      </c>
      <c r="E31" s="37">
        <v>0.676020080738826</v>
      </c>
      <c r="F31" s="38">
        <v>0.926054905121679</v>
      </c>
      <c r="G31" s="37">
        <v>0.380999213217939</v>
      </c>
      <c r="H31" s="37">
        <v>0.54006968641115</v>
      </c>
      <c r="I31" s="37">
        <v>0.65558615263572</v>
      </c>
      <c r="J31" s="37">
        <v>0.702439024390244</v>
      </c>
      <c r="K31" s="37">
        <v>0.687844217151849</v>
      </c>
      <c r="L31" s="37">
        <v>0.621443089430894</v>
      </c>
      <c r="M31" s="37">
        <v>0.8782</v>
      </c>
      <c r="N31" s="37">
        <v>0.873721479150275</v>
      </c>
      <c r="O31" s="37">
        <v>0.53719512195122</v>
      </c>
      <c r="P31" s="37">
        <v>0.822187254130606</v>
      </c>
      <c r="Q31" s="37">
        <v>0.825813008130081</v>
      </c>
      <c r="R31" s="37">
        <v>0.586742722265932</v>
      </c>
    </row>
    <row r="32" customHeight="1" spans="1:18">
      <c r="C32" s="28" t="s">
        <v>81</v>
      </c>
      <c r="D32" s="36">
        <v>0.95</v>
      </c>
      <c r="E32" s="37">
        <v>0.972389017805499</v>
      </c>
      <c r="F32" s="38">
        <v>1.02356738716368</v>
      </c>
      <c r="G32" s="37">
        <v>0.860321171249838</v>
      </c>
      <c r="H32" s="37">
        <v>0.797778754793355</v>
      </c>
      <c r="I32" s="37">
        <v>1.25756530423015</v>
      </c>
      <c r="J32" s="37">
        <v>1.11696524896082</v>
      </c>
      <c r="K32" s="37">
        <v>1.28635185215961</v>
      </c>
      <c r="L32" s="37">
        <v>0.970342163811111</v>
      </c>
      <c r="M32" s="37">
        <v>0.937464444634631</v>
      </c>
      <c r="N32" s="37">
        <v>0.87221069843953</v>
      </c>
      <c r="O32" s="37">
        <v>0.744368425892693</v>
      </c>
      <c r="P32" s="37">
        <v>1.197877308941</v>
      </c>
      <c r="Q32" s="37">
        <v>0.975949193672148</v>
      </c>
      <c r="R32" s="37">
        <v>0.651473646881101</v>
      </c>
    </row>
    <row r="33" customHeight="1" spans="6:18">
      <c r="F33" s="26" t="s">
        <v>50</v>
      </c>
      <c r="G33" s="26" t="s">
        <v>108</v>
      </c>
      <c r="H33" s="26" t="s">
        <v>109</v>
      </c>
      <c r="I33" s="26" t="s">
        <v>110</v>
      </c>
      <c r="J33" s="26" t="s">
        <v>111</v>
      </c>
      <c r="K33" s="26" t="s">
        <v>112</v>
      </c>
      <c r="L33" s="26" t="s">
        <v>113</v>
      </c>
      <c r="M33" s="26" t="s">
        <v>114</v>
      </c>
      <c r="N33" s="26" t="s">
        <v>115</v>
      </c>
      <c r="O33" s="26" t="s">
        <v>116</v>
      </c>
      <c r="P33" s="26" t="s">
        <v>117</v>
      </c>
      <c r="Q33" s="26" t="s">
        <v>118</v>
      </c>
      <c r="R33" s="26" t="s">
        <v>119</v>
      </c>
    </row>
    <row r="34" customHeight="1" spans="6:18">
      <c r="F34" s="28" t="s">
        <v>63</v>
      </c>
      <c r="G34" s="39">
        <f t="array" ref="G34:R34">IF(COLUMN(G2:R2)&lt;=COLUMN(G2)+MATCH(填写页!$A$1,$G$1:$R$1,0)-1,G2:R2,NA())</f>
      </c>
      <c r="H34" s="41">
        <v>63.822824</v>
      </c>
      <c r="I34" s="41">
        <v>80.56083</v>
      </c>
      <c r="J34" s="41">
        <v>0</v>
      </c>
      <c r="K34" s="41" t="e">
        <v>#N/A</v>
      </c>
      <c r="L34" s="41" t="e">
        <v>#N/A</v>
      </c>
      <c r="M34" s="41" t="e">
        <v>#N/A</v>
      </c>
      <c r="N34" s="41" t="e">
        <v>#N/A</v>
      </c>
      <c r="O34" s="41" t="e">
        <v>#N/A</v>
      </c>
      <c r="P34" s="41" t="e">
        <v>#N/A</v>
      </c>
      <c r="Q34" s="41" t="e">
        <v>#N/A</v>
      </c>
      <c r="R34" s="41" t="e">
        <v>#N/A</v>
      </c>
    </row>
    <row r="35" customHeight="1" spans="6:18">
      <c r="F35" s="28" t="s">
        <v>217</v>
      </c>
      <c r="G35" s="37">
        <f t="shared" ref="G35:R35" si="2">G20</f>
      </c>
      <c r="H35" s="37">
        <f t="shared" si="2"/>
      </c>
      <c r="I35" s="37">
        <f t="shared" si="2"/>
      </c>
      <c r="J35" s="37">
        <f t="shared" si="2"/>
      </c>
      <c r="K35" s="37">
        <f t="shared" si="2"/>
      </c>
      <c r="L35" s="37">
        <f t="shared" si="2"/>
      </c>
      <c r="M35" s="37">
        <f t="shared" si="2"/>
      </c>
      <c r="N35" s="37">
        <f t="shared" si="2"/>
      </c>
      <c r="O35" s="37">
        <f t="shared" si="2"/>
      </c>
      <c r="P35" s="37">
        <f t="shared" si="2"/>
      </c>
      <c r="Q35" s="37">
        <f t="shared" si="2"/>
      </c>
      <c r="R35" s="37">
        <f t="shared" si="2"/>
      </c>
    </row>
    <row r="36" customHeight="1" spans="6:18">
      <c r="F36" s="28" t="s">
        <v>218</v>
      </c>
      <c r="G36" s="41">
        <f>VLOOKUP(填写页!$C$8,分解计划!$A:$N,COLUMN()-4,FALSE)</f>
      </c>
      <c r="H36" s="41">
        <f>VLOOKUP(填写页!$C$8,分解计划!$A:$N,COLUMN()-4,FALSE)</f>
      </c>
      <c r="I36" s="41">
        <f>VLOOKUP(填写页!$C$8,分解计划!$A:$N,COLUMN()-4,FALSE)</f>
      </c>
      <c r="J36" s="41">
        <f>VLOOKUP(填写页!$C$8,分解计划!$A:$N,COLUMN()-4,FALSE)</f>
      </c>
      <c r="K36" s="41">
        <f>VLOOKUP(填写页!$C$8,分解计划!$A:$N,COLUMN()-4,FALSE)</f>
      </c>
      <c r="L36" s="41">
        <f>VLOOKUP(填写页!$C$8,分解计划!$A:$N,COLUMN()-4,FALSE)</f>
      </c>
      <c r="M36" s="41">
        <f>VLOOKUP(填写页!$C$8,分解计划!$A:$N,COLUMN()-4,FALSE)</f>
      </c>
      <c r="N36" s="41">
        <f>VLOOKUP(填写页!$C$8,分解计划!$A:$N,COLUMN()-4,FALSE)</f>
      </c>
      <c r="O36" s="41">
        <f>VLOOKUP(填写页!$C$8,分解计划!$A:$N,COLUMN()-4,FALSE)</f>
      </c>
      <c r="P36" s="41">
        <f>VLOOKUP(填写页!$C$8,分解计划!$A:$N,COLUMN()-4,FALSE)</f>
      </c>
      <c r="Q36" s="41">
        <f>VLOOKUP(填写页!$C$8,分解计划!$A:$N,COLUMN()-4,FALSE)</f>
      </c>
      <c r="R36" s="41">
        <f>VLOOKUP(填写页!$C$8,分解计划!$A:$N,COLUMN()-4,FALSE)</f>
      </c>
    </row>
    <row r="39" customHeight="1" spans="6:18">
      <c r="F39" s="26" t="s">
        <v>50</v>
      </c>
      <c r="G39" s="26" t="s">
        <v>108</v>
      </c>
      <c r="H39" s="26" t="s">
        <v>109</v>
      </c>
      <c r="I39" s="26" t="s">
        <v>110</v>
      </c>
      <c r="J39" s="26" t="s">
        <v>111</v>
      </c>
      <c r="K39" s="26" t="s">
        <v>112</v>
      </c>
      <c r="L39" s="26" t="s">
        <v>113</v>
      </c>
      <c r="M39" s="26" t="s">
        <v>114</v>
      </c>
      <c r="N39" s="26" t="s">
        <v>115</v>
      </c>
      <c r="O39" s="26" t="s">
        <v>116</v>
      </c>
      <c r="P39" s="26" t="s">
        <v>117</v>
      </c>
      <c r="Q39" s="26" t="s">
        <v>118</v>
      </c>
      <c r="R39" s="26" t="s">
        <v>119</v>
      </c>
    </row>
    <row r="40" customHeight="1" spans="6:18">
      <c r="F40" s="28" t="s">
        <v>63</v>
      </c>
      <c r="G40" s="42">
        <f t="array" ref="G40:R40">IF(COLUMN(G2:R2)&lt;=COLUMN(G2)+MATCH(填写页!$A$1,$G$1:$R$1,0)-1,G2:R2,NA())</f>
      </c>
      <c r="H40" s="42">
        <v>63.822824</v>
      </c>
      <c r="I40" s="42">
        <v>80.56083</v>
      </c>
      <c r="J40" s="42">
        <v>0</v>
      </c>
      <c r="K40" s="42" t="e">
        <v>#N/A</v>
      </c>
      <c r="L40" s="42" t="e">
        <v>#N/A</v>
      </c>
      <c r="M40" s="42" t="e">
        <v>#N/A</v>
      </c>
      <c r="N40" s="42" t="e">
        <v>#N/A</v>
      </c>
      <c r="O40" s="42" t="e">
        <v>#N/A</v>
      </c>
      <c r="P40" s="42" t="e">
        <v>#N/A</v>
      </c>
      <c r="Q40" s="42" t="e">
        <v>#N/A</v>
      </c>
      <c r="R40" s="42" t="e">
        <v>#N/A</v>
      </c>
    </row>
    <row r="41" customHeight="1" spans="6:18">
      <c r="F41" s="28" t="s">
        <v>219</v>
      </c>
      <c r="G41" s="42">
        <f t="array" ref="G41:R41">IF(COLUMN(G3:R3)&lt;=COLUMN(G3)+MATCH(填写页!$A$1,$G$1:$R$1,0)-1,G3:R3,NA())</f>
      </c>
      <c r="H41" s="42">
        <v>-38.670642</v>
      </c>
      <c r="I41" s="42">
        <v>-1.72705700000001</v>
      </c>
      <c r="J41" s="42">
        <v>0</v>
      </c>
      <c r="K41" s="42" t="e">
        <v>#N/A</v>
      </c>
      <c r="L41" s="42" t="e">
        <v>#N/A</v>
      </c>
      <c r="M41" s="42" t="e">
        <v>#N/A</v>
      </c>
      <c r="N41" s="42" t="e">
        <v>#N/A</v>
      </c>
      <c r="O41" s="42" t="e">
        <v>#N/A</v>
      </c>
      <c r="P41" s="42" t="e">
        <v>#N/A</v>
      </c>
      <c r="Q41" s="42" t="e">
        <v>#N/A</v>
      </c>
      <c r="R41" s="42" t="e">
        <v>#N/A</v>
      </c>
    </row>
    <row r="42" customHeight="1" spans="6:18">
      <c r="F42" s="28" t="s">
        <v>65</v>
      </c>
      <c r="G42" s="42">
        <f t="array" ref="G42:R42">IF(COLUMN(G4:R4)&lt;=COLUMN(G4)+MATCH(填写页!$A$1,$G$1:$R$1,0)-1,G4:R4,NA())</f>
      </c>
      <c r="H42" s="42">
        <v>-47.233397</v>
      </c>
      <c r="I42" s="42">
        <v>-17.259462</v>
      </c>
      <c r="J42" s="42">
        <v>0</v>
      </c>
      <c r="K42" s="42" t="e">
        <v>#N/A</v>
      </c>
      <c r="L42" s="42" t="e">
        <v>#N/A</v>
      </c>
      <c r="M42" s="42" t="e">
        <v>#N/A</v>
      </c>
      <c r="N42" s="42" t="e">
        <v>#N/A</v>
      </c>
      <c r="O42" s="42" t="e">
        <v>#N/A</v>
      </c>
      <c r="P42" s="42" t="e">
        <v>#N/A</v>
      </c>
      <c r="Q42" s="42" t="e">
        <v>#N/A</v>
      </c>
      <c r="R42" s="42" t="e">
        <v>#N/A</v>
      </c>
    </row>
    <row r="43" customHeight="1" spans="6:18">
      <c r="F43" s="28" t="s">
        <v>67</v>
      </c>
      <c r="G43" s="42">
        <f t="array" ref="G43:R43">IF(COLUMN(G5:R5)&lt;=COLUMN(G5)+MATCH(填写页!$A$1,$G$1:$R$1,0)-1,G5:R5,NA())</f>
      </c>
      <c r="H43" s="42">
        <v>102.388778</v>
      </c>
      <c r="I43" s="42">
        <v>82.703909</v>
      </c>
      <c r="J43" s="42">
        <v>0</v>
      </c>
      <c r="K43" s="42" t="e">
        <v>#N/A</v>
      </c>
      <c r="L43" s="42" t="e">
        <v>#N/A</v>
      </c>
      <c r="M43" s="42" t="e">
        <v>#N/A</v>
      </c>
      <c r="N43" s="42" t="e">
        <v>#N/A</v>
      </c>
      <c r="O43" s="42" t="e">
        <v>#N/A</v>
      </c>
      <c r="P43" s="42" t="e">
        <v>#N/A</v>
      </c>
      <c r="Q43" s="42" t="e">
        <v>#N/A</v>
      </c>
      <c r="R43" s="42" t="e">
        <v>#N/A</v>
      </c>
    </row>
    <row r="60" customHeight="1" spans="3:9">
      <c r="C60" s="43"/>
    </row>
    <row r="61" ht="118" customHeight="1" spans="3:9">
      <c r="C61" s="43"/>
      <c r="D61" s="43"/>
      <c r="E61" s="43"/>
      <c r="F61" s="43"/>
      <c r="G61" s="43"/>
      <c r="H61" s="43"/>
      <c r="I61" s="43"/>
    </row>
  </sheetData>
  <mergeCells count="4">
    <mergeCell ref="C61:I61"/>
    <mergeCell ref="A2:A4"/>
    <mergeCell ref="A5:A12"/>
    <mergeCell ref="A13:A18"/>
  </mergeCells>
  <pageMargins left="0.75" right="0.75" top="1" bottom="1" header="0.5" footer="0.5"/>
  <pageSetup paperSize="9" orientation="portrait"/>
  <headerFooter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25">
    <tabColor rgb="FF9CD2A4"/>
  </sheetPr>
  <dimension ref="A1:R61"/>
  <sheetViews>
    <sheetView topLeftCell="A41" workbookViewId="0">
      <selection activeCell="C61" sqref="C61:I61"/>
    </sheetView>
  </sheetViews>
  <sheetFormatPr defaultColWidth="19.6126126126126" defaultRowHeight="18" customHeight="1"/>
  <cols>
    <col min="1" max="1" width="9.61261261261261" style="25" customWidth="1"/>
    <col min="2" max="2" width="7.45945945945946" style="25" customWidth="1"/>
    <col min="3" max="3" width="19" style="25" customWidth="1"/>
    <col min="4" max="5" width="14.6126126126126" style="25" customWidth="1"/>
    <col min="6" max="6" width="9" style="25" customWidth="1"/>
    <col min="7" max="25" width="9.61261261261261" style="25" customWidth="1"/>
    <col min="26" max="16384" width="19.6126126126126" style="25"/>
  </cols>
  <sheetData>
    <row r="1" customHeight="1" spans="1:18">
      <c r="A1" s="26" t="s">
        <v>48</v>
      </c>
      <c r="B1" s="26" t="s">
        <v>49</v>
      </c>
      <c r="C1" s="26" t="s">
        <v>50</v>
      </c>
      <c r="D1" s="26" t="s">
        <v>128</v>
      </c>
      <c r="E1" s="26" t="s">
        <v>129</v>
      </c>
      <c r="F1" s="26" t="s">
        <v>213</v>
      </c>
      <c r="G1" s="26" t="s">
        <v>108</v>
      </c>
      <c r="H1" s="26" t="s">
        <v>109</v>
      </c>
      <c r="I1" s="26" t="s">
        <v>110</v>
      </c>
      <c r="J1" s="26" t="s">
        <v>111</v>
      </c>
      <c r="K1" s="26" t="s">
        <v>112</v>
      </c>
      <c r="L1" s="26" t="s">
        <v>113</v>
      </c>
      <c r="M1" s="26" t="s">
        <v>114</v>
      </c>
      <c r="N1" s="26" t="s">
        <v>115</v>
      </c>
      <c r="O1" s="26" t="s">
        <v>116</v>
      </c>
      <c r="P1" s="26" t="s">
        <v>117</v>
      </c>
      <c r="Q1" s="26" t="s">
        <v>118</v>
      </c>
      <c r="R1" s="26" t="s">
        <v>119</v>
      </c>
    </row>
    <row r="2" customHeight="1" spans="1:18">
      <c r="A2" s="27" t="s">
        <v>62</v>
      </c>
      <c r="B2" s="28">
        <v>1</v>
      </c>
      <c r="C2" s="28" t="s">
        <v>63</v>
      </c>
      <c r="D2" s="29">
        <f t="array" ref="D2:D18">INDEX(年度计划!E2:M18,,MATCH(填写页!C9,年度计划!E1:M1,0))</f>
      </c>
      <c r="E2" s="29">
        <f t="shared" ref="E2:E16" si="0">SUM(G2:R2)</f>
      </c>
      <c r="F2" s="30">
        <f t="shared" ref="F2:F18" si="1">IFERROR(MAX(1+(E2-D2)/ABS(D2),0),)</f>
      </c>
      <c r="G2" s="31">
        <v>32.620633</v>
      </c>
      <c r="H2" s="31">
        <v>19.682364</v>
      </c>
      <c r="I2" s="31">
        <v>31.674955</v>
      </c>
      <c r="J2" s="31">
        <v>23.451862</v>
      </c>
      <c r="K2" s="31"/>
      <c r="L2" s="31"/>
      <c r="M2" s="31"/>
      <c r="N2" s="31"/>
      <c r="O2" s="31"/>
      <c r="P2" s="31"/>
      <c r="Q2" s="31"/>
      <c r="R2" s="31"/>
    </row>
    <row r="3" customHeight="1" spans="1:18">
      <c r="A3" s="27"/>
      <c r="B3" s="28">
        <v>2</v>
      </c>
      <c r="C3" s="28" t="s">
        <v>220</v>
      </c>
      <c r="D3" s="29">
        <v>127.818006767571</v>
      </c>
      <c r="E3" s="29">
        <f t="shared" si="0"/>
      </c>
      <c r="F3" s="30">
        <f t="shared" si="1"/>
      </c>
      <c r="G3" s="31">
        <v>4.668735</v>
      </c>
      <c r="H3" s="31">
        <v>-3.91312499999997</v>
      </c>
      <c r="I3" s="31">
        <v>6.554692</v>
      </c>
      <c r="J3" s="31">
        <v>1.440771</v>
      </c>
      <c r="K3" s="31"/>
      <c r="L3" s="31"/>
      <c r="M3" s="31"/>
      <c r="N3" s="31"/>
      <c r="O3" s="31"/>
      <c r="P3" s="31"/>
      <c r="Q3" s="31"/>
      <c r="R3" s="31"/>
    </row>
    <row r="4" customHeight="1" spans="1:18">
      <c r="A4" s="27"/>
      <c r="B4" s="28">
        <v>3</v>
      </c>
      <c r="C4" s="28" t="s">
        <v>65</v>
      </c>
      <c r="D4" s="29">
        <v>91.1549076783355</v>
      </c>
      <c r="E4" s="29">
        <f t="shared" si="0"/>
      </c>
      <c r="F4" s="30">
        <f t="shared" si="1"/>
      </c>
      <c r="G4" s="31">
        <v>-18.43919</v>
      </c>
      <c r="H4" s="31">
        <v>29.445458</v>
      </c>
      <c r="I4" s="31">
        <v>58.445817</v>
      </c>
      <c r="J4" s="31">
        <v>13.167888</v>
      </c>
      <c r="K4" s="31"/>
      <c r="L4" s="31"/>
      <c r="M4" s="31"/>
      <c r="N4" s="31"/>
      <c r="O4" s="31"/>
      <c r="P4" s="31"/>
      <c r="Q4" s="31"/>
      <c r="R4" s="31"/>
    </row>
    <row r="5" customHeight="1" spans="1:18">
      <c r="A5" s="27" t="s">
        <v>66</v>
      </c>
      <c r="B5" s="28">
        <v>4</v>
      </c>
      <c r="C5" s="28" t="s">
        <v>215</v>
      </c>
      <c r="D5" s="29">
        <v>653.173235608278</v>
      </c>
      <c r="E5" s="29">
        <f t="shared" si="0"/>
      </c>
      <c r="F5" s="30">
        <f t="shared" si="1"/>
      </c>
      <c r="G5" s="31">
        <v>32.36311</v>
      </c>
      <c r="H5" s="31">
        <v>28.197865</v>
      </c>
      <c r="I5" s="31">
        <v>27.942634</v>
      </c>
      <c r="J5" s="31">
        <v>27.738821</v>
      </c>
      <c r="K5" s="31">
        <v>0</v>
      </c>
      <c r="L5" s="31">
        <v>0</v>
      </c>
      <c r="M5" s="31">
        <v>0</v>
      </c>
      <c r="N5" s="31">
        <v>0</v>
      </c>
      <c r="O5" s="31">
        <v>0</v>
      </c>
      <c r="P5" s="31">
        <v>0</v>
      </c>
      <c r="Q5" s="31">
        <v>0</v>
      </c>
      <c r="R5" s="31">
        <v>0</v>
      </c>
    </row>
    <row r="6" customHeight="1" spans="1:18">
      <c r="A6" s="27"/>
      <c r="B6" s="28">
        <v>4.1</v>
      </c>
      <c r="C6" s="28" t="s">
        <v>68</v>
      </c>
      <c r="D6" s="32">
        <v>268.700862125478</v>
      </c>
      <c r="E6" s="32">
        <f t="shared" si="0"/>
      </c>
      <c r="F6" s="33">
        <f t="shared" si="1"/>
      </c>
      <c r="G6" s="31">
        <v>21.927277</v>
      </c>
      <c r="H6" s="31">
        <v>19.824103</v>
      </c>
      <c r="I6" s="31">
        <v>19.711548</v>
      </c>
      <c r="J6" s="31">
        <v>19.787052</v>
      </c>
      <c r="K6" s="31">
        <v>0</v>
      </c>
      <c r="L6" s="31">
        <v>0</v>
      </c>
      <c r="M6" s="31">
        <v>0</v>
      </c>
      <c r="N6" s="31">
        <v>0</v>
      </c>
      <c r="O6" s="31">
        <v>0</v>
      </c>
      <c r="P6" s="31">
        <v>0</v>
      </c>
      <c r="Q6" s="31">
        <v>0</v>
      </c>
      <c r="R6" s="31">
        <v>0</v>
      </c>
    </row>
    <row r="7" customHeight="1" spans="1:18">
      <c r="A7" s="27"/>
      <c r="B7" s="28" t="s">
        <v>69</v>
      </c>
      <c r="C7" s="34" t="s">
        <v>70</v>
      </c>
      <c r="D7" s="32">
        <v>195.085798</v>
      </c>
      <c r="E7" s="32">
        <f t="shared" si="0"/>
      </c>
      <c r="F7" s="33">
        <f t="shared" si="1"/>
      </c>
      <c r="G7" s="31">
        <v>16.761363</v>
      </c>
      <c r="H7" s="31">
        <v>15.891363</v>
      </c>
      <c r="I7" s="31">
        <v>15.811363</v>
      </c>
      <c r="J7" s="31">
        <v>16.311363</v>
      </c>
      <c r="K7" s="31"/>
      <c r="L7" s="31"/>
      <c r="M7" s="31"/>
      <c r="N7" s="31"/>
      <c r="O7" s="31"/>
      <c r="P7" s="31"/>
      <c r="Q7" s="31"/>
      <c r="R7" s="31"/>
    </row>
    <row r="8" customHeight="1" spans="1:18">
      <c r="A8" s="27"/>
      <c r="B8" s="28" t="s">
        <v>71</v>
      </c>
      <c r="C8" s="34" t="s">
        <v>72</v>
      </c>
      <c r="D8" s="32">
        <v>73.6150641254776</v>
      </c>
      <c r="E8" s="32">
        <f t="shared" si="0"/>
      </c>
      <c r="F8" s="33">
        <f t="shared" si="1"/>
      </c>
      <c r="G8" s="31">
        <v>5.165914</v>
      </c>
      <c r="H8" s="31">
        <v>3.93274</v>
      </c>
      <c r="I8" s="31">
        <v>3.900185</v>
      </c>
      <c r="J8" s="31">
        <v>3.475689</v>
      </c>
      <c r="K8" s="31"/>
      <c r="L8" s="31"/>
      <c r="M8" s="31"/>
      <c r="N8" s="31"/>
      <c r="O8" s="31"/>
      <c r="P8" s="31"/>
      <c r="Q8" s="31"/>
      <c r="R8" s="31"/>
    </row>
    <row r="9" customHeight="1" spans="1:18">
      <c r="A9" s="27"/>
      <c r="B9" s="28">
        <v>4.2</v>
      </c>
      <c r="C9" s="28" t="s">
        <v>73</v>
      </c>
      <c r="D9" s="32">
        <v>384.4723734828</v>
      </c>
      <c r="E9" s="32">
        <f t="shared" si="0"/>
      </c>
      <c r="F9" s="33">
        <f t="shared" si="1"/>
      </c>
      <c r="G9" s="31">
        <v>10.435833</v>
      </c>
      <c r="H9" s="31">
        <v>8.373762</v>
      </c>
      <c r="I9" s="31">
        <v>8.231086</v>
      </c>
      <c r="J9" s="31">
        <v>7.951769</v>
      </c>
      <c r="K9" s="31">
        <v>0</v>
      </c>
      <c r="L9" s="31">
        <v>0</v>
      </c>
      <c r="M9" s="31">
        <v>0</v>
      </c>
      <c r="N9" s="31">
        <v>0</v>
      </c>
      <c r="O9" s="31">
        <v>0</v>
      </c>
      <c r="P9" s="31">
        <v>0</v>
      </c>
      <c r="Q9" s="31">
        <v>0</v>
      </c>
      <c r="R9" s="31">
        <v>0</v>
      </c>
    </row>
    <row r="10" customHeight="1" spans="1:18">
      <c r="A10" s="27"/>
      <c r="B10" s="28" t="s">
        <v>74</v>
      </c>
      <c r="C10" s="34" t="s">
        <v>75</v>
      </c>
      <c r="D10" s="32">
        <v>81.588744</v>
      </c>
      <c r="E10" s="32">
        <f t="shared" si="0"/>
      </c>
      <c r="F10" s="33">
        <f t="shared" si="1"/>
      </c>
      <c r="G10" s="31">
        <v>6.921186</v>
      </c>
      <c r="H10" s="31">
        <v>6.621186</v>
      </c>
      <c r="I10" s="31">
        <v>6.621186</v>
      </c>
      <c r="J10" s="31">
        <v>6.781186</v>
      </c>
      <c r="K10" s="31"/>
      <c r="L10" s="31"/>
      <c r="M10" s="31"/>
      <c r="N10" s="31"/>
      <c r="O10" s="31"/>
      <c r="P10" s="31"/>
      <c r="Q10" s="31"/>
      <c r="R10" s="31"/>
    </row>
    <row r="11" customHeight="1" spans="1:18">
      <c r="A11" s="27"/>
      <c r="B11" s="28" t="s">
        <v>76</v>
      </c>
      <c r="C11" s="34" t="s">
        <v>77</v>
      </c>
      <c r="D11" s="32">
        <v>302.8836294828</v>
      </c>
      <c r="E11" s="32">
        <f t="shared" si="0"/>
      </c>
      <c r="F11" s="33">
        <f t="shared" si="1"/>
      </c>
      <c r="G11" s="31">
        <v>3.514647</v>
      </c>
      <c r="H11" s="31">
        <v>1.752576</v>
      </c>
      <c r="I11" s="31">
        <v>1.6099</v>
      </c>
      <c r="J11" s="31">
        <v>1.170583</v>
      </c>
      <c r="K11" s="31"/>
      <c r="L11" s="31"/>
      <c r="M11" s="31"/>
      <c r="N11" s="31"/>
      <c r="O11" s="31"/>
      <c r="P11" s="31"/>
      <c r="Q11" s="31"/>
      <c r="R11" s="31"/>
    </row>
    <row r="12" customHeight="1" spans="1:18">
      <c r="A12" s="27"/>
      <c r="B12" s="28">
        <v>5</v>
      </c>
      <c r="C12" s="28" t="s">
        <v>78</v>
      </c>
      <c r="D12" s="29">
        <v>0</v>
      </c>
      <c r="E12" s="29">
        <f t="shared" si="0"/>
      </c>
      <c r="F12" s="30">
        <f t="shared" si="1"/>
      </c>
      <c r="G12" s="31"/>
      <c r="H12" s="31"/>
      <c r="I12" s="31"/>
      <c r="J12" s="31"/>
      <c r="K12" s="31"/>
      <c r="L12" s="31"/>
      <c r="M12" s="31"/>
      <c r="N12" s="31"/>
      <c r="O12" s="31"/>
      <c r="P12" s="31"/>
      <c r="Q12" s="31"/>
      <c r="R12" s="31"/>
    </row>
    <row r="13" customHeight="1" spans="1:18">
      <c r="A13" s="27" t="s">
        <v>79</v>
      </c>
      <c r="B13" s="28">
        <v>6</v>
      </c>
      <c r="C13" s="28" t="s">
        <v>80</v>
      </c>
      <c r="D13" s="30">
        <v>0</v>
      </c>
      <c r="E13" s="30">
        <f t="shared" si="0"/>
      </c>
      <c r="F13" s="30">
        <f t="shared" si="1"/>
      </c>
      <c r="G13" s="31"/>
      <c r="H13" s="31"/>
      <c r="I13" s="31"/>
      <c r="J13" s="31"/>
      <c r="K13" s="31"/>
      <c r="L13" s="31"/>
      <c r="M13" s="31"/>
      <c r="N13" s="31"/>
      <c r="O13" s="31"/>
      <c r="P13" s="31"/>
      <c r="Q13" s="31"/>
      <c r="R13" s="31"/>
    </row>
    <row r="14" customHeight="1" spans="1:18">
      <c r="A14" s="27"/>
      <c r="B14" s="28">
        <v>7</v>
      </c>
      <c r="C14" s="28" t="s">
        <v>81</v>
      </c>
      <c r="D14" s="30">
        <v>0</v>
      </c>
      <c r="E14" s="30">
        <f t="shared" si="0"/>
      </c>
      <c r="F14" s="30">
        <f t="shared" si="1"/>
      </c>
      <c r="G14" s="31"/>
      <c r="H14" s="31"/>
      <c r="I14" s="31"/>
      <c r="J14" s="31"/>
      <c r="K14" s="31"/>
      <c r="L14" s="31"/>
      <c r="M14" s="31"/>
      <c r="N14" s="31"/>
      <c r="O14" s="31"/>
      <c r="P14" s="31"/>
      <c r="Q14" s="31"/>
      <c r="R14" s="31"/>
    </row>
    <row r="15" customHeight="1" spans="1:18">
      <c r="A15" s="27"/>
      <c r="B15" s="28">
        <v>8</v>
      </c>
      <c r="C15" s="28" t="s">
        <v>82</v>
      </c>
      <c r="D15" s="29">
        <v>0</v>
      </c>
      <c r="E15" s="29">
        <f t="shared" si="0"/>
      </c>
      <c r="F15" s="30">
        <f t="shared" si="1"/>
      </c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</row>
    <row r="16" customHeight="1" spans="1:18">
      <c r="A16" s="27"/>
      <c r="B16" s="28">
        <v>9</v>
      </c>
      <c r="C16" s="28" t="s">
        <v>83</v>
      </c>
      <c r="D16" s="29">
        <v>862</v>
      </c>
      <c r="E16" s="29">
        <f t="shared" si="0"/>
      </c>
      <c r="F16" s="30">
        <f t="shared" si="1"/>
      </c>
      <c r="G16" s="31">
        <v>7.1105</v>
      </c>
      <c r="H16" s="31">
        <v>0</v>
      </c>
      <c r="I16" s="31"/>
      <c r="J16" s="31"/>
      <c r="K16" s="31"/>
      <c r="L16" s="31"/>
      <c r="M16" s="31"/>
      <c r="N16" s="31"/>
      <c r="O16" s="31"/>
      <c r="P16" s="31"/>
      <c r="Q16" s="31"/>
      <c r="R16" s="31"/>
    </row>
    <row r="17" customHeight="1" spans="1:18">
      <c r="A17" s="27"/>
      <c r="B17" s="28">
        <v>10</v>
      </c>
      <c r="C17" s="28" t="s">
        <v>84</v>
      </c>
      <c r="D17" s="30">
        <v>0</v>
      </c>
      <c r="E17" s="30">
        <f>AVERAGE(G17:R17)</f>
      </c>
      <c r="F17" s="30">
        <f t="shared" si="1"/>
      </c>
      <c r="G17" s="31">
        <v>0.9875</v>
      </c>
      <c r="H17" s="31">
        <v>0.9818</v>
      </c>
      <c r="I17" s="31">
        <v>0.9271</v>
      </c>
      <c r="J17" s="31">
        <v>0.9168</v>
      </c>
      <c r="K17" s="31"/>
      <c r="L17" s="31"/>
      <c r="M17" s="31"/>
      <c r="N17" s="31"/>
      <c r="O17" s="31"/>
      <c r="P17" s="31"/>
      <c r="Q17" s="31"/>
      <c r="R17" s="31"/>
    </row>
    <row r="18" customHeight="1" spans="1:18">
      <c r="A18" s="27"/>
      <c r="B18" s="28">
        <v>11</v>
      </c>
      <c r="C18" s="28" t="s">
        <v>85</v>
      </c>
      <c r="D18" s="30">
        <v>0</v>
      </c>
      <c r="E18" s="30"/>
      <c r="F18" s="30">
        <f t="shared" si="1"/>
      </c>
      <c r="G18" s="31">
        <v>0.9512</v>
      </c>
      <c r="H18" s="31">
        <v>0.9667</v>
      </c>
      <c r="I18" s="31">
        <v>0.9749</v>
      </c>
      <c r="J18" s="31">
        <v>0.9774</v>
      </c>
      <c r="K18" s="31"/>
      <c r="L18" s="31"/>
      <c r="M18" s="31"/>
      <c r="N18" s="31"/>
      <c r="O18" s="31"/>
      <c r="P18" s="31"/>
      <c r="Q18" s="31"/>
      <c r="R18" s="31"/>
    </row>
    <row r="19" customHeight="1" spans="1:18">
      <c r="C19" s="35" t="s">
        <v>216</v>
      </c>
      <c r="D19" s="35" t="s">
        <v>128</v>
      </c>
      <c r="E19" s="35" t="s">
        <v>129</v>
      </c>
      <c r="F19" s="35" t="s">
        <v>130</v>
      </c>
      <c r="G19" s="35" t="s">
        <v>108</v>
      </c>
      <c r="H19" s="35" t="s">
        <v>109</v>
      </c>
      <c r="I19" s="35" t="s">
        <v>110</v>
      </c>
      <c r="J19" s="35" t="s">
        <v>111</v>
      </c>
      <c r="K19" s="35" t="s">
        <v>112</v>
      </c>
      <c r="L19" s="35" t="s">
        <v>113</v>
      </c>
      <c r="M19" s="35" t="s">
        <v>114</v>
      </c>
      <c r="N19" s="35" t="s">
        <v>115</v>
      </c>
      <c r="O19" s="35" t="s">
        <v>116</v>
      </c>
      <c r="P19" s="35" t="s">
        <v>117</v>
      </c>
      <c r="Q19" s="35" t="s">
        <v>118</v>
      </c>
      <c r="R19" s="35" t="s">
        <v>119</v>
      </c>
    </row>
    <row r="20" customHeight="1" spans="1:18">
      <c r="C20" s="28" t="s">
        <v>63</v>
      </c>
      <c r="D20" s="36">
        <v>654.524074770095</v>
      </c>
      <c r="E20" s="37">
        <v>585.657025</v>
      </c>
      <c r="F20" s="38">
        <v>0.894783014980335</v>
      </c>
      <c r="G20" s="37">
        <v>106.320885</v>
      </c>
      <c r="H20" s="37">
        <v>42.534918</v>
      </c>
      <c r="I20" s="37">
        <v>75.209191</v>
      </c>
      <c r="J20" s="37">
        <v>32.272233</v>
      </c>
      <c r="K20" s="37">
        <v>43.14</v>
      </c>
      <c r="L20" s="37">
        <v>47.282986</v>
      </c>
      <c r="M20" s="37">
        <v>52.31881</v>
      </c>
      <c r="N20" s="37">
        <v>40.126594</v>
      </c>
      <c r="O20" s="37">
        <v>41.531773</v>
      </c>
      <c r="P20" s="37">
        <v>32.941035</v>
      </c>
      <c r="Q20" s="37">
        <v>27.427461</v>
      </c>
      <c r="R20" s="37">
        <v>44.551139</v>
      </c>
    </row>
    <row r="21" customHeight="1" spans="1:18">
      <c r="C21" s="28" t="s">
        <v>220</v>
      </c>
      <c r="D21" s="36">
        <v>100.509550178554</v>
      </c>
      <c r="E21" s="37">
        <v>127.763857</v>
      </c>
      <c r="F21" s="38">
        <v>1.27116136499496</v>
      </c>
      <c r="G21" s="37">
        <v>33.950856</v>
      </c>
      <c r="H21" s="37">
        <v>9.153241</v>
      </c>
      <c r="I21" s="37">
        <v>9.38455800000001</v>
      </c>
      <c r="J21" s="37">
        <v>-3.248022</v>
      </c>
      <c r="K21" s="37">
        <v>13.541398</v>
      </c>
      <c r="L21" s="37">
        <v>16.918366</v>
      </c>
      <c r="M21" s="37">
        <v>24.363209</v>
      </c>
      <c r="N21" s="37">
        <v>-1.192556</v>
      </c>
      <c r="O21" s="37">
        <v>15.58985</v>
      </c>
      <c r="P21" s="37">
        <v>7.94342000000004</v>
      </c>
      <c r="Q21" s="37">
        <v>-3.200815</v>
      </c>
      <c r="R21" s="37">
        <v>4.56035200000001</v>
      </c>
    </row>
    <row r="22" customHeight="1" spans="1:18">
      <c r="C22" s="28" t="s">
        <v>65</v>
      </c>
      <c r="D22" s="36">
        <v>101.744914125805</v>
      </c>
      <c r="E22" s="37">
        <v>189.904797</v>
      </c>
      <c r="F22" s="38">
        <v>1.86647950545408</v>
      </c>
      <c r="G22" s="37">
        <v>34.440909</v>
      </c>
      <c r="H22" s="37">
        <v>-14.043867</v>
      </c>
      <c r="I22" s="37">
        <v>91.110914</v>
      </c>
      <c r="J22" s="37">
        <v>-41.876819</v>
      </c>
      <c r="K22" s="37">
        <v>49.533206</v>
      </c>
      <c r="L22" s="37">
        <v>-2.47059400000001</v>
      </c>
      <c r="M22" s="37">
        <v>20.40532</v>
      </c>
      <c r="N22" s="37">
        <v>34.410863</v>
      </c>
      <c r="O22" s="37">
        <v>4.26956800000002</v>
      </c>
      <c r="P22" s="37">
        <v>-16.61999</v>
      </c>
      <c r="Q22" s="37">
        <v>33.075863</v>
      </c>
      <c r="R22" s="37">
        <v>-2.33057600000001</v>
      </c>
    </row>
    <row r="23" customHeight="1" spans="1:18">
      <c r="C23" s="28" t="s">
        <v>67</v>
      </c>
      <c r="D23" s="36">
        <v>612.468178977</v>
      </c>
      <c r="E23" s="37">
        <v>485.30363</v>
      </c>
      <c r="F23" s="38">
        <v>0.792373623084547</v>
      </c>
      <c r="G23" s="37">
        <v>80.387025</v>
      </c>
      <c r="H23" s="37">
        <v>35.797499</v>
      </c>
      <c r="I23" s="37">
        <v>54.469118</v>
      </c>
      <c r="J23" s="37">
        <v>39.964103</v>
      </c>
      <c r="K23" s="37">
        <v>34.50411</v>
      </c>
      <c r="L23" s="37">
        <v>36.96709</v>
      </c>
      <c r="M23" s="37">
        <v>32.896531</v>
      </c>
      <c r="N23" s="37">
        <v>45.733149</v>
      </c>
      <c r="O23" s="37">
        <v>24.802285</v>
      </c>
      <c r="P23" s="37">
        <v>29.297178</v>
      </c>
      <c r="Q23" s="37">
        <v>27.721059</v>
      </c>
      <c r="R23" s="37">
        <v>42.764483</v>
      </c>
    </row>
    <row r="24" customHeight="1" spans="1:18">
      <c r="C24" s="28" t="s">
        <v>68</v>
      </c>
      <c r="D24" s="36">
        <v>295.66181</v>
      </c>
      <c r="E24" s="37">
        <v>289.245168</v>
      </c>
      <c r="F24" s="38">
        <v>0.978297359405329</v>
      </c>
      <c r="G24" s="37">
        <v>21.8829</v>
      </c>
      <c r="H24" s="37">
        <v>21.19739</v>
      </c>
      <c r="I24" s="37">
        <v>22.329717</v>
      </c>
      <c r="J24" s="37">
        <v>30.202661</v>
      </c>
      <c r="K24" s="37">
        <v>25.716073</v>
      </c>
      <c r="L24" s="37">
        <v>25.592248</v>
      </c>
      <c r="M24" s="37">
        <v>21.49094</v>
      </c>
      <c r="N24" s="37">
        <v>21.358005</v>
      </c>
      <c r="O24" s="37">
        <v>20.362721</v>
      </c>
      <c r="P24" s="37">
        <v>21.049006</v>
      </c>
      <c r="Q24" s="37">
        <v>22.444414</v>
      </c>
      <c r="R24" s="37">
        <v>35.619093</v>
      </c>
    </row>
    <row r="25" customHeight="1" spans="1:18">
      <c r="C25" s="34" t="s">
        <v>70</v>
      </c>
      <c r="D25" s="36">
        <v>190.909125</v>
      </c>
      <c r="E25" s="37">
        <v>201.095718</v>
      </c>
      <c r="F25" s="38">
        <v>1.05335833475744</v>
      </c>
      <c r="G25" s="37">
        <v>16.893039</v>
      </c>
      <c r="H25" s="37">
        <v>15.411923</v>
      </c>
      <c r="I25" s="37">
        <v>16.092382</v>
      </c>
      <c r="J25" s="37">
        <v>24.227064</v>
      </c>
      <c r="K25" s="37">
        <v>16.907164</v>
      </c>
      <c r="L25" s="37">
        <v>15.707141</v>
      </c>
      <c r="M25" s="37">
        <v>15.782381</v>
      </c>
      <c r="N25" s="37">
        <v>15.791071</v>
      </c>
      <c r="O25" s="37">
        <v>16.811363</v>
      </c>
      <c r="P25" s="37">
        <v>15.851947</v>
      </c>
      <c r="Q25" s="37">
        <v>15.811363</v>
      </c>
      <c r="R25" s="37">
        <v>15.80888</v>
      </c>
    </row>
    <row r="26" customHeight="1" spans="1:18">
      <c r="C26" s="34" t="s">
        <v>72</v>
      </c>
      <c r="D26" s="36">
        <v>104.752685</v>
      </c>
      <c r="E26" s="37">
        <v>88.14945</v>
      </c>
      <c r="F26" s="38">
        <v>0.841500625974408</v>
      </c>
      <c r="G26" s="37">
        <v>4.989861</v>
      </c>
      <c r="H26" s="37">
        <v>5.785467</v>
      </c>
      <c r="I26" s="37">
        <v>6.237335</v>
      </c>
      <c r="J26" s="37">
        <v>5.975597</v>
      </c>
      <c r="K26" s="37">
        <v>8.808909</v>
      </c>
      <c r="L26" s="37">
        <v>9.885107</v>
      </c>
      <c r="M26" s="37">
        <v>5.708559</v>
      </c>
      <c r="N26" s="37">
        <v>5.566934</v>
      </c>
      <c r="O26" s="37">
        <v>3.551358</v>
      </c>
      <c r="P26" s="37">
        <v>5.197059</v>
      </c>
      <c r="Q26" s="37">
        <v>6.633051</v>
      </c>
      <c r="R26" s="37">
        <v>19.810213</v>
      </c>
    </row>
    <row r="27" customHeight="1" spans="1:18">
      <c r="C27" s="28" t="s">
        <v>73</v>
      </c>
      <c r="D27" s="36">
        <v>316.806368977</v>
      </c>
      <c r="E27" s="37">
        <v>196.058462</v>
      </c>
      <c r="F27" s="38">
        <v>0.618858966229412</v>
      </c>
      <c r="G27" s="37">
        <v>58.504125</v>
      </c>
      <c r="H27" s="37">
        <v>14.600109</v>
      </c>
      <c r="I27" s="37">
        <v>32.139401</v>
      </c>
      <c r="J27" s="37">
        <v>9.761442</v>
      </c>
      <c r="K27" s="37">
        <v>8.788037</v>
      </c>
      <c r="L27" s="37">
        <v>11.374842</v>
      </c>
      <c r="M27" s="37">
        <v>11.405591</v>
      </c>
      <c r="N27" s="37">
        <v>24.375144</v>
      </c>
      <c r="O27" s="37">
        <v>4.439564</v>
      </c>
      <c r="P27" s="37">
        <v>8.248172</v>
      </c>
      <c r="Q27" s="37">
        <v>5.276645</v>
      </c>
      <c r="R27" s="37">
        <v>7.14539</v>
      </c>
    </row>
    <row r="28" customHeight="1" spans="1:18">
      <c r="C28" s="34" t="s">
        <v>75</v>
      </c>
      <c r="D28" s="36">
        <v>77.798938</v>
      </c>
      <c r="E28" s="37">
        <v>81.579116</v>
      </c>
      <c r="F28" s="38">
        <v>1.0485890694292</v>
      </c>
      <c r="G28" s="37">
        <v>6.815</v>
      </c>
      <c r="H28" s="37">
        <v>6.495</v>
      </c>
      <c r="I28" s="37">
        <v>6.955</v>
      </c>
      <c r="J28" s="37">
        <v>7.6844</v>
      </c>
      <c r="K28" s="37">
        <v>6.9276</v>
      </c>
      <c r="L28" s="37">
        <v>6.655</v>
      </c>
      <c r="M28" s="37">
        <v>6.621186</v>
      </c>
      <c r="N28" s="37">
        <v>6.621186</v>
      </c>
      <c r="O28" s="37">
        <v>6.941186</v>
      </c>
      <c r="P28" s="37">
        <v>6.621186</v>
      </c>
      <c r="Q28" s="37">
        <v>6.621186</v>
      </c>
      <c r="R28" s="37">
        <v>6.621186</v>
      </c>
    </row>
    <row r="29" customHeight="1" spans="1:18">
      <c r="C29" s="34" t="s">
        <v>77</v>
      </c>
      <c r="D29" s="36">
        <v>239.007430977</v>
      </c>
      <c r="E29" s="37">
        <v>114.479346</v>
      </c>
      <c r="F29" s="38">
        <v>0.478978187130159</v>
      </c>
      <c r="G29" s="37">
        <v>51.689125</v>
      </c>
      <c r="H29" s="37">
        <v>8.105109</v>
      </c>
      <c r="I29" s="37">
        <v>25.184401</v>
      </c>
      <c r="J29" s="37">
        <v>2.077042</v>
      </c>
      <c r="K29" s="37">
        <v>1.860437</v>
      </c>
      <c r="L29" s="37">
        <v>4.719842</v>
      </c>
      <c r="M29" s="37">
        <v>4.784405</v>
      </c>
      <c r="N29" s="37">
        <v>17.753958</v>
      </c>
      <c r="O29" s="37">
        <v>-2.501622</v>
      </c>
      <c r="P29" s="37">
        <v>1.626986</v>
      </c>
      <c r="Q29" s="37">
        <v>-1.344541</v>
      </c>
      <c r="R29" s="37">
        <v>0.524204</v>
      </c>
    </row>
    <row r="30" customHeight="1" spans="1:18">
      <c r="C30" s="28" t="s">
        <v>78</v>
      </c>
      <c r="D30" s="36">
        <v>0.75</v>
      </c>
      <c r="E30" s="37">
        <v>0.354162</v>
      </c>
      <c r="F30" s="38">
        <v>0.472216</v>
      </c>
      <c r="G30" s="37">
        <v>0.20916</v>
      </c>
      <c r="H30" s="37">
        <v>0</v>
      </c>
      <c r="I30" s="37"/>
      <c r="J30" s="37"/>
      <c r="K30" s="37"/>
      <c r="L30" s="37"/>
      <c r="M30" s="37"/>
      <c r="N30" s="37">
        <v>0.145002</v>
      </c>
      <c r="O30" s="37"/>
      <c r="P30" s="37"/>
      <c r="Q30" s="37"/>
      <c r="R30" s="37"/>
    </row>
    <row r="31" customHeight="1" spans="1:18">
      <c r="C31" s="28"/>
      <c r="D31" s="36"/>
      <c r="E31" s="37"/>
      <c r="F31" s="38"/>
      <c r="G31" s="37"/>
      <c r="H31" s="37"/>
      <c r="I31" s="37"/>
      <c r="J31" s="37"/>
      <c r="K31" s="37"/>
      <c r="L31" s="37"/>
      <c r="M31" s="37"/>
      <c r="N31" s="37"/>
      <c r="O31" s="37"/>
      <c r="P31" s="37"/>
      <c r="Q31" s="37"/>
      <c r="R31" s="37"/>
    </row>
    <row r="32" customHeight="1" spans="1:18">
      <c r="C32" s="28"/>
      <c r="D32" s="36"/>
      <c r="E32" s="37"/>
      <c r="F32" s="38"/>
      <c r="G32" s="37"/>
      <c r="H32" s="37"/>
      <c r="I32" s="37"/>
      <c r="J32" s="37"/>
      <c r="K32" s="37"/>
      <c r="L32" s="37"/>
      <c r="M32" s="37"/>
      <c r="N32" s="37"/>
      <c r="O32" s="37"/>
      <c r="P32" s="37"/>
      <c r="Q32" s="37"/>
      <c r="R32" s="37"/>
    </row>
    <row r="33" customHeight="1" spans="6:18">
      <c r="F33" s="26" t="s">
        <v>50</v>
      </c>
      <c r="G33" s="26" t="s">
        <v>108</v>
      </c>
      <c r="H33" s="26" t="s">
        <v>109</v>
      </c>
      <c r="I33" s="26" t="s">
        <v>110</v>
      </c>
      <c r="J33" s="26" t="s">
        <v>111</v>
      </c>
      <c r="K33" s="26" t="s">
        <v>112</v>
      </c>
      <c r="L33" s="26" t="s">
        <v>113</v>
      </c>
      <c r="M33" s="26" t="s">
        <v>114</v>
      </c>
      <c r="N33" s="26" t="s">
        <v>115</v>
      </c>
      <c r="O33" s="26" t="s">
        <v>116</v>
      </c>
      <c r="P33" s="26" t="s">
        <v>117</v>
      </c>
      <c r="Q33" s="26" t="s">
        <v>118</v>
      </c>
      <c r="R33" s="26" t="s">
        <v>119</v>
      </c>
    </row>
    <row r="34" customHeight="1" spans="6:18">
      <c r="F34" s="28" t="s">
        <v>63</v>
      </c>
      <c r="G34" s="39">
        <f t="array" ref="G34:R34">IF(COLUMN(G2:R2)&lt;=COLUMN(G2)+MATCH(填写页!$A$1,$G$1:$R$1,0)-1,G2:R2,NA())</f>
      </c>
      <c r="H34" s="41">
        <v>19.682364</v>
      </c>
      <c r="I34" s="41">
        <v>31.674955</v>
      </c>
      <c r="J34" s="41">
        <v>0</v>
      </c>
      <c r="K34" s="41" t="e">
        <v>#N/A</v>
      </c>
      <c r="L34" s="41" t="e">
        <v>#N/A</v>
      </c>
      <c r="M34" s="41" t="e">
        <v>#N/A</v>
      </c>
      <c r="N34" s="41" t="e">
        <v>#N/A</v>
      </c>
      <c r="O34" s="41" t="e">
        <v>#N/A</v>
      </c>
      <c r="P34" s="41" t="e">
        <v>#N/A</v>
      </c>
      <c r="Q34" s="41" t="e">
        <v>#N/A</v>
      </c>
      <c r="R34" s="41" t="e">
        <v>#N/A</v>
      </c>
    </row>
    <row r="35" customHeight="1" spans="6:18">
      <c r="F35" s="28" t="s">
        <v>217</v>
      </c>
      <c r="G35" s="37">
        <f t="shared" ref="G35:R35" si="2">G20</f>
      </c>
      <c r="H35" s="37">
        <f t="shared" si="2"/>
      </c>
      <c r="I35" s="37">
        <f t="shared" si="2"/>
      </c>
      <c r="J35" s="37">
        <f t="shared" si="2"/>
      </c>
      <c r="K35" s="37">
        <f t="shared" si="2"/>
      </c>
      <c r="L35" s="37">
        <f t="shared" si="2"/>
      </c>
      <c r="M35" s="37">
        <f t="shared" si="2"/>
      </c>
      <c r="N35" s="37">
        <f t="shared" si="2"/>
      </c>
      <c r="O35" s="37">
        <f t="shared" si="2"/>
      </c>
      <c r="P35" s="37">
        <f t="shared" si="2"/>
      </c>
      <c r="Q35" s="37">
        <f t="shared" si="2"/>
      </c>
      <c r="R35" s="37">
        <f t="shared" si="2"/>
      </c>
    </row>
    <row r="36" customHeight="1" spans="6:18">
      <c r="F36" s="28" t="s">
        <v>218</v>
      </c>
      <c r="G36" s="41">
        <f>VLOOKUP(填写页!$C$9,分解计划!$A:$N,COLUMN()-4,FALSE)</f>
      </c>
      <c r="H36" s="41">
        <f>VLOOKUP(填写页!$C$9,分解计划!$A:$N,COLUMN()-4,FALSE)</f>
      </c>
      <c r="I36" s="41">
        <f>VLOOKUP(填写页!$C$9,分解计划!$A:$N,COLUMN()-4,FALSE)</f>
      </c>
      <c r="J36" s="41">
        <f>VLOOKUP(填写页!$C$9,分解计划!$A:$N,COLUMN()-4,FALSE)</f>
      </c>
      <c r="K36" s="41">
        <f>VLOOKUP(填写页!$C$9,分解计划!$A:$N,COLUMN()-4,FALSE)</f>
      </c>
      <c r="L36" s="41">
        <f>VLOOKUP(填写页!$C$9,分解计划!$A:$N,COLUMN()-4,FALSE)</f>
      </c>
      <c r="M36" s="41">
        <f>VLOOKUP(填写页!$C$9,分解计划!$A:$N,COLUMN()-4,FALSE)</f>
      </c>
      <c r="N36" s="41">
        <f>VLOOKUP(填写页!$C$9,分解计划!$A:$N,COLUMN()-4,FALSE)</f>
      </c>
      <c r="O36" s="41">
        <f>VLOOKUP(填写页!$C$9,分解计划!$A:$N,COLUMN()-4,FALSE)</f>
      </c>
      <c r="P36" s="41">
        <f>VLOOKUP(填写页!$C$9,分解计划!$A:$N,COLUMN()-4,FALSE)</f>
      </c>
      <c r="Q36" s="41">
        <f>VLOOKUP(填写页!$C$9,分解计划!$A:$N,COLUMN()-4,FALSE)</f>
      </c>
      <c r="R36" s="41">
        <f>VLOOKUP(填写页!$C$9,分解计划!$A:$N,COLUMN()-4,FALSE)</f>
      </c>
    </row>
    <row r="39" customHeight="1" spans="6:18">
      <c r="F39" s="26" t="s">
        <v>50</v>
      </c>
      <c r="G39" s="26" t="s">
        <v>108</v>
      </c>
      <c r="H39" s="26" t="s">
        <v>109</v>
      </c>
      <c r="I39" s="26" t="s">
        <v>110</v>
      </c>
      <c r="J39" s="26" t="s">
        <v>111</v>
      </c>
      <c r="K39" s="26" t="s">
        <v>112</v>
      </c>
      <c r="L39" s="26" t="s">
        <v>113</v>
      </c>
      <c r="M39" s="26" t="s">
        <v>114</v>
      </c>
      <c r="N39" s="26" t="s">
        <v>115</v>
      </c>
      <c r="O39" s="26" t="s">
        <v>116</v>
      </c>
      <c r="P39" s="26" t="s">
        <v>117</v>
      </c>
      <c r="Q39" s="26" t="s">
        <v>118</v>
      </c>
      <c r="R39" s="26" t="s">
        <v>119</v>
      </c>
    </row>
    <row r="40" customHeight="1" spans="6:18">
      <c r="F40" s="28" t="s">
        <v>63</v>
      </c>
      <c r="G40" s="42">
        <f t="array" ref="G40:R40">IF(COLUMN(G2:R2)&lt;=COLUMN(G2)+MATCH(填写页!$A$1,$G$1:$R$1,0)-1,G2:R2,NA())</f>
      </c>
      <c r="H40" s="42">
        <v>19.682364</v>
      </c>
      <c r="I40" s="42">
        <v>31.674955</v>
      </c>
      <c r="J40" s="42">
        <v>0</v>
      </c>
      <c r="K40" s="42" t="e">
        <v>#N/A</v>
      </c>
      <c r="L40" s="42" t="e">
        <v>#N/A</v>
      </c>
      <c r="M40" s="42" t="e">
        <v>#N/A</v>
      </c>
      <c r="N40" s="42" t="e">
        <v>#N/A</v>
      </c>
      <c r="O40" s="42" t="e">
        <v>#N/A</v>
      </c>
      <c r="P40" s="42" t="e">
        <v>#N/A</v>
      </c>
      <c r="Q40" s="42" t="e">
        <v>#N/A</v>
      </c>
      <c r="R40" s="42" t="e">
        <v>#N/A</v>
      </c>
    </row>
    <row r="41" customHeight="1" spans="6:18">
      <c r="F41" s="28" t="s">
        <v>220</v>
      </c>
      <c r="G41" s="42">
        <f t="array" ref="G41:R41">IF(COLUMN(G3:R3)&lt;=COLUMN(G3)+MATCH(填写页!$A$1,$G$1:$R$1,0)-1,G3:R3,NA())</f>
      </c>
      <c r="H41" s="42">
        <v>-3.91312499999997</v>
      </c>
      <c r="I41" s="42">
        <v>6.554692</v>
      </c>
      <c r="J41" s="42">
        <v>0</v>
      </c>
      <c r="K41" s="42" t="e">
        <v>#N/A</v>
      </c>
      <c r="L41" s="42" t="e">
        <v>#N/A</v>
      </c>
      <c r="M41" s="42" t="e">
        <v>#N/A</v>
      </c>
      <c r="N41" s="42" t="e">
        <v>#N/A</v>
      </c>
      <c r="O41" s="42" t="e">
        <v>#N/A</v>
      </c>
      <c r="P41" s="42" t="e">
        <v>#N/A</v>
      </c>
      <c r="Q41" s="42" t="e">
        <v>#N/A</v>
      </c>
      <c r="R41" s="42" t="e">
        <v>#N/A</v>
      </c>
    </row>
    <row r="42" customHeight="1" spans="6:18">
      <c r="F42" s="28" t="s">
        <v>65</v>
      </c>
      <c r="G42" s="42">
        <f t="array" ref="G42:R42">IF(COLUMN(G4:R4)&lt;=COLUMN(G4)+MATCH(填写页!$A$1,$G$1:$R$1,0)-1,G4:R4,NA())</f>
      </c>
      <c r="H42" s="42">
        <v>29.445458</v>
      </c>
      <c r="I42" s="42">
        <v>58.445817</v>
      </c>
      <c r="J42" s="42">
        <v>0</v>
      </c>
      <c r="K42" s="42" t="e">
        <v>#N/A</v>
      </c>
      <c r="L42" s="42" t="e">
        <v>#N/A</v>
      </c>
      <c r="M42" s="42" t="e">
        <v>#N/A</v>
      </c>
      <c r="N42" s="42" t="e">
        <v>#N/A</v>
      </c>
      <c r="O42" s="42" t="e">
        <v>#N/A</v>
      </c>
      <c r="P42" s="42" t="e">
        <v>#N/A</v>
      </c>
      <c r="Q42" s="42" t="e">
        <v>#N/A</v>
      </c>
      <c r="R42" s="42" t="e">
        <v>#N/A</v>
      </c>
    </row>
    <row r="43" customHeight="1" spans="6:18">
      <c r="F43" s="28" t="s">
        <v>67</v>
      </c>
      <c r="G43" s="42">
        <f t="array" ref="G43:R43">IF(COLUMN(G5:R5)&lt;=COLUMN(G5)+MATCH(填写页!$A$1,$G$1:$R$1,0)-1,G5:R5,NA())</f>
      </c>
      <c r="H43" s="42">
        <v>28.197865</v>
      </c>
      <c r="I43" s="42">
        <v>27.942634</v>
      </c>
      <c r="J43" s="42">
        <v>0</v>
      </c>
      <c r="K43" s="42" t="e">
        <v>#N/A</v>
      </c>
      <c r="L43" s="42" t="e">
        <v>#N/A</v>
      </c>
      <c r="M43" s="42" t="e">
        <v>#N/A</v>
      </c>
      <c r="N43" s="42" t="e">
        <v>#N/A</v>
      </c>
      <c r="O43" s="42" t="e">
        <v>#N/A</v>
      </c>
      <c r="P43" s="42" t="e">
        <v>#N/A</v>
      </c>
      <c r="Q43" s="42" t="e">
        <v>#N/A</v>
      </c>
      <c r="R43" s="42" t="e">
        <v>#N/A</v>
      </c>
    </row>
    <row r="60" customHeight="1" spans="3:9">
      <c r="C60" s="43"/>
    </row>
    <row r="61" ht="118" customHeight="1" spans="3:9">
      <c r="C61" s="43"/>
      <c r="D61" s="43"/>
      <c r="E61" s="43"/>
      <c r="F61" s="43"/>
      <c r="G61" s="43"/>
      <c r="H61" s="43"/>
      <c r="I61" s="43"/>
    </row>
  </sheetData>
  <mergeCells count="4">
    <mergeCell ref="C61:I61"/>
    <mergeCell ref="A2:A4"/>
    <mergeCell ref="A5:A12"/>
    <mergeCell ref="A13:A18"/>
  </mergeCells>
  <pageMargins left="0.75" right="0.75" top="1" bottom="1" header="0.5" footer="0.5"/>
  <pageSetup paperSize="9" orientation="portrait"/>
  <headerFooter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3">
    <tabColor rgb="FF9CD2A4"/>
  </sheetPr>
  <dimension ref="A1:R61"/>
  <sheetViews>
    <sheetView topLeftCell="A45" workbookViewId="0">
      <selection activeCell="C61" sqref="C61:I61"/>
    </sheetView>
  </sheetViews>
  <sheetFormatPr defaultColWidth="19.6126126126126" defaultRowHeight="18" customHeight="1"/>
  <cols>
    <col min="1" max="1" width="9.61261261261261" style="25" customWidth="1"/>
    <col min="2" max="2" width="7.45945945945946" style="25" customWidth="1"/>
    <col min="3" max="3" width="19" style="25" customWidth="1"/>
    <col min="4" max="5" width="14.6126126126126" style="25" customWidth="1"/>
    <col min="6" max="6" width="9" style="25" customWidth="1"/>
    <col min="7" max="25" width="9.61261261261261" style="25" customWidth="1"/>
    <col min="26" max="16384" width="19.6126126126126" style="25"/>
  </cols>
  <sheetData>
    <row r="1" customHeight="1" spans="1:18">
      <c r="A1" s="26" t="s">
        <v>48</v>
      </c>
      <c r="B1" s="26" t="s">
        <v>49</v>
      </c>
      <c r="C1" s="26" t="s">
        <v>50</v>
      </c>
      <c r="D1" s="26" t="s">
        <v>128</v>
      </c>
      <c r="E1" s="26" t="s">
        <v>129</v>
      </c>
      <c r="F1" s="26" t="s">
        <v>213</v>
      </c>
      <c r="G1" s="26" t="s">
        <v>108</v>
      </c>
      <c r="H1" s="26" t="s">
        <v>109</v>
      </c>
      <c r="I1" s="26" t="s">
        <v>110</v>
      </c>
      <c r="J1" s="26" t="s">
        <v>111</v>
      </c>
      <c r="K1" s="26" t="s">
        <v>112</v>
      </c>
      <c r="L1" s="26" t="s">
        <v>113</v>
      </c>
      <c r="M1" s="26" t="s">
        <v>114</v>
      </c>
      <c r="N1" s="26" t="s">
        <v>115</v>
      </c>
      <c r="O1" s="26" t="s">
        <v>116</v>
      </c>
      <c r="P1" s="26" t="s">
        <v>117</v>
      </c>
      <c r="Q1" s="26" t="s">
        <v>118</v>
      </c>
      <c r="R1" s="26" t="s">
        <v>119</v>
      </c>
    </row>
    <row r="2" customHeight="1" spans="1:18">
      <c r="A2" s="27" t="s">
        <v>62</v>
      </c>
      <c r="B2" s="28">
        <v>1</v>
      </c>
      <c r="C2" s="28" t="s">
        <v>63</v>
      </c>
      <c r="D2" s="29">
        <f t="array" ref="D2:D18">INDEX(年度计划!E2:M18,,MATCH(填写页!C10,年度计划!E1:M1,0))</f>
      </c>
      <c r="E2" s="29">
        <f t="shared" ref="E2:E16" si="0">SUM(G2:R2)</f>
      </c>
      <c r="F2" s="30">
        <f t="shared" ref="F2:F18" si="1">IFERROR(MAX(1+(E2-D2)/ABS(D2),0),)</f>
      </c>
      <c r="G2" s="31">
        <v>21.123507</v>
      </c>
      <c r="H2" s="31">
        <v>5.293431</v>
      </c>
      <c r="I2" s="31">
        <v>8.220388</v>
      </c>
      <c r="J2" s="31">
        <v>8.25769</v>
      </c>
      <c r="K2" s="31"/>
      <c r="L2" s="31"/>
      <c r="M2" s="31"/>
      <c r="N2" s="31"/>
      <c r="O2" s="31"/>
      <c r="P2" s="31"/>
      <c r="Q2" s="31"/>
      <c r="R2" s="31"/>
    </row>
    <row r="3" customHeight="1" spans="1:18">
      <c r="A3" s="27"/>
      <c r="B3" s="28">
        <v>2</v>
      </c>
      <c r="C3" s="28" t="s">
        <v>220</v>
      </c>
      <c r="D3" s="29">
        <v>-19.0437528066115</v>
      </c>
      <c r="E3" s="29">
        <f t="shared" si="0"/>
      </c>
      <c r="F3" s="30">
        <f t="shared" si="1"/>
      </c>
      <c r="G3" s="31">
        <v>-32.5747</v>
      </c>
      <c r="H3" s="31">
        <v>-39.343258</v>
      </c>
      <c r="I3" s="31">
        <v>-9.372579</v>
      </c>
      <c r="J3" s="31">
        <v>-26.324295</v>
      </c>
      <c r="K3" s="31"/>
      <c r="L3" s="31"/>
      <c r="M3" s="31"/>
      <c r="N3" s="31"/>
      <c r="O3" s="31"/>
      <c r="P3" s="31"/>
      <c r="Q3" s="31"/>
      <c r="R3" s="31"/>
    </row>
    <row r="4" customHeight="1" spans="1:18">
      <c r="A4" s="27"/>
      <c r="B4" s="28">
        <v>3</v>
      </c>
      <c r="C4" s="28" t="s">
        <v>65</v>
      </c>
      <c r="D4" s="29">
        <v>178.189754816399</v>
      </c>
      <c r="E4" s="29">
        <f t="shared" si="0"/>
      </c>
      <c r="F4" s="30">
        <f t="shared" si="1"/>
      </c>
      <c r="G4" s="31">
        <v>-24.505483</v>
      </c>
      <c r="H4" s="31">
        <v>0.032856</v>
      </c>
      <c r="I4" s="31">
        <v>-56.605711</v>
      </c>
      <c r="J4" s="31">
        <v>-21.829094</v>
      </c>
      <c r="K4" s="31"/>
      <c r="L4" s="31"/>
      <c r="M4" s="31"/>
      <c r="N4" s="31"/>
      <c r="O4" s="31"/>
      <c r="P4" s="31"/>
      <c r="Q4" s="31"/>
      <c r="R4" s="31"/>
    </row>
    <row r="5" customHeight="1" spans="1:18">
      <c r="A5" s="27" t="s">
        <v>66</v>
      </c>
      <c r="B5" s="28">
        <v>4</v>
      </c>
      <c r="C5" s="28" t="s">
        <v>215</v>
      </c>
      <c r="D5" s="29">
        <v>591.075776942461</v>
      </c>
      <c r="E5" s="29">
        <f t="shared" si="0"/>
      </c>
      <c r="F5" s="30">
        <f t="shared" si="1"/>
      </c>
      <c r="G5" s="31">
        <v>45.380984</v>
      </c>
      <c r="H5" s="31">
        <v>36.885018</v>
      </c>
      <c r="I5" s="31">
        <v>32.425914</v>
      </c>
      <c r="J5" s="31">
        <v>34.207451</v>
      </c>
      <c r="K5" s="31">
        <v>0</v>
      </c>
      <c r="L5" s="31">
        <v>0</v>
      </c>
      <c r="M5" s="31">
        <v>0</v>
      </c>
      <c r="N5" s="31">
        <v>0</v>
      </c>
      <c r="O5" s="31">
        <v>0</v>
      </c>
      <c r="P5" s="31">
        <v>0</v>
      </c>
      <c r="Q5" s="31">
        <v>0</v>
      </c>
      <c r="R5" s="31">
        <v>0</v>
      </c>
    </row>
    <row r="6" customHeight="1" spans="1:18">
      <c r="A6" s="27"/>
      <c r="B6" s="28">
        <v>4.1</v>
      </c>
      <c r="C6" s="28" t="s">
        <v>68</v>
      </c>
      <c r="D6" s="32">
        <v>365.648604862461</v>
      </c>
      <c r="E6" s="32">
        <f t="shared" si="0"/>
      </c>
      <c r="F6" s="33">
        <f t="shared" si="1"/>
      </c>
      <c r="G6" s="31">
        <v>27.527153</v>
      </c>
      <c r="H6" s="31">
        <v>23.919152</v>
      </c>
      <c r="I6" s="31">
        <v>25.396004</v>
      </c>
      <c r="J6" s="31">
        <v>25.454185</v>
      </c>
      <c r="K6" s="31">
        <v>0</v>
      </c>
      <c r="L6" s="31">
        <v>0</v>
      </c>
      <c r="M6" s="31">
        <v>0</v>
      </c>
      <c r="N6" s="31">
        <v>0</v>
      </c>
      <c r="O6" s="31">
        <v>0</v>
      </c>
      <c r="P6" s="31">
        <v>0</v>
      </c>
      <c r="Q6" s="31">
        <v>0</v>
      </c>
      <c r="R6" s="31">
        <v>0</v>
      </c>
    </row>
    <row r="7" customHeight="1" spans="1:18">
      <c r="A7" s="27"/>
      <c r="B7" s="28" t="s">
        <v>69</v>
      </c>
      <c r="C7" s="34" t="s">
        <v>70</v>
      </c>
      <c r="D7" s="32">
        <v>202.5262351504</v>
      </c>
      <c r="E7" s="32">
        <f t="shared" si="0"/>
      </c>
      <c r="F7" s="33">
        <f t="shared" si="1"/>
      </c>
      <c r="G7" s="31">
        <v>16.043974</v>
      </c>
      <c r="H7" s="31">
        <v>16.218865</v>
      </c>
      <c r="I7" s="31">
        <v>16.063923</v>
      </c>
      <c r="J7" s="31">
        <v>16.102655</v>
      </c>
      <c r="K7" s="31"/>
      <c r="L7" s="31"/>
      <c r="M7" s="31"/>
      <c r="N7" s="31"/>
      <c r="O7" s="31"/>
      <c r="P7" s="31"/>
      <c r="Q7" s="31"/>
      <c r="R7" s="31"/>
    </row>
    <row r="8" customHeight="1" spans="1:18">
      <c r="A8" s="27"/>
      <c r="B8" s="28" t="s">
        <v>71</v>
      </c>
      <c r="C8" s="34" t="s">
        <v>72</v>
      </c>
      <c r="D8" s="32">
        <v>163.12236971206</v>
      </c>
      <c r="E8" s="32">
        <f t="shared" si="0"/>
      </c>
      <c r="F8" s="33">
        <f t="shared" si="1"/>
      </c>
      <c r="G8" s="31">
        <v>11.483179</v>
      </c>
      <c r="H8" s="31">
        <v>7.700287</v>
      </c>
      <c r="I8" s="31">
        <v>9.332081</v>
      </c>
      <c r="J8" s="31">
        <v>9.35153</v>
      </c>
      <c r="K8" s="31"/>
      <c r="L8" s="31"/>
      <c r="M8" s="31"/>
      <c r="N8" s="31"/>
      <c r="O8" s="31"/>
      <c r="P8" s="31"/>
      <c r="Q8" s="31"/>
      <c r="R8" s="31"/>
    </row>
    <row r="9" customHeight="1" spans="1:18">
      <c r="A9" s="27"/>
      <c r="B9" s="28">
        <v>4.2</v>
      </c>
      <c r="C9" s="28" t="s">
        <v>73</v>
      </c>
      <c r="D9" s="32">
        <v>225.42717208</v>
      </c>
      <c r="E9" s="32">
        <f t="shared" si="0"/>
      </c>
      <c r="F9" s="33">
        <f t="shared" si="1"/>
      </c>
      <c r="G9" s="31">
        <v>17.853831</v>
      </c>
      <c r="H9" s="31">
        <v>12.965866</v>
      </c>
      <c r="I9" s="31">
        <v>7.02991</v>
      </c>
      <c r="J9" s="31">
        <v>8.753266</v>
      </c>
      <c r="K9" s="31">
        <v>0</v>
      </c>
      <c r="L9" s="31">
        <v>0</v>
      </c>
      <c r="M9" s="31">
        <v>0</v>
      </c>
      <c r="N9" s="31">
        <v>0</v>
      </c>
      <c r="O9" s="31">
        <v>0</v>
      </c>
      <c r="P9" s="31">
        <v>0</v>
      </c>
      <c r="Q9" s="31">
        <v>0</v>
      </c>
      <c r="R9" s="31">
        <v>0</v>
      </c>
    </row>
    <row r="10" customHeight="1" spans="1:18">
      <c r="A10" s="27"/>
      <c r="B10" s="28" t="s">
        <v>74</v>
      </c>
      <c r="C10" s="34" t="s">
        <v>75</v>
      </c>
      <c r="D10" s="32">
        <v>78.0669984</v>
      </c>
      <c r="E10" s="32">
        <f t="shared" si="0"/>
      </c>
      <c r="F10" s="33">
        <f t="shared" si="1"/>
      </c>
      <c r="G10" s="31">
        <v>6.187104</v>
      </c>
      <c r="H10" s="31">
        <v>6.257674</v>
      </c>
      <c r="I10" s="31">
        <v>6.187104</v>
      </c>
      <c r="J10" s="31">
        <v>6.187104</v>
      </c>
      <c r="K10" s="31"/>
      <c r="L10" s="31"/>
      <c r="M10" s="31"/>
      <c r="N10" s="31"/>
      <c r="O10" s="31"/>
      <c r="P10" s="31"/>
      <c r="Q10" s="31"/>
      <c r="R10" s="31"/>
    </row>
    <row r="11" customHeight="1" spans="1:18">
      <c r="A11" s="27"/>
      <c r="B11" s="28" t="s">
        <v>76</v>
      </c>
      <c r="C11" s="34" t="s">
        <v>77</v>
      </c>
      <c r="D11" s="32">
        <v>147.36017368</v>
      </c>
      <c r="E11" s="32">
        <f t="shared" si="0"/>
      </c>
      <c r="F11" s="33">
        <f t="shared" si="1"/>
      </c>
      <c r="G11" s="31">
        <v>11.666727</v>
      </c>
      <c r="H11" s="31">
        <v>6.708192</v>
      </c>
      <c r="I11" s="31">
        <v>0.842806</v>
      </c>
      <c r="J11" s="31">
        <v>2.566162</v>
      </c>
      <c r="K11" s="31"/>
      <c r="L11" s="31"/>
      <c r="M11" s="31"/>
      <c r="N11" s="31"/>
      <c r="O11" s="31"/>
      <c r="P11" s="31"/>
      <c r="Q11" s="31"/>
      <c r="R11" s="31"/>
    </row>
    <row r="12" customHeight="1" spans="1:18">
      <c r="A12" s="27"/>
      <c r="B12" s="28">
        <v>5</v>
      </c>
      <c r="C12" s="28" t="s">
        <v>78</v>
      </c>
      <c r="D12" s="29">
        <v>0</v>
      </c>
      <c r="E12" s="29">
        <f t="shared" si="0"/>
      </c>
      <c r="F12" s="30">
        <f t="shared" si="1"/>
      </c>
      <c r="G12" s="31">
        <v>0</v>
      </c>
      <c r="H12" s="31">
        <v>0</v>
      </c>
      <c r="I12" s="31">
        <v>0</v>
      </c>
      <c r="J12" s="31">
        <v>0</v>
      </c>
      <c r="K12" s="31">
        <v>0</v>
      </c>
      <c r="L12" s="31">
        <v>0</v>
      </c>
      <c r="M12" s="31">
        <v>0</v>
      </c>
      <c r="N12" s="31">
        <v>0</v>
      </c>
      <c r="O12" s="31"/>
      <c r="P12" s="31"/>
      <c r="Q12" s="31"/>
      <c r="R12" s="31"/>
    </row>
    <row r="13" customHeight="1" spans="1:18">
      <c r="A13" s="27" t="s">
        <v>79</v>
      </c>
      <c r="B13" s="28">
        <v>6</v>
      </c>
      <c r="C13" s="28" t="s">
        <v>80</v>
      </c>
      <c r="D13" s="30">
        <v>0</v>
      </c>
      <c r="E13" s="30">
        <f t="shared" si="0"/>
      </c>
      <c r="F13" s="30">
        <f t="shared" si="1"/>
      </c>
      <c r="G13" s="31"/>
      <c r="H13" s="31"/>
      <c r="I13" s="31"/>
      <c r="J13" s="31"/>
      <c r="K13" s="31"/>
      <c r="L13" s="31"/>
      <c r="M13" s="31"/>
      <c r="N13" s="31"/>
      <c r="O13" s="31"/>
      <c r="P13" s="31"/>
      <c r="Q13" s="31"/>
      <c r="R13" s="31"/>
    </row>
    <row r="14" customHeight="1" spans="1:18">
      <c r="A14" s="27"/>
      <c r="B14" s="28">
        <v>7</v>
      </c>
      <c r="C14" s="28" t="s">
        <v>81</v>
      </c>
      <c r="D14" s="30">
        <v>0</v>
      </c>
      <c r="E14" s="30">
        <f t="shared" si="0"/>
      </c>
      <c r="F14" s="30">
        <f t="shared" si="1"/>
      </c>
      <c r="G14" s="31"/>
      <c r="H14" s="31"/>
      <c r="I14" s="31"/>
      <c r="J14" s="31"/>
      <c r="K14" s="31"/>
      <c r="L14" s="31"/>
      <c r="M14" s="31"/>
      <c r="N14" s="31"/>
      <c r="O14" s="31"/>
      <c r="P14" s="31"/>
      <c r="Q14" s="31"/>
      <c r="R14" s="31"/>
    </row>
    <row r="15" customHeight="1" spans="1:18">
      <c r="A15" s="27"/>
      <c r="B15" s="28">
        <v>8</v>
      </c>
      <c r="C15" s="28" t="s">
        <v>82</v>
      </c>
      <c r="D15" s="29">
        <v>0</v>
      </c>
      <c r="E15" s="29">
        <f t="shared" si="0"/>
      </c>
      <c r="F15" s="30">
        <f t="shared" si="1"/>
      </c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</row>
    <row r="16" customHeight="1" spans="1:18">
      <c r="A16" s="27"/>
      <c r="B16" s="28">
        <v>9</v>
      </c>
      <c r="C16" s="28" t="s">
        <v>83</v>
      </c>
      <c r="D16" s="29">
        <v>2790</v>
      </c>
      <c r="E16" s="29">
        <f t="shared" si="0"/>
      </c>
      <c r="F16" s="30">
        <f t="shared" si="1"/>
      </c>
      <c r="G16" s="31">
        <v>100</v>
      </c>
      <c r="H16" s="31">
        <v>0.51</v>
      </c>
      <c r="I16" s="31">
        <v>1.34</v>
      </c>
      <c r="J16" s="31">
        <v>0.2</v>
      </c>
      <c r="K16" s="31"/>
      <c r="L16" s="31"/>
      <c r="M16" s="31"/>
      <c r="N16" s="31"/>
      <c r="O16" s="31"/>
      <c r="P16" s="31"/>
      <c r="Q16" s="31"/>
      <c r="R16" s="31"/>
    </row>
    <row r="17" customHeight="1" spans="1:18">
      <c r="A17" s="27"/>
      <c r="B17" s="28">
        <v>10</v>
      </c>
      <c r="C17" s="28" t="s">
        <v>84</v>
      </c>
      <c r="D17" s="30">
        <v>0</v>
      </c>
      <c r="E17" s="30">
        <f>AVERAGE(G17:R17)</f>
      </c>
      <c r="F17" s="30">
        <f t="shared" si="1"/>
      </c>
      <c r="G17" s="31">
        <v>1</v>
      </c>
      <c r="H17" s="31">
        <v>1</v>
      </c>
      <c r="I17" s="31">
        <v>1</v>
      </c>
      <c r="J17" s="31">
        <v>1</v>
      </c>
      <c r="K17" s="31"/>
      <c r="L17" s="31"/>
      <c r="M17" s="31"/>
      <c r="N17" s="31"/>
      <c r="O17" s="31"/>
      <c r="P17" s="31"/>
      <c r="Q17" s="31"/>
      <c r="R17" s="31"/>
    </row>
    <row r="18" customHeight="1" spans="1:18">
      <c r="A18" s="27"/>
      <c r="B18" s="28">
        <v>11</v>
      </c>
      <c r="C18" s="28" t="s">
        <v>85</v>
      </c>
      <c r="D18" s="30">
        <v>0</v>
      </c>
      <c r="E18" s="30">
        <f>AVERAGE(G18:R18)</f>
      </c>
      <c r="F18" s="30">
        <f t="shared" si="1"/>
      </c>
      <c r="G18" s="31">
        <v>1</v>
      </c>
      <c r="H18" s="31">
        <v>1</v>
      </c>
      <c r="I18" s="31">
        <v>1</v>
      </c>
      <c r="J18" s="31">
        <v>1</v>
      </c>
      <c r="K18" s="31"/>
      <c r="L18" s="31"/>
      <c r="M18" s="31"/>
      <c r="N18" s="31"/>
      <c r="O18" s="31"/>
      <c r="P18" s="31"/>
      <c r="Q18" s="31"/>
      <c r="R18" s="31"/>
    </row>
    <row r="19" customHeight="1" spans="1:18">
      <c r="C19" s="35" t="s">
        <v>216</v>
      </c>
      <c r="D19" s="35" t="s">
        <v>128</v>
      </c>
      <c r="E19" s="35" t="s">
        <v>129</v>
      </c>
      <c r="F19" s="35" t="s">
        <v>130</v>
      </c>
      <c r="G19" s="35" t="s">
        <v>108</v>
      </c>
      <c r="H19" s="35" t="s">
        <v>109</v>
      </c>
      <c r="I19" s="35" t="s">
        <v>110</v>
      </c>
      <c r="J19" s="35" t="s">
        <v>111</v>
      </c>
      <c r="K19" s="35" t="s">
        <v>112</v>
      </c>
      <c r="L19" s="35" t="s">
        <v>113</v>
      </c>
      <c r="M19" s="35" t="s">
        <v>114</v>
      </c>
      <c r="N19" s="35" t="s">
        <v>115</v>
      </c>
      <c r="O19" s="35" t="s">
        <v>116</v>
      </c>
      <c r="P19" s="35" t="s">
        <v>117</v>
      </c>
      <c r="Q19" s="35" t="s">
        <v>118</v>
      </c>
      <c r="R19" s="35" t="s">
        <v>119</v>
      </c>
    </row>
    <row r="20" customHeight="1" spans="1:18">
      <c r="C20" s="28" t="s">
        <v>63</v>
      </c>
      <c r="D20" s="36">
        <v>344.097547169811</v>
      </c>
      <c r="E20" s="37">
        <v>208.413817</v>
      </c>
      <c r="F20" s="38">
        <v>0.605682367439686</v>
      </c>
      <c r="G20" s="37">
        <v>16.512047</v>
      </c>
      <c r="H20" s="37">
        <v>14.980842</v>
      </c>
      <c r="I20" s="37">
        <v>28.14216</v>
      </c>
      <c r="J20" s="37">
        <v>27.797814</v>
      </c>
      <c r="K20" s="37">
        <v>21.950714</v>
      </c>
      <c r="L20" s="37">
        <v>18.660004</v>
      </c>
      <c r="M20" s="37">
        <v>12.630675</v>
      </c>
      <c r="N20" s="37">
        <v>27.603272</v>
      </c>
      <c r="O20" s="37">
        <v>10.559486</v>
      </c>
      <c r="P20" s="37">
        <v>16.441937</v>
      </c>
      <c r="Q20" s="37">
        <v>7.291591</v>
      </c>
      <c r="R20" s="37">
        <v>5.843275</v>
      </c>
    </row>
    <row r="21" customHeight="1" spans="1:18">
      <c r="C21" s="28" t="s">
        <v>220</v>
      </c>
      <c r="D21" s="36">
        <v>-405.847636715293</v>
      </c>
      <c r="E21" s="37">
        <v>-376.401582</v>
      </c>
      <c r="F21" s="38">
        <v>1.0725544565286</v>
      </c>
      <c r="G21" s="37">
        <v>-37.127919</v>
      </c>
      <c r="H21" s="37">
        <v>-43.098125</v>
      </c>
      <c r="I21" s="37">
        <v>-48.522369</v>
      </c>
      <c r="J21" s="37">
        <v>-18.018945</v>
      </c>
      <c r="K21" s="37">
        <v>-23.965343</v>
      </c>
      <c r="L21" s="37">
        <v>-28.270824</v>
      </c>
      <c r="M21" s="37">
        <v>-29.652354</v>
      </c>
      <c r="N21" s="37">
        <v>-14.132058</v>
      </c>
      <c r="O21" s="37">
        <v>-29.947352</v>
      </c>
      <c r="P21" s="37">
        <v>-26.29058</v>
      </c>
      <c r="Q21" s="37">
        <v>-27.488973</v>
      </c>
      <c r="R21" s="37">
        <v>-49.88674</v>
      </c>
    </row>
    <row r="22" customHeight="1" spans="1:18">
      <c r="C22" s="28" t="s">
        <v>65</v>
      </c>
      <c r="D22" s="36">
        <v>-99.1739589533887</v>
      </c>
      <c r="E22" s="37">
        <v>-65.773094</v>
      </c>
      <c r="F22" s="38">
        <v>1.33679067878179</v>
      </c>
      <c r="G22" s="37">
        <v>-20.902717</v>
      </c>
      <c r="H22" s="37">
        <v>-33.64597</v>
      </c>
      <c r="I22" s="37">
        <v>9.820275</v>
      </c>
      <c r="J22" s="37">
        <v>-12.917457</v>
      </c>
      <c r="K22" s="37">
        <v>-12.778475</v>
      </c>
      <c r="L22" s="37">
        <v>23.84787</v>
      </c>
      <c r="M22" s="37">
        <v>-7.150763</v>
      </c>
      <c r="N22" s="37">
        <v>9.189605</v>
      </c>
      <c r="O22" s="37">
        <v>-11.551064</v>
      </c>
      <c r="P22" s="37">
        <v>-26.842033</v>
      </c>
      <c r="Q22" s="37">
        <v>31.707455</v>
      </c>
      <c r="R22" s="37">
        <v>-14.54982</v>
      </c>
    </row>
    <row r="23" customHeight="1" spans="1:18">
      <c r="C23" s="28" t="s">
        <v>67</v>
      </c>
      <c r="D23" s="36">
        <v>664.305906885105</v>
      </c>
      <c r="E23" s="37">
        <v>509.250182</v>
      </c>
      <c r="F23" s="38">
        <v>0.766589874818135</v>
      </c>
      <c r="G23" s="37">
        <v>45.212057</v>
      </c>
      <c r="H23" s="37">
        <v>50.166473</v>
      </c>
      <c r="I23" s="37">
        <v>67.717151</v>
      </c>
      <c r="J23" s="37">
        <v>37.139526</v>
      </c>
      <c r="K23" s="37">
        <v>36.832164</v>
      </c>
      <c r="L23" s="37">
        <v>38.119566</v>
      </c>
      <c r="M23" s="37">
        <v>33.176338</v>
      </c>
      <c r="N23" s="37">
        <v>32.732474</v>
      </c>
      <c r="O23" s="37">
        <v>31.79779</v>
      </c>
      <c r="P23" s="37">
        <v>33.674261</v>
      </c>
      <c r="Q23" s="37">
        <v>52.334561</v>
      </c>
      <c r="R23" s="37">
        <v>50.347821</v>
      </c>
    </row>
    <row r="24" customHeight="1" spans="1:18">
      <c r="C24" s="28" t="s">
        <v>68</v>
      </c>
      <c r="D24" s="36">
        <v>468.680400761905</v>
      </c>
      <c r="E24" s="37">
        <v>405.001173</v>
      </c>
      <c r="F24" s="38">
        <v>0.864130807137688</v>
      </c>
      <c r="G24" s="37">
        <v>33.898573</v>
      </c>
      <c r="H24" s="37">
        <v>38.60473</v>
      </c>
      <c r="I24" s="37">
        <v>59.35212</v>
      </c>
      <c r="J24" s="37">
        <v>26.005085</v>
      </c>
      <c r="K24" s="37">
        <v>29.318677</v>
      </c>
      <c r="L24" s="37">
        <v>31.288873</v>
      </c>
      <c r="M24" s="37">
        <v>26.204439</v>
      </c>
      <c r="N24" s="37">
        <v>25.108283</v>
      </c>
      <c r="O24" s="37">
        <v>25.072744</v>
      </c>
      <c r="P24" s="37">
        <v>26.338534</v>
      </c>
      <c r="Q24" s="37">
        <v>40.594361</v>
      </c>
      <c r="R24" s="37">
        <v>43.214754</v>
      </c>
    </row>
    <row r="25" customHeight="1" spans="1:18">
      <c r="C25" s="34" t="s">
        <v>70</v>
      </c>
      <c r="D25" s="36">
        <v>208.94</v>
      </c>
      <c r="E25" s="37">
        <v>208.87649</v>
      </c>
      <c r="F25" s="38">
        <v>0.999696037139849</v>
      </c>
      <c r="G25" s="37">
        <v>16.306</v>
      </c>
      <c r="H25" s="37">
        <v>16.4468</v>
      </c>
      <c r="I25" s="37">
        <v>15.9156</v>
      </c>
      <c r="J25" s="37">
        <v>16.069</v>
      </c>
      <c r="K25" s="37">
        <v>16.0204</v>
      </c>
      <c r="L25" s="37">
        <v>15.412</v>
      </c>
      <c r="M25" s="37">
        <v>16.0062</v>
      </c>
      <c r="N25" s="37">
        <v>16.3364</v>
      </c>
      <c r="O25" s="37">
        <v>16.202975</v>
      </c>
      <c r="P25" s="37">
        <v>16.2186</v>
      </c>
      <c r="Q25" s="37">
        <v>31.954901</v>
      </c>
      <c r="R25" s="37">
        <v>15.987614</v>
      </c>
    </row>
    <row r="26" customHeight="1" spans="1:18">
      <c r="C26" s="34" t="s">
        <v>72</v>
      </c>
      <c r="D26" s="36">
        <v>259.740400761905</v>
      </c>
      <c r="E26" s="37">
        <v>196.124683</v>
      </c>
      <c r="F26" s="38">
        <v>0.755079619592104</v>
      </c>
      <c r="G26" s="37">
        <v>17.592573</v>
      </c>
      <c r="H26" s="37">
        <v>22.15793</v>
      </c>
      <c r="I26" s="37">
        <v>43.43652</v>
      </c>
      <c r="J26" s="37">
        <v>9.936085</v>
      </c>
      <c r="K26" s="37">
        <v>13.298277</v>
      </c>
      <c r="L26" s="37">
        <v>15.876873</v>
      </c>
      <c r="M26" s="37">
        <v>10.198239</v>
      </c>
      <c r="N26" s="37">
        <v>8.771883</v>
      </c>
      <c r="O26" s="37">
        <v>8.869769</v>
      </c>
      <c r="P26" s="37">
        <v>10.119934</v>
      </c>
      <c r="Q26" s="37">
        <v>8.63946</v>
      </c>
      <c r="R26" s="37">
        <v>27.22714</v>
      </c>
    </row>
    <row r="27" customHeight="1" spans="1:18">
      <c r="C27" s="28" t="s">
        <v>73</v>
      </c>
      <c r="D27" s="36">
        <v>195.6255061232</v>
      </c>
      <c r="E27" s="37">
        <v>104.249009</v>
      </c>
      <c r="F27" s="38">
        <v>0.532900903700904</v>
      </c>
      <c r="G27" s="37">
        <v>11.313484</v>
      </c>
      <c r="H27" s="37">
        <v>11.561743</v>
      </c>
      <c r="I27" s="37">
        <v>8.365031</v>
      </c>
      <c r="J27" s="37">
        <v>11.134441</v>
      </c>
      <c r="K27" s="37">
        <v>7.513487</v>
      </c>
      <c r="L27" s="37">
        <v>6.830693</v>
      </c>
      <c r="M27" s="37">
        <v>6.971899</v>
      </c>
      <c r="N27" s="37">
        <v>7.624191</v>
      </c>
      <c r="O27" s="37">
        <v>6.725046</v>
      </c>
      <c r="P27" s="37">
        <v>7.335727</v>
      </c>
      <c r="Q27" s="37">
        <v>11.7402</v>
      </c>
      <c r="R27" s="37">
        <v>7.133067</v>
      </c>
    </row>
    <row r="28" customHeight="1" spans="1:18">
      <c r="C28" s="34" t="s">
        <v>75</v>
      </c>
      <c r="D28" s="36">
        <v>79.03</v>
      </c>
      <c r="E28" s="37">
        <v>83.44052</v>
      </c>
      <c r="F28" s="38">
        <v>1.0558081741111</v>
      </c>
      <c r="G28" s="37">
        <v>7.7246</v>
      </c>
      <c r="H28" s="37">
        <v>7.7951</v>
      </c>
      <c r="I28" s="37">
        <v>6.3206</v>
      </c>
      <c r="J28" s="37">
        <v>6.1486</v>
      </c>
      <c r="K28" s="37">
        <v>6.3912</v>
      </c>
      <c r="L28" s="37">
        <v>6.32</v>
      </c>
      <c r="M28" s="37">
        <v>6.3656</v>
      </c>
      <c r="N28" s="37">
        <v>6.4362</v>
      </c>
      <c r="O28" s="37">
        <v>6.365618</v>
      </c>
      <c r="P28" s="37">
        <v>6.443328</v>
      </c>
      <c r="Q28" s="37">
        <v>10.868677</v>
      </c>
      <c r="R28" s="37">
        <v>6.260997</v>
      </c>
    </row>
    <row r="29" customHeight="1" spans="1:18">
      <c r="C29" s="34" t="s">
        <v>77</v>
      </c>
      <c r="D29" s="36">
        <v>116.5955061232</v>
      </c>
      <c r="E29" s="37">
        <v>20.808489</v>
      </c>
      <c r="F29" s="38">
        <v>0.178467332849114</v>
      </c>
      <c r="G29" s="37">
        <v>3.588884</v>
      </c>
      <c r="H29" s="37">
        <v>3.766643</v>
      </c>
      <c r="I29" s="37">
        <v>2.044431</v>
      </c>
      <c r="J29" s="37">
        <v>4.985841</v>
      </c>
      <c r="K29" s="37">
        <v>1.122287</v>
      </c>
      <c r="L29" s="37">
        <v>0.510693</v>
      </c>
      <c r="M29" s="37">
        <v>0.606299</v>
      </c>
      <c r="N29" s="37">
        <v>1.187991</v>
      </c>
      <c r="O29" s="37">
        <v>0.359428</v>
      </c>
      <c r="P29" s="37">
        <v>0.892399</v>
      </c>
      <c r="Q29" s="37">
        <v>0.871523</v>
      </c>
      <c r="R29" s="37">
        <v>0.87207</v>
      </c>
    </row>
    <row r="30" customHeight="1" spans="1:18">
      <c r="C30" s="28" t="s">
        <v>78</v>
      </c>
      <c r="D30" s="36">
        <v>0</v>
      </c>
      <c r="E30" s="37">
        <v>0</v>
      </c>
      <c r="F30" s="38">
        <v>0</v>
      </c>
      <c r="G30" s="37">
        <v>0</v>
      </c>
      <c r="H30" s="37">
        <v>0</v>
      </c>
      <c r="I30" s="37">
        <v>0</v>
      </c>
      <c r="J30" s="37">
        <v>0</v>
      </c>
      <c r="K30" s="37">
        <v>0</v>
      </c>
      <c r="L30" s="37">
        <v>0</v>
      </c>
      <c r="M30" s="37">
        <v>0</v>
      </c>
      <c r="N30" s="37">
        <v>0</v>
      </c>
      <c r="O30" s="37"/>
      <c r="P30" s="37"/>
      <c r="Q30" s="37"/>
      <c r="R30" s="37"/>
    </row>
    <row r="31" customHeight="1" spans="1:18">
      <c r="C31" s="28"/>
      <c r="D31" s="36"/>
      <c r="E31" s="37"/>
      <c r="F31" s="38"/>
      <c r="G31" s="37"/>
      <c r="H31" s="37"/>
      <c r="I31" s="37"/>
      <c r="J31" s="37"/>
      <c r="K31" s="37"/>
      <c r="L31" s="37"/>
      <c r="M31" s="37"/>
      <c r="N31" s="37"/>
      <c r="O31" s="37"/>
      <c r="P31" s="37"/>
      <c r="Q31" s="37"/>
      <c r="R31" s="37"/>
    </row>
    <row r="32" customHeight="1" spans="1:18">
      <c r="C32" s="28"/>
      <c r="D32" s="36"/>
      <c r="E32" s="37"/>
      <c r="F32" s="38"/>
      <c r="G32" s="37"/>
      <c r="H32" s="37"/>
      <c r="I32" s="37"/>
      <c r="J32" s="37"/>
      <c r="K32" s="37"/>
      <c r="L32" s="37"/>
      <c r="M32" s="37"/>
      <c r="N32" s="37"/>
      <c r="O32" s="37"/>
      <c r="P32" s="37"/>
      <c r="Q32" s="37"/>
      <c r="R32" s="37"/>
    </row>
    <row r="33" customHeight="1" spans="6:18">
      <c r="F33" s="26" t="s">
        <v>50</v>
      </c>
      <c r="G33" s="26" t="s">
        <v>108</v>
      </c>
      <c r="H33" s="26" t="s">
        <v>109</v>
      </c>
      <c r="I33" s="26" t="s">
        <v>110</v>
      </c>
      <c r="J33" s="26" t="s">
        <v>111</v>
      </c>
      <c r="K33" s="26" t="s">
        <v>112</v>
      </c>
      <c r="L33" s="26" t="s">
        <v>113</v>
      </c>
      <c r="M33" s="26" t="s">
        <v>114</v>
      </c>
      <c r="N33" s="26" t="s">
        <v>115</v>
      </c>
      <c r="O33" s="26" t="s">
        <v>116</v>
      </c>
      <c r="P33" s="26" t="s">
        <v>117</v>
      </c>
      <c r="Q33" s="26" t="s">
        <v>118</v>
      </c>
      <c r="R33" s="26" t="s">
        <v>119</v>
      </c>
    </row>
    <row r="34" customHeight="1" spans="6:18">
      <c r="F34" s="28" t="s">
        <v>63</v>
      </c>
      <c r="G34" s="39">
        <f t="array" ref="G34:R34">IF(COLUMN(G2:R2)&lt;=COLUMN(G2)+MATCH(填写页!$A$1,$G$1:$R$1,0)-1,G2:R2,NA())</f>
      </c>
      <c r="H34" s="40">
        <v>5.293431</v>
      </c>
      <c r="I34" s="40">
        <v>8.220388</v>
      </c>
      <c r="J34" s="40">
        <v>0</v>
      </c>
      <c r="K34" s="40" t="e">
        <v>#N/A</v>
      </c>
      <c r="L34" s="40" t="e">
        <v>#N/A</v>
      </c>
      <c r="M34" s="40" t="e">
        <v>#N/A</v>
      </c>
      <c r="N34" s="40" t="e">
        <v>#N/A</v>
      </c>
      <c r="O34" s="40" t="e">
        <v>#N/A</v>
      </c>
      <c r="P34" s="40" t="e">
        <v>#N/A</v>
      </c>
      <c r="Q34" s="40" t="e">
        <v>#N/A</v>
      </c>
      <c r="R34" s="40" t="e">
        <v>#N/A</v>
      </c>
    </row>
    <row r="35" customHeight="1" spans="6:18">
      <c r="F35" s="28" t="s">
        <v>217</v>
      </c>
      <c r="G35" s="37">
        <f t="shared" ref="G35:R35" si="2">G20</f>
      </c>
      <c r="H35" s="37">
        <f t="shared" si="2"/>
      </c>
      <c r="I35" s="37">
        <f t="shared" si="2"/>
      </c>
      <c r="J35" s="37">
        <f t="shared" si="2"/>
      </c>
      <c r="K35" s="37">
        <f t="shared" si="2"/>
      </c>
      <c r="L35" s="37">
        <f t="shared" si="2"/>
      </c>
      <c r="M35" s="37">
        <f t="shared" si="2"/>
      </c>
      <c r="N35" s="37">
        <f t="shared" si="2"/>
      </c>
      <c r="O35" s="37">
        <f t="shared" si="2"/>
      </c>
      <c r="P35" s="37">
        <f t="shared" si="2"/>
      </c>
      <c r="Q35" s="37">
        <f t="shared" si="2"/>
      </c>
      <c r="R35" s="37">
        <f t="shared" si="2"/>
      </c>
    </row>
    <row r="36" customHeight="1" spans="6:18">
      <c r="F36" s="28" t="s">
        <v>218</v>
      </c>
      <c r="G36" s="41">
        <f>VLOOKUP(填写页!$C$10,分解计划!$A:$N,COLUMN()-4,FALSE)</f>
      </c>
      <c r="H36" s="41">
        <f>VLOOKUP(填写页!$C$10,分解计划!$A:$N,COLUMN()-4,FALSE)</f>
      </c>
      <c r="I36" s="41">
        <f>VLOOKUP(填写页!$C$10,分解计划!$A:$N,COLUMN()-4,FALSE)</f>
      </c>
      <c r="J36" s="41">
        <f>VLOOKUP(填写页!$C$10,分解计划!$A:$N,COLUMN()-4,FALSE)</f>
      </c>
      <c r="K36" s="41">
        <f>VLOOKUP(填写页!$C$10,分解计划!$A:$N,COLUMN()-4,FALSE)</f>
      </c>
      <c r="L36" s="41">
        <f>VLOOKUP(填写页!$C$10,分解计划!$A:$N,COLUMN()-4,FALSE)</f>
      </c>
      <c r="M36" s="41">
        <f>VLOOKUP(填写页!$C$10,分解计划!$A:$N,COLUMN()-4,FALSE)</f>
      </c>
      <c r="N36" s="41">
        <f>VLOOKUP(填写页!$C$10,分解计划!$A:$N,COLUMN()-4,FALSE)</f>
      </c>
      <c r="O36" s="41">
        <f>VLOOKUP(填写页!$C$10,分解计划!$A:$N,COLUMN()-4,FALSE)</f>
      </c>
      <c r="P36" s="41">
        <f>VLOOKUP(填写页!$C$10,分解计划!$A:$N,COLUMN()-4,FALSE)</f>
      </c>
      <c r="Q36" s="41">
        <f>VLOOKUP(填写页!$C$10,分解计划!$A:$N,COLUMN()-4,FALSE)</f>
      </c>
      <c r="R36" s="41">
        <f>VLOOKUP(填写页!$C$10,分解计划!$A:$N,COLUMN()-4,FALSE)</f>
      </c>
    </row>
    <row r="39" customHeight="1" spans="6:18">
      <c r="F39" s="26" t="s">
        <v>50</v>
      </c>
      <c r="G39" s="26" t="s">
        <v>108</v>
      </c>
      <c r="H39" s="26" t="s">
        <v>109</v>
      </c>
      <c r="I39" s="26" t="s">
        <v>110</v>
      </c>
      <c r="J39" s="26" t="s">
        <v>111</v>
      </c>
      <c r="K39" s="26" t="s">
        <v>112</v>
      </c>
      <c r="L39" s="26" t="s">
        <v>113</v>
      </c>
      <c r="M39" s="26" t="s">
        <v>114</v>
      </c>
      <c r="N39" s="26" t="s">
        <v>115</v>
      </c>
      <c r="O39" s="26" t="s">
        <v>116</v>
      </c>
      <c r="P39" s="26" t="s">
        <v>117</v>
      </c>
      <c r="Q39" s="26" t="s">
        <v>118</v>
      </c>
      <c r="R39" s="26" t="s">
        <v>119</v>
      </c>
    </row>
    <row r="40" customHeight="1" spans="6:18">
      <c r="F40" s="28" t="s">
        <v>63</v>
      </c>
      <c r="G40" s="42">
        <f t="array" ref="G40:R40">IF(COLUMN(G2:R2)&lt;=COLUMN(G2)+MATCH(填写页!$A$1,$G$1:$R$1,0)-1,G2:R2,NA())</f>
      </c>
      <c r="H40" s="42">
        <v>5.293431</v>
      </c>
      <c r="I40" s="42">
        <v>8.220388</v>
      </c>
      <c r="J40" s="42">
        <v>0</v>
      </c>
      <c r="K40" s="42" t="e">
        <v>#N/A</v>
      </c>
      <c r="L40" s="42" t="e">
        <v>#N/A</v>
      </c>
      <c r="M40" s="42" t="e">
        <v>#N/A</v>
      </c>
      <c r="N40" s="42" t="e">
        <v>#N/A</v>
      </c>
      <c r="O40" s="42" t="e">
        <v>#N/A</v>
      </c>
      <c r="P40" s="42" t="e">
        <v>#N/A</v>
      </c>
      <c r="Q40" s="42" t="e">
        <v>#N/A</v>
      </c>
      <c r="R40" s="42" t="e">
        <v>#N/A</v>
      </c>
    </row>
    <row r="41" customHeight="1" spans="6:18">
      <c r="F41" s="28" t="s">
        <v>220</v>
      </c>
      <c r="G41" s="42">
        <f t="array" ref="G41:R41">IF(COLUMN(G3:R3)&lt;=COLUMN(G3)+MATCH(填写页!$A$1,$G$1:$R$1,0)-1,G3:R3,NA())</f>
      </c>
      <c r="H41" s="42">
        <v>-39.343258</v>
      </c>
      <c r="I41" s="42">
        <v>-9.372579</v>
      </c>
      <c r="J41" s="42">
        <v>0</v>
      </c>
      <c r="K41" s="42" t="e">
        <v>#N/A</v>
      </c>
      <c r="L41" s="42" t="e">
        <v>#N/A</v>
      </c>
      <c r="M41" s="42" t="e">
        <v>#N/A</v>
      </c>
      <c r="N41" s="42" t="e">
        <v>#N/A</v>
      </c>
      <c r="O41" s="42" t="e">
        <v>#N/A</v>
      </c>
      <c r="P41" s="42" t="e">
        <v>#N/A</v>
      </c>
      <c r="Q41" s="42" t="e">
        <v>#N/A</v>
      </c>
      <c r="R41" s="42" t="e">
        <v>#N/A</v>
      </c>
    </row>
    <row r="42" customHeight="1" spans="6:18">
      <c r="F42" s="28" t="s">
        <v>65</v>
      </c>
      <c r="G42" s="42">
        <f t="array" ref="G42:R42">IF(COLUMN(G4:R4)&lt;=COLUMN(G4)+MATCH(填写页!$A$1,$G$1:$R$1,0)-1,G4:R4,NA())</f>
      </c>
      <c r="H42" s="42">
        <v>0.032856</v>
      </c>
      <c r="I42" s="42">
        <v>-56.605711</v>
      </c>
      <c r="J42" s="42">
        <v>0</v>
      </c>
      <c r="K42" s="42" t="e">
        <v>#N/A</v>
      </c>
      <c r="L42" s="42" t="e">
        <v>#N/A</v>
      </c>
      <c r="M42" s="42" t="e">
        <v>#N/A</v>
      </c>
      <c r="N42" s="42" t="e">
        <v>#N/A</v>
      </c>
      <c r="O42" s="42" t="e">
        <v>#N/A</v>
      </c>
      <c r="P42" s="42" t="e">
        <v>#N/A</v>
      </c>
      <c r="Q42" s="42" t="e">
        <v>#N/A</v>
      </c>
      <c r="R42" s="42" t="e">
        <v>#N/A</v>
      </c>
    </row>
    <row r="43" customHeight="1" spans="6:18">
      <c r="F43" s="28" t="s">
        <v>67</v>
      </c>
      <c r="G43" s="42">
        <f t="array" ref="G43:R43">IF(COLUMN(G5:R5)&lt;=COLUMN(G5)+MATCH(填写页!$A$1,$G$1:$R$1,0)-1,G5:R5,NA())</f>
      </c>
      <c r="H43" s="42">
        <v>36.885018</v>
      </c>
      <c r="I43" s="42">
        <v>32.425914</v>
      </c>
      <c r="J43" s="42">
        <v>0</v>
      </c>
      <c r="K43" s="42" t="e">
        <v>#N/A</v>
      </c>
      <c r="L43" s="42" t="e">
        <v>#N/A</v>
      </c>
      <c r="M43" s="42" t="e">
        <v>#N/A</v>
      </c>
      <c r="N43" s="42" t="e">
        <v>#N/A</v>
      </c>
      <c r="O43" s="42" t="e">
        <v>#N/A</v>
      </c>
      <c r="P43" s="42" t="e">
        <v>#N/A</v>
      </c>
      <c r="Q43" s="42" t="e">
        <v>#N/A</v>
      </c>
      <c r="R43" s="42" t="e">
        <v>#N/A</v>
      </c>
    </row>
    <row r="60" customHeight="1" spans="3:9">
      <c r="C60" s="43"/>
    </row>
    <row r="61" ht="118" customHeight="1" spans="3:9">
      <c r="C61" s="43"/>
      <c r="D61" s="43"/>
      <c r="E61" s="43"/>
      <c r="F61" s="43"/>
      <c r="G61" s="43"/>
      <c r="H61" s="43"/>
      <c r="I61" s="43"/>
    </row>
  </sheetData>
  <mergeCells count="4">
    <mergeCell ref="C61:I61"/>
    <mergeCell ref="A2:A4"/>
    <mergeCell ref="A5:A12"/>
    <mergeCell ref="A13:A18"/>
  </mergeCells>
  <pageMargins left="0.75" right="0.75" top="1" bottom="1" header="0.5" footer="0.5"/>
  <pageSetup paperSize="9" orientation="portrait"/>
  <headerFooter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5">
    <tabColor rgb="FF9CD2A4"/>
  </sheetPr>
  <dimension ref="A1:U33"/>
  <sheetViews>
    <sheetView workbookViewId="0">
      <selection activeCell="G2" sqref="G2"/>
    </sheetView>
  </sheetViews>
  <sheetFormatPr defaultColWidth="9" defaultRowHeight="16.25"/>
  <cols>
    <col min="1" max="1" width="14.4594594594595" style="1" customWidth="1"/>
    <col min="2" max="2" width="19.6126126126126" style="1" customWidth="1"/>
    <col min="3" max="3" width="19.0720720720721" style="1" customWidth="1"/>
    <col min="4" max="4" width="11.8468468468468" style="1" customWidth="1"/>
    <col min="5" max="5" width="18.6126126126126" style="1" customWidth="1"/>
    <col min="6" max="14" width="9.37837837837838" style="1" customWidth="1"/>
    <col min="15" max="17" width="10.6126126126126" style="1" customWidth="1"/>
    <col min="18" max="19" width="9" style="1"/>
    <col min="20" max="21" width="15.2342342342342" style="1"/>
    <col min="22" max="22" width="9" style="1"/>
    <col min="23" max="23" width="16.4594594594595" style="1" customWidth="1"/>
    <col min="24" max="24" width="7.61261261261261" style="1" customWidth="1"/>
    <col min="25" max="16384" width="9" style="1"/>
  </cols>
  <sheetData>
    <row r="1" ht="22" customHeight="1" spans="1:21">
      <c r="A1" s="2" t="s">
        <v>126</v>
      </c>
      <c r="B1" s="2" t="s">
        <v>126</v>
      </c>
      <c r="C1" s="2" t="s">
        <v>128</v>
      </c>
      <c r="D1" s="2" t="s">
        <v>129</v>
      </c>
      <c r="E1" s="2" t="s">
        <v>221</v>
      </c>
      <c r="F1" s="3" t="s">
        <v>222</v>
      </c>
      <c r="G1" s="3" t="s">
        <v>223</v>
      </c>
      <c r="H1" s="3" t="s">
        <v>224</v>
      </c>
      <c r="I1" s="3" t="s">
        <v>225</v>
      </c>
      <c r="J1" s="3" t="s">
        <v>226</v>
      </c>
      <c r="K1" s="3" t="s">
        <v>227</v>
      </c>
      <c r="L1" s="3" t="s">
        <v>228</v>
      </c>
      <c r="M1" s="3" t="s">
        <v>229</v>
      </c>
      <c r="N1" s="3" t="s">
        <v>230</v>
      </c>
      <c r="O1" s="3" t="s">
        <v>231</v>
      </c>
      <c r="P1" s="3" t="s">
        <v>232</v>
      </c>
      <c r="Q1" s="3" t="s">
        <v>233</v>
      </c>
      <c r="S1" s="4" t="s">
        <v>234</v>
      </c>
      <c r="T1" s="4" t="s">
        <v>235</v>
      </c>
      <c r="U1" s="4" t="s">
        <v>236</v>
      </c>
    </row>
    <row r="2" ht="18" customHeight="1" spans="1:21">
      <c r="A2" s="5" t="s">
        <v>62</v>
      </c>
      <c r="B2" s="5" t="s">
        <v>63</v>
      </c>
      <c r="C2" s="5"/>
      <c r="D2" s="5">
        <f t="shared" ref="D2:D15" si="0">SUM(F2:Q2)</f>
        <v>0</v>
      </c>
      <c r="E2" s="6">
        <f t="shared" ref="E2:E15" si="1">IFERROR(D2/C2,0)</f>
        <v>0</v>
      </c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S2" s="8" t="s">
        <v>237</v>
      </c>
      <c r="T2" s="9">
        <v>127728.630494</v>
      </c>
      <c r="U2" s="9">
        <v>128213.478751</v>
      </c>
    </row>
    <row r="3" ht="18" customHeight="1" spans="1:21">
      <c r="A3" s="5"/>
      <c r="B3" s="5" t="s">
        <v>214</v>
      </c>
      <c r="C3" s="5"/>
      <c r="D3" s="5">
        <f t="shared" si="0"/>
        <v>0</v>
      </c>
      <c r="E3" s="6">
        <f t="shared" si="1"/>
        <v>0</v>
      </c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S3" s="8" t="s">
        <v>238</v>
      </c>
      <c r="T3" s="9">
        <v>2468.249955</v>
      </c>
      <c r="U3" s="9">
        <v>2648.880232</v>
      </c>
    </row>
    <row r="4" ht="18" customHeight="1" spans="1:21">
      <c r="A4" s="5"/>
      <c r="B4" s="5" t="s">
        <v>65</v>
      </c>
      <c r="C4" s="5"/>
      <c r="D4" s="5">
        <f t="shared" si="0"/>
        <v>0</v>
      </c>
      <c r="E4" s="6">
        <f t="shared" si="1"/>
        <v>0</v>
      </c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S4" s="8" t="s">
        <v>239</v>
      </c>
      <c r="T4" s="9">
        <v>125260.380539</v>
      </c>
      <c r="U4" s="9">
        <v>125564.598519</v>
      </c>
    </row>
    <row r="5" ht="18" customHeight="1" spans="1:21">
      <c r="A5" s="5" t="s">
        <v>66</v>
      </c>
      <c r="B5" s="5" t="s">
        <v>67</v>
      </c>
      <c r="C5" s="5"/>
      <c r="D5" s="5">
        <f t="shared" si="0"/>
        <v>0</v>
      </c>
      <c r="E5" s="6">
        <f t="shared" si="1"/>
        <v>0</v>
      </c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S5" s="8" t="s">
        <v>240</v>
      </c>
      <c r="T5" s="10">
        <f>T3/T2</f>
        <v>0.0193241714520375</v>
      </c>
      <c r="U5" s="10">
        <f>U3/U2</f>
        <v>0.0206599201410354</v>
      </c>
    </row>
    <row r="6" ht="18" customHeight="1" spans="1:21">
      <c r="A6" s="5"/>
      <c r="B6" s="11" t="s">
        <v>241</v>
      </c>
      <c r="C6" s="5"/>
      <c r="D6" s="5">
        <f t="shared" si="0"/>
        <v>0</v>
      </c>
      <c r="E6" s="6">
        <f t="shared" si="1"/>
        <v>0</v>
      </c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S6" s="8" t="s">
        <v>242</v>
      </c>
      <c r="T6" s="9">
        <v>98.698916</v>
      </c>
      <c r="U6" s="9">
        <v>1041.913402</v>
      </c>
    </row>
    <row r="7" ht="18" customHeight="1" spans="1:21">
      <c r="A7" s="5"/>
      <c r="B7" s="12" t="s">
        <v>243</v>
      </c>
      <c r="C7" s="13"/>
      <c r="D7" s="5">
        <f t="shared" si="0"/>
        <v>0</v>
      </c>
      <c r="E7" s="14">
        <f t="shared" si="1"/>
        <v>0</v>
      </c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</row>
    <row r="8" ht="18" customHeight="1" spans="1:21">
      <c r="A8" s="5"/>
      <c r="B8" s="12" t="s">
        <v>244</v>
      </c>
      <c r="C8" s="13"/>
      <c r="D8" s="5">
        <f t="shared" si="0"/>
        <v>0</v>
      </c>
      <c r="E8" s="14">
        <f t="shared" si="1"/>
        <v>0</v>
      </c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</row>
    <row r="9" ht="18" customHeight="1" spans="1:21">
      <c r="A9" s="5"/>
      <c r="B9" s="11" t="s">
        <v>245</v>
      </c>
      <c r="C9" s="5"/>
      <c r="D9" s="5">
        <f t="shared" si="0"/>
        <v>0</v>
      </c>
      <c r="E9" s="6">
        <f t="shared" si="1"/>
        <v>0</v>
      </c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</row>
    <row r="10" ht="18" customHeight="1" spans="1:21">
      <c r="A10" s="5"/>
      <c r="B10" s="12" t="s">
        <v>246</v>
      </c>
      <c r="C10" s="13"/>
      <c r="D10" s="5">
        <f t="shared" si="0"/>
        <v>0</v>
      </c>
      <c r="E10" s="14">
        <f t="shared" si="1"/>
        <v>0</v>
      </c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</row>
    <row r="11" ht="18" customHeight="1" spans="1:21">
      <c r="A11" s="5"/>
      <c r="B11" s="12" t="s">
        <v>247</v>
      </c>
      <c r="C11" s="13"/>
      <c r="D11" s="5">
        <f t="shared" si="0"/>
        <v>0</v>
      </c>
      <c r="E11" s="14">
        <f t="shared" si="1"/>
        <v>0</v>
      </c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</row>
    <row r="12" ht="18" customHeight="1" spans="1:21">
      <c r="A12" s="5"/>
      <c r="B12" s="15" t="s">
        <v>78</v>
      </c>
      <c r="C12" s="5"/>
      <c r="D12" s="5">
        <f t="shared" si="0"/>
        <v>0</v>
      </c>
      <c r="E12" s="6">
        <f t="shared" si="1"/>
        <v>0</v>
      </c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</row>
    <row r="13" ht="18" customHeight="1" spans="1:21">
      <c r="A13" s="5"/>
      <c r="B13" s="15" t="s">
        <v>248</v>
      </c>
      <c r="C13" s="5"/>
      <c r="D13" s="5">
        <f t="shared" si="0"/>
        <v>0</v>
      </c>
      <c r="E13" s="6">
        <f t="shared" si="1"/>
        <v>0</v>
      </c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</row>
    <row r="14" ht="18" customHeight="1" spans="1:21">
      <c r="A14" s="5"/>
      <c r="B14" s="15" t="s">
        <v>249</v>
      </c>
      <c r="C14" s="5"/>
      <c r="D14" s="5">
        <f t="shared" si="0"/>
        <v>0</v>
      </c>
      <c r="E14" s="6">
        <f t="shared" si="1"/>
        <v>0</v>
      </c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</row>
    <row r="15" ht="18" customHeight="1" spans="1:21">
      <c r="A15" s="5"/>
      <c r="B15" s="15" t="s">
        <v>250</v>
      </c>
      <c r="C15" s="5"/>
      <c r="D15" s="5">
        <f t="shared" si="0"/>
        <v>0</v>
      </c>
      <c r="E15" s="6">
        <f t="shared" si="1"/>
        <v>0</v>
      </c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</row>
    <row r="18" spans="1:7">
      <c r="A18" s="16" t="s">
        <v>251</v>
      </c>
      <c r="B18" s="17" t="s">
        <v>126</v>
      </c>
      <c r="C18" s="17" t="s">
        <v>128</v>
      </c>
      <c r="D18" s="17" t="s">
        <v>129</v>
      </c>
      <c r="E18" s="18"/>
      <c r="F18" s="18"/>
      <c r="G18" s="18"/>
    </row>
    <row r="19" spans="1:7">
      <c r="A19" s="16"/>
      <c r="B19" s="19" t="s">
        <v>70</v>
      </c>
      <c r="C19" s="20">
        <f>C7</f>
        <v>0</v>
      </c>
      <c r="D19" s="20">
        <f>D7</f>
        <v>0</v>
      </c>
      <c r="E19" s="18"/>
      <c r="F19" s="18"/>
      <c r="G19" s="18"/>
    </row>
    <row r="20" spans="1:7">
      <c r="A20" s="16"/>
      <c r="B20" s="19" t="s">
        <v>72</v>
      </c>
      <c r="C20" s="20">
        <f>C8</f>
        <v>0</v>
      </c>
      <c r="D20" s="20">
        <f>D8</f>
        <v>0</v>
      </c>
      <c r="E20" s="18"/>
      <c r="F20" s="18"/>
      <c r="G20" s="18"/>
    </row>
    <row r="21" spans="1:7">
      <c r="A21" s="16"/>
      <c r="B21" s="19" t="s">
        <v>75</v>
      </c>
      <c r="C21" s="20">
        <f>C10</f>
        <v>0</v>
      </c>
      <c r="D21" s="20">
        <f>D10</f>
        <v>0</v>
      </c>
      <c r="E21" s="18"/>
      <c r="F21" s="18"/>
      <c r="G21" s="18"/>
    </row>
    <row r="22" spans="1:7">
      <c r="A22" s="16"/>
      <c r="B22" s="19" t="s">
        <v>77</v>
      </c>
      <c r="C22" s="20">
        <f>C11</f>
        <v>0</v>
      </c>
      <c r="D22" s="20">
        <f>D11</f>
        <v>0</v>
      </c>
      <c r="E22" s="18"/>
      <c r="F22" s="18"/>
      <c r="G22" s="18"/>
    </row>
    <row r="23" spans="1:7">
      <c r="A23" s="16"/>
      <c r="B23" s="21" t="s">
        <v>252</v>
      </c>
      <c r="C23" s="22" t="e">
        <f>C9/C2</f>
        <v>#DIV/0!</v>
      </c>
      <c r="D23" s="22" t="e">
        <f>D9/D2</f>
        <v>#DIV/0!</v>
      </c>
      <c r="E23" s="18"/>
      <c r="F23" s="18"/>
      <c r="G23" s="18"/>
    </row>
    <row r="24" spans="1:7">
      <c r="A24" s="16"/>
      <c r="B24" s="17" t="s">
        <v>126</v>
      </c>
      <c r="C24" s="17" t="s">
        <v>128</v>
      </c>
      <c r="D24" s="17" t="s">
        <v>129</v>
      </c>
      <c r="E24" s="18"/>
      <c r="F24" s="18"/>
      <c r="G24" s="18"/>
    </row>
    <row r="25" spans="1:7">
      <c r="A25" s="16"/>
      <c r="B25" s="19" t="s">
        <v>253</v>
      </c>
      <c r="C25" s="23" t="e">
        <f t="shared" ref="C25:D28" si="2">C19/C$5</f>
        <v>#DIV/0!</v>
      </c>
      <c r="D25" s="23" t="e">
        <f t="shared" si="2"/>
        <v>#DIV/0!</v>
      </c>
      <c r="E25" s="18"/>
      <c r="F25" s="18"/>
      <c r="G25" s="18"/>
    </row>
    <row r="26" spans="1:7">
      <c r="A26" s="16"/>
      <c r="B26" s="19" t="s">
        <v>254</v>
      </c>
      <c r="C26" s="23" t="e">
        <f t="shared" si="2"/>
        <v>#DIV/0!</v>
      </c>
      <c r="D26" s="23" t="e">
        <f t="shared" si="2"/>
        <v>#DIV/0!</v>
      </c>
      <c r="E26" s="18"/>
      <c r="F26" s="18"/>
      <c r="G26" s="18"/>
    </row>
    <row r="27" spans="1:7">
      <c r="A27" s="16"/>
      <c r="B27" s="19" t="s">
        <v>255</v>
      </c>
      <c r="C27" s="23" t="e">
        <f t="shared" si="2"/>
        <v>#DIV/0!</v>
      </c>
      <c r="D27" s="23" t="e">
        <f t="shared" si="2"/>
        <v>#DIV/0!</v>
      </c>
      <c r="E27" s="18"/>
      <c r="F27" s="18"/>
      <c r="G27" s="18"/>
    </row>
    <row r="28" spans="1:7">
      <c r="A28" s="16"/>
      <c r="B28" s="19" t="s">
        <v>256</v>
      </c>
      <c r="C28" s="23" t="e">
        <f t="shared" si="2"/>
        <v>#DIV/0!</v>
      </c>
      <c r="D28" s="23" t="e">
        <f t="shared" si="2"/>
        <v>#DIV/0!</v>
      </c>
      <c r="E28" s="18"/>
      <c r="F28" s="18"/>
      <c r="G28" s="18"/>
    </row>
    <row r="29" ht="18" customHeight="1" spans="1:7">
      <c r="B29" s="19" t="s">
        <v>257</v>
      </c>
      <c r="C29" s="24" t="e">
        <f>C3/C2</f>
        <v>#DIV/0!</v>
      </c>
      <c r="D29" s="24" t="e">
        <f>D3/D2</f>
        <v>#DIV/0!</v>
      </c>
      <c r="E29" s="18"/>
      <c r="F29" s="18"/>
      <c r="G29" s="18"/>
    </row>
    <row r="30" spans="1:7">
      <c r="E30" s="18"/>
      <c r="F30" s="18"/>
      <c r="G30" s="18"/>
    </row>
    <row r="31" spans="1:7">
      <c r="E31" s="18"/>
      <c r="F31" s="18"/>
      <c r="G31" s="18"/>
    </row>
    <row r="32" spans="1:7">
      <c r="E32" s="18"/>
      <c r="F32" s="18"/>
      <c r="G32" s="18"/>
    </row>
    <row r="33" spans="5:7">
      <c r="E33" s="18"/>
      <c r="F33" s="18"/>
      <c r="G33" s="18"/>
    </row>
  </sheetData>
  <mergeCells count="3">
    <mergeCell ref="A2:A4"/>
    <mergeCell ref="A5:A15"/>
    <mergeCell ref="A18:A28"/>
  </mergeCells>
  <pageMargins left="0.75" right="0.75" top="1" bottom="1" header="0.5" footer="0.5"/>
  <pageSetup paperSize="9" orientation="portrait"/>
  <headerFooter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4">
    <tabColor rgb="FF9CD2A4"/>
  </sheetPr>
  <dimension ref="A1:U29"/>
  <sheetViews>
    <sheetView workbookViewId="0">
      <selection activeCell="G2" sqref="G2"/>
    </sheetView>
  </sheetViews>
  <sheetFormatPr defaultColWidth="9" defaultRowHeight="16.25"/>
  <cols>
    <col min="1" max="1" width="11.3783783783784" style="1" customWidth="1"/>
    <col min="2" max="2" width="20.1531531531532" style="1" customWidth="1"/>
    <col min="3" max="3" width="19.0720720720721" style="1" customWidth="1"/>
    <col min="4" max="4" width="11.8468468468468" style="1" customWidth="1"/>
    <col min="5" max="5" width="18.6126126126126" style="1" customWidth="1"/>
    <col min="6" max="14" width="9.37837837837838" style="1" customWidth="1"/>
    <col min="15" max="17" width="10.6126126126126" style="1" customWidth="1"/>
    <col min="18" max="19" width="9" style="1"/>
    <col min="20" max="21" width="15.2342342342342" style="1"/>
    <col min="22" max="22" width="9" style="1"/>
    <col min="23" max="23" width="16.4594594594595" style="1" customWidth="1"/>
    <col min="24" max="24" width="7.61261261261261" style="1" customWidth="1"/>
    <col min="25" max="16384" width="9" style="1"/>
  </cols>
  <sheetData>
    <row r="1" ht="22" customHeight="1" spans="1:21">
      <c r="A1" s="2" t="s">
        <v>126</v>
      </c>
      <c r="B1" s="2" t="s">
        <v>126</v>
      </c>
      <c r="C1" s="2" t="s">
        <v>128</v>
      </c>
      <c r="D1" s="2" t="s">
        <v>129</v>
      </c>
      <c r="E1" s="2" t="s">
        <v>221</v>
      </c>
      <c r="F1" s="3" t="s">
        <v>222</v>
      </c>
      <c r="G1" s="3" t="s">
        <v>223</v>
      </c>
      <c r="H1" s="3" t="s">
        <v>224</v>
      </c>
      <c r="I1" s="3" t="s">
        <v>225</v>
      </c>
      <c r="J1" s="3" t="s">
        <v>226</v>
      </c>
      <c r="K1" s="3" t="s">
        <v>227</v>
      </c>
      <c r="L1" s="3" t="s">
        <v>228</v>
      </c>
      <c r="M1" s="3" t="s">
        <v>229</v>
      </c>
      <c r="N1" s="3" t="s">
        <v>230</v>
      </c>
      <c r="O1" s="3" t="s">
        <v>231</v>
      </c>
      <c r="P1" s="3" t="s">
        <v>232</v>
      </c>
      <c r="Q1" s="3" t="s">
        <v>233</v>
      </c>
      <c r="S1" s="4" t="s">
        <v>234</v>
      </c>
      <c r="T1" s="4" t="s">
        <v>235</v>
      </c>
      <c r="U1" s="4" t="s">
        <v>236</v>
      </c>
    </row>
    <row r="2" ht="18" customHeight="1" spans="1:21">
      <c r="A2" s="5" t="s">
        <v>62</v>
      </c>
      <c r="B2" s="5" t="s">
        <v>63</v>
      </c>
      <c r="C2" s="5"/>
      <c r="D2" s="5">
        <f t="shared" ref="D2:D15" si="0">SUM(F2:Q2)</f>
        <v>0</v>
      </c>
      <c r="E2" s="6">
        <f t="shared" ref="E2:E15" si="1">IFERROR(D2/C2,0)</f>
        <v>0</v>
      </c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S2" s="8" t="s">
        <v>237</v>
      </c>
      <c r="T2" s="9">
        <v>257265.028875</v>
      </c>
      <c r="U2" s="9">
        <v>257332.650638</v>
      </c>
    </row>
    <row r="3" ht="18" customHeight="1" spans="1:21">
      <c r="A3" s="5"/>
      <c r="B3" s="5" t="s">
        <v>214</v>
      </c>
      <c r="C3" s="5"/>
      <c r="D3" s="5">
        <f t="shared" si="0"/>
        <v>0</v>
      </c>
      <c r="E3" s="6">
        <f t="shared" si="1"/>
        <v>0</v>
      </c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S3" s="8" t="s">
        <v>238</v>
      </c>
      <c r="T3" s="9">
        <v>303.515277000002</v>
      </c>
      <c r="U3" s="9">
        <v>332.029997999999</v>
      </c>
    </row>
    <row r="4" ht="18" customHeight="1" spans="1:21">
      <c r="A4" s="5"/>
      <c r="B4" s="5" t="s">
        <v>65</v>
      </c>
      <c r="C4" s="5"/>
      <c r="D4" s="5">
        <f t="shared" si="0"/>
        <v>0</v>
      </c>
      <c r="E4" s="6">
        <f t="shared" si="1"/>
        <v>0</v>
      </c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S4" s="8" t="s">
        <v>239</v>
      </c>
      <c r="T4" s="9">
        <v>256961.513598</v>
      </c>
      <c r="U4" s="9">
        <v>257000.62064</v>
      </c>
    </row>
    <row r="5" ht="18" customHeight="1" spans="1:21">
      <c r="A5" s="5" t="s">
        <v>66</v>
      </c>
      <c r="B5" s="5" t="s">
        <v>67</v>
      </c>
      <c r="C5" s="5"/>
      <c r="D5" s="5">
        <f t="shared" si="0"/>
        <v>0</v>
      </c>
      <c r="E5" s="6">
        <f t="shared" si="1"/>
        <v>0</v>
      </c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S5" s="8" t="s">
        <v>240</v>
      </c>
      <c r="T5" s="10">
        <f>T3/T2</f>
        <v>0.00117977666193983</v>
      </c>
      <c r="U5" s="10">
        <f>U3/U2</f>
        <v>0.00129027543600396</v>
      </c>
    </row>
    <row r="6" ht="18" customHeight="1" spans="1:21">
      <c r="A6" s="5"/>
      <c r="B6" s="11" t="s">
        <v>241</v>
      </c>
      <c r="C6" s="5"/>
      <c r="D6" s="5">
        <f t="shared" si="0"/>
        <v>0</v>
      </c>
      <c r="E6" s="6">
        <f t="shared" si="1"/>
        <v>0</v>
      </c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S6" s="8" t="s">
        <v>242</v>
      </c>
      <c r="T6" s="9">
        <v>41.316679</v>
      </c>
      <c r="U6" s="9">
        <v>39.464616</v>
      </c>
    </row>
    <row r="7" ht="18" customHeight="1" spans="1:21">
      <c r="A7" s="5"/>
      <c r="B7" s="12" t="s">
        <v>243</v>
      </c>
      <c r="C7" s="13"/>
      <c r="D7" s="5">
        <f t="shared" si="0"/>
        <v>0</v>
      </c>
      <c r="E7" s="14">
        <f t="shared" si="1"/>
        <v>0</v>
      </c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</row>
    <row r="8" ht="18" customHeight="1" spans="1:21">
      <c r="A8" s="5"/>
      <c r="B8" s="12" t="s">
        <v>244</v>
      </c>
      <c r="C8" s="13"/>
      <c r="D8" s="5">
        <f t="shared" si="0"/>
        <v>0</v>
      </c>
      <c r="E8" s="14">
        <f t="shared" si="1"/>
        <v>0</v>
      </c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</row>
    <row r="9" ht="18" customHeight="1" spans="1:21">
      <c r="A9" s="5"/>
      <c r="B9" s="11" t="s">
        <v>245</v>
      </c>
      <c r="C9" s="5"/>
      <c r="D9" s="5">
        <f t="shared" si="0"/>
        <v>0</v>
      </c>
      <c r="E9" s="6">
        <f t="shared" si="1"/>
        <v>0</v>
      </c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</row>
    <row r="10" ht="18" customHeight="1" spans="1:21">
      <c r="A10" s="5"/>
      <c r="B10" s="12" t="s">
        <v>246</v>
      </c>
      <c r="C10" s="13"/>
      <c r="D10" s="5">
        <f t="shared" si="0"/>
        <v>0</v>
      </c>
      <c r="E10" s="14">
        <f t="shared" si="1"/>
        <v>0</v>
      </c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</row>
    <row r="11" ht="18" customHeight="1" spans="1:21">
      <c r="A11" s="5"/>
      <c r="B11" s="12" t="s">
        <v>247</v>
      </c>
      <c r="C11" s="13"/>
      <c r="D11" s="5">
        <f t="shared" si="0"/>
        <v>0</v>
      </c>
      <c r="E11" s="14">
        <f t="shared" si="1"/>
        <v>0</v>
      </c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</row>
    <row r="12" ht="18" customHeight="1" spans="1:21">
      <c r="A12" s="5"/>
      <c r="B12" s="15" t="s">
        <v>78</v>
      </c>
      <c r="C12" s="5"/>
      <c r="D12" s="5">
        <f t="shared" si="0"/>
        <v>0</v>
      </c>
      <c r="E12" s="6">
        <f t="shared" si="1"/>
        <v>0</v>
      </c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</row>
    <row r="13" ht="18" customHeight="1" spans="1:21">
      <c r="A13" s="5"/>
      <c r="B13" s="15" t="s">
        <v>248</v>
      </c>
      <c r="C13" s="5"/>
      <c r="D13" s="5">
        <f t="shared" si="0"/>
        <v>0</v>
      </c>
      <c r="E13" s="6">
        <f t="shared" si="1"/>
        <v>0</v>
      </c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</row>
    <row r="14" ht="18" customHeight="1" spans="1:21">
      <c r="A14" s="5"/>
      <c r="B14" s="15" t="s">
        <v>249</v>
      </c>
      <c r="C14" s="5"/>
      <c r="D14" s="5">
        <f t="shared" si="0"/>
        <v>0</v>
      </c>
      <c r="E14" s="6">
        <f t="shared" si="1"/>
        <v>0</v>
      </c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</row>
    <row r="15" ht="18" customHeight="1" spans="1:21">
      <c r="A15" s="5"/>
      <c r="B15" s="15" t="s">
        <v>250</v>
      </c>
      <c r="C15" s="5"/>
      <c r="D15" s="5">
        <f t="shared" si="0"/>
        <v>0</v>
      </c>
      <c r="E15" s="6">
        <f t="shared" si="1"/>
        <v>0</v>
      </c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</row>
    <row r="18" spans="1:7">
      <c r="A18" s="16" t="s">
        <v>251</v>
      </c>
      <c r="B18" s="17" t="s">
        <v>126</v>
      </c>
      <c r="C18" s="17" t="s">
        <v>128</v>
      </c>
      <c r="D18" s="17" t="s">
        <v>129</v>
      </c>
      <c r="E18" s="18"/>
      <c r="F18" s="18"/>
      <c r="G18" s="18"/>
    </row>
    <row r="19" spans="1:7">
      <c r="A19" s="16"/>
      <c r="B19" s="19" t="s">
        <v>70</v>
      </c>
      <c r="C19" s="20">
        <f>C7</f>
        <v>0</v>
      </c>
      <c r="D19" s="20">
        <f>D7</f>
        <v>0</v>
      </c>
      <c r="E19" s="18"/>
      <c r="F19" s="18"/>
      <c r="G19" s="18"/>
    </row>
    <row r="20" spans="1:7">
      <c r="A20" s="16"/>
      <c r="B20" s="19" t="s">
        <v>72</v>
      </c>
      <c r="C20" s="20">
        <f>C8</f>
        <v>0</v>
      </c>
      <c r="D20" s="20">
        <f>D8</f>
        <v>0</v>
      </c>
      <c r="E20" s="18"/>
      <c r="F20" s="18"/>
      <c r="G20" s="18"/>
    </row>
    <row r="21" spans="1:7">
      <c r="A21" s="16"/>
      <c r="B21" s="19" t="s">
        <v>75</v>
      </c>
      <c r="C21" s="20">
        <f>C10</f>
        <v>0</v>
      </c>
      <c r="D21" s="20">
        <f>D10</f>
        <v>0</v>
      </c>
      <c r="E21" s="18"/>
      <c r="F21" s="18"/>
      <c r="G21" s="18"/>
    </row>
    <row r="22" spans="1:7">
      <c r="A22" s="16"/>
      <c r="B22" s="19" t="s">
        <v>77</v>
      </c>
      <c r="C22" s="20">
        <f>C11</f>
        <v>0</v>
      </c>
      <c r="D22" s="20">
        <f>D11</f>
        <v>0</v>
      </c>
      <c r="E22" s="18"/>
      <c r="F22" s="18"/>
      <c r="G22" s="18"/>
    </row>
    <row r="23" spans="1:7">
      <c r="A23" s="16"/>
      <c r="B23" s="21" t="s">
        <v>252</v>
      </c>
      <c r="C23" s="22" t="e">
        <f>C9/C2</f>
        <v>#DIV/0!</v>
      </c>
      <c r="D23" s="22" t="e">
        <f>D9/D2</f>
        <v>#DIV/0!</v>
      </c>
      <c r="E23" s="18"/>
      <c r="F23" s="18"/>
      <c r="G23" s="18"/>
    </row>
    <row r="24" spans="1:7">
      <c r="A24" s="16"/>
      <c r="B24" s="17" t="s">
        <v>126</v>
      </c>
      <c r="C24" s="17" t="s">
        <v>128</v>
      </c>
      <c r="D24" s="17" t="s">
        <v>129</v>
      </c>
      <c r="E24" s="18"/>
      <c r="F24" s="18"/>
      <c r="G24" s="18"/>
    </row>
    <row r="25" spans="1:7">
      <c r="A25" s="16"/>
      <c r="B25" s="19" t="s">
        <v>253</v>
      </c>
      <c r="C25" s="23" t="e">
        <f t="shared" ref="C25:D28" si="2">C19/C$5</f>
        <v>#DIV/0!</v>
      </c>
      <c r="D25" s="23" t="e">
        <f t="shared" si="2"/>
        <v>#DIV/0!</v>
      </c>
      <c r="E25" s="18"/>
      <c r="F25" s="18"/>
      <c r="G25" s="18"/>
    </row>
    <row r="26" spans="1:7">
      <c r="A26" s="16"/>
      <c r="B26" s="19" t="s">
        <v>254</v>
      </c>
      <c r="C26" s="23" t="e">
        <f t="shared" si="2"/>
        <v>#DIV/0!</v>
      </c>
      <c r="D26" s="23" t="e">
        <f t="shared" si="2"/>
        <v>#DIV/0!</v>
      </c>
      <c r="E26" s="18"/>
      <c r="F26" s="18"/>
      <c r="G26" s="18"/>
    </row>
    <row r="27" spans="1:7">
      <c r="A27" s="16"/>
      <c r="B27" s="19" t="s">
        <v>255</v>
      </c>
      <c r="C27" s="23" t="e">
        <f t="shared" si="2"/>
        <v>#DIV/0!</v>
      </c>
      <c r="D27" s="23" t="e">
        <f t="shared" si="2"/>
        <v>#DIV/0!</v>
      </c>
      <c r="E27" s="18"/>
      <c r="F27" s="18"/>
      <c r="G27" s="18"/>
    </row>
    <row r="28" spans="1:7">
      <c r="A28" s="16"/>
      <c r="B28" s="19" t="s">
        <v>256</v>
      </c>
      <c r="C28" s="23" t="e">
        <f t="shared" si="2"/>
        <v>#DIV/0!</v>
      </c>
      <c r="D28" s="23" t="e">
        <f t="shared" si="2"/>
        <v>#DIV/0!</v>
      </c>
      <c r="E28" s="18"/>
      <c r="F28" s="18"/>
      <c r="G28" s="18"/>
    </row>
    <row r="29" ht="18" customHeight="1" spans="1:7">
      <c r="B29" s="19" t="s">
        <v>257</v>
      </c>
      <c r="C29" s="24" t="e">
        <f>C3/C2</f>
        <v>#DIV/0!</v>
      </c>
      <c r="D29" s="24" t="e">
        <f>D3/D2</f>
        <v>#DIV/0!</v>
      </c>
      <c r="E29" s="18"/>
      <c r="F29" s="18"/>
      <c r="G29" s="18"/>
    </row>
  </sheetData>
  <mergeCells count="3">
    <mergeCell ref="A2:A4"/>
    <mergeCell ref="A5:A15"/>
    <mergeCell ref="A18:A28"/>
  </mergeCells>
  <pageMargins left="0.75" right="0.75" top="1" bottom="1" header="0.5" footer="0.5"/>
  <pageSetup paperSize="9" orientation="portrait"/>
  <headerFooter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���sёAm*jp^�V�zp^�V
</file>

<file path=customXml/item2.xml>���sёAmagb_�Vagb_�V;`ch�Spenc�|R�gb_�V
</file>

<file path=customXml/item3.xml>��
</file>

<file path=customXml/itemProps1.xml><?xml version="1.0" encoding="utf-8"?>
<ds:datastoreItem xmlns:ds="http://schemas.openxmlformats.org/officeDocument/2006/customXml" ds:itemID="{78BEDF91-51FE-4021-B6FC-C2F80CEBE101}">
  <ds:schemaRefs/>
</ds:datastoreItem>
</file>

<file path=customXml/itemProps2.xml><?xml version="1.0" encoding="utf-8"?>
<ds:datastoreItem xmlns:ds="http://schemas.openxmlformats.org/officeDocument/2006/customXml" ds:itemID="{BE910301-0BE7-4276-B71C-783F64129A23}">
  <ds:schemaRefs/>
</ds:datastoreItem>
</file>

<file path=customXml/itemProps3.xml><?xml version="1.0" encoding="utf-8"?>
<ds:datastoreItem xmlns:ds="http://schemas.openxmlformats.org/officeDocument/2006/customXml" ds:itemID="{02082B62-1445-40AF-93D1-BC82A4EB467E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25</vt:i4>
      </vt:variant>
    </vt:vector>
  </HeadingPairs>
  <TitlesOfParts>
    <vt:vector size="25" baseType="lpstr">
      <vt:lpstr>配色及公式</vt:lpstr>
      <vt:lpstr>年度计划</vt:lpstr>
      <vt:lpstr>分解计划</vt:lpstr>
      <vt:lpstr>总指标历史分期</vt:lpstr>
      <vt:lpstr>营收历史分体分期</vt:lpstr>
      <vt:lpstr>Sheet2</vt:lpstr>
      <vt:lpstr>Sheet1</vt:lpstr>
      <vt:lpstr>管理建议</vt:lpstr>
      <vt:lpstr>填写页</vt:lpstr>
      <vt:lpstr>整体</vt:lpstr>
      <vt:lpstr>营收</vt:lpstr>
      <vt:lpstr>商写类</vt:lpstr>
      <vt:lpstr>酒店类</vt:lpstr>
      <vt:lpstr>保险类</vt:lpstr>
      <vt:lpstr>北京中言</vt:lpstr>
      <vt:lpstr>大连凯丹</vt:lpstr>
      <vt:lpstr>福建钱隆</vt:lpstr>
      <vt:lpstr>春夏秋冬</vt:lpstr>
      <vt:lpstr>重庆宜新</vt:lpstr>
      <vt:lpstr>伯豪瑞廷</vt:lpstr>
      <vt:lpstr>重庆瑞尔</vt:lpstr>
      <vt:lpstr>盛唐融信</vt:lpstr>
      <vt:lpstr>君康经纪</vt:lpstr>
      <vt:lpstr>北京联谊</vt:lpstr>
      <vt:lpstr>上海联杰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xinjun</dc:creator>
  <cp:lastModifiedBy>lxj</cp:lastModifiedBy>
  <dcterms:created xsi:type="dcterms:W3CDTF">2024-01-24T00:59:00Z</dcterms:created>
  <dcterms:modified xsi:type="dcterms:W3CDTF">2026-05-29T07:15:16Z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B5E1B183BDEC41768CA84314ECD6C3DE_13</vt:lpwstr>
  </property>
  <property fmtid="{D5CDD505-2E9C-101B-9397-08002B2CF9AE}" pid="3" name="KSOProductBuildVer">
    <vt:lpwstr>2052-12.1.0.26373</vt:lpwstr>
  </property>
  <property fmtid="{D5CDD505-2E9C-101B-9397-08002B2CF9AE}" pid="4" name="ChartUpdateInfoXmlPartId">
    <vt:lpwstr>{be910301-0be7-4276-b71c-783f64129a23}</vt:lpwstr>
  </property>
  <property fmtid="{D5CDD505-2E9C-101B-9397-08002B2CF9AE}" pid="5" name="KSOReadingLayout">
    <vt:bool>true</vt:bool>
  </property>
  <property fmtid="{D5CDD505-2E9C-101B-9397-08002B2CF9AE}" pid="6" name="CalculationRule">
    <vt:i4>0</vt:i4>
  </property>
</Properties>
</file>