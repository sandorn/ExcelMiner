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604"/>
  </bookViews>
  <sheets>
    <sheet name="指标统计" sheetId="5" r:id="rId1"/>
    <sheet name="预算执行汇总" sheetId="3" r:id="rId2"/>
    <sheet name="费用预算执行明细" sheetId="2" r:id="rId3"/>
    <sheet name="资本性支出计划与执行" sheetId="4" r:id="rId4"/>
  </sheets>
  <definedNames>
    <definedName name="_xlnm._FilterDatabase" localSheetId="2" hidden="1">费用预算执行明细!$A$3:$P$94</definedName>
    <definedName name="__xlfn.COUNTIFS" hidden="1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<sst xmlns="http://schemas.openxmlformats.org/spreadsheetml/2006/main" count="217" uniqueCount="151">
  <si>
    <t>福晟钱隆广场（福建）商业管理有限公司2026年经营指标统计表</t>
  </si>
  <si>
    <t>指标</t>
  </si>
  <si>
    <t>项目</t>
  </si>
  <si>
    <t>2026年预算</t>
  </si>
  <si>
    <t>2026年执行情况</t>
  </si>
  <si>
    <t>2026年实际</t>
  </si>
  <si>
    <t>执行率</t>
  </si>
  <si>
    <t>指标说明</t>
  </si>
  <si>
    <t>备注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</si>
  <si>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</si>
  <si>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</si>
  <si>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</si>
  <si>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</si>
  <si>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</si>
  <si>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</si>
  <si>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</si>
  <si>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</si>
  <si>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</si>
  <si>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</si>
  <si>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</si>
  <si>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</si>
  <si>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经营指标</t>
  </si>
  <si>
    <t>营业收入</t>
  </si>
  <si>
    <t>EBITDA/GOP/扣非净利润</t>
  </si>
  <si>
    <t>EBITDA（商写适用）/GOP（酒店适用）/扣非净利润（保险中介适用）</t>
  </si>
  <si>
    <t>经营活动净现金流</t>
  </si>
  <si>
    <t>其中专项法律诉讼费支出9万元、仲量物业监管账户结算收入50万元，应予以考核剔除。</t>
  </si>
  <si>
    <t>财务指标</t>
  </si>
  <si>
    <t>经营支出小计</t>
  </si>
  <si>
    <t>固定费用</t>
  </si>
  <si>
    <t>人力费用</t>
  </si>
  <si>
    <t>日常费用</t>
  </si>
  <si>
    <t>变动费用</t>
  </si>
  <si>
    <t>经营变动费用</t>
  </si>
  <si>
    <t>营业成本</t>
  </si>
  <si>
    <t>资本性支出</t>
  </si>
  <si>
    <t>业务指标</t>
  </si>
  <si>
    <t>期末出租率/月均入住率</t>
  </si>
  <si>
    <t>期末出租率(商写适用)/月均入住率(酒店适用)</t>
  </si>
  <si>
    <t>回款率</t>
  </si>
  <si>
    <t>商写及酒店适用</t>
  </si>
  <si>
    <t>OTA网络评价</t>
  </si>
  <si>
    <t>酒店适用</t>
  </si>
  <si>
    <t>期交规保</t>
  </si>
  <si>
    <t>保险中介适用</t>
  </si>
  <si>
    <t>13月继续率</t>
  </si>
  <si>
    <t>25月继续率</t>
  </si>
  <si>
    <t>EBITDA=营业收入-固定费用-变动费用-税金及附加+利息收入</t>
  </si>
  <si>
    <t>GOP=营业收入-固定费用-变动费用-财务费用（不含利息费用）</t>
  </si>
  <si>
    <t>需填列单元格</t>
  </si>
  <si>
    <t>福晟钱隆广场（福建）商业管理有限公司2026年预算执行情况汇总表</t>
  </si>
  <si>
    <t xml:space="preserve"> 固定费用</t>
  </si>
  <si>
    <t xml:space="preserve">  人力费用</t>
  </si>
  <si>
    <t xml:space="preserve">  日常费用</t>
  </si>
  <si>
    <t xml:space="preserve">  经营变动费用支出</t>
  </si>
  <si>
    <t xml:space="preserve">  营业成本支出</t>
  </si>
  <si>
    <t>折旧摊销</t>
  </si>
  <si>
    <t>财务费用</t>
  </si>
  <si>
    <t>税金及附加</t>
  </si>
  <si>
    <t>变动费用率</t>
  </si>
  <si>
    <t>EBITDA</t>
  </si>
  <si>
    <t>GOP</t>
  </si>
  <si>
    <t>福晟钱隆广场（福建）商业管理有限公司2026年预算执行情况明细表</t>
  </si>
  <si>
    <t>2026年预算执行情况</t>
  </si>
  <si>
    <t xml:space="preserve">    人力费用支出合计</t>
  </si>
  <si>
    <t>固定工资</t>
  </si>
  <si>
    <t>奖金</t>
  </si>
  <si>
    <t>福利费</t>
  </si>
  <si>
    <t>五险一金</t>
  </si>
  <si>
    <t>残疾人就业保障金</t>
  </si>
  <si>
    <t>工会经费</t>
  </si>
  <si>
    <t>辞退补偿</t>
  </si>
  <si>
    <t>招聘费</t>
  </si>
  <si>
    <t>其他人力费用</t>
  </si>
  <si>
    <t xml:space="preserve">    日常费用支出合计</t>
  </si>
  <si>
    <t xml:space="preserve">        职场费用合计</t>
  </si>
  <si>
    <t>物业费</t>
  </si>
  <si>
    <t>取暖供冷费</t>
  </si>
  <si>
    <t>房屋租赁费</t>
  </si>
  <si>
    <t>水电费</t>
  </si>
  <si>
    <t>财产保险费</t>
  </si>
  <si>
    <t xml:space="preserve">         办公费用合计</t>
  </si>
  <si>
    <t>差旅费</t>
  </si>
  <si>
    <t>业务招待费</t>
  </si>
  <si>
    <t>邮寄费</t>
  </si>
  <si>
    <t>汽车费</t>
  </si>
  <si>
    <t>低值易耗品</t>
  </si>
  <si>
    <t>设备修理费</t>
  </si>
  <si>
    <t>通讯费</t>
  </si>
  <si>
    <t>市内交通费</t>
  </si>
  <si>
    <t>办公杂费</t>
  </si>
  <si>
    <t>会议费</t>
  </si>
  <si>
    <t>培训费</t>
  </si>
  <si>
    <t>广告宣传费</t>
  </si>
  <si>
    <t>咨询服务费</t>
  </si>
  <si>
    <t>法律诉讼费</t>
  </si>
  <si>
    <t>研究开发费</t>
  </si>
  <si>
    <t>质检认证费</t>
  </si>
  <si>
    <t>排污费</t>
  </si>
  <si>
    <t>信息系统费</t>
  </si>
  <si>
    <t>开办费</t>
  </si>
  <si>
    <t>其他</t>
  </si>
  <si>
    <t xml:space="preserve">    经营变动费用支出合计</t>
  </si>
  <si>
    <t xml:space="preserve">        业务费用合计</t>
  </si>
  <si>
    <t>临时工及劳务外包</t>
  </si>
  <si>
    <t>宿舍租赁费</t>
  </si>
  <si>
    <t xml:space="preserve">       佣金及代理费合计</t>
  </si>
  <si>
    <t>销售代理费</t>
  </si>
  <si>
    <t>销售佣金</t>
  </si>
  <si>
    <t xml:space="preserve">    营业成本支出合计</t>
  </si>
  <si>
    <t xml:space="preserve">       客房成本合计</t>
  </si>
  <si>
    <t>客房用品损耗支出</t>
  </si>
  <si>
    <t>客房水电能源支出</t>
  </si>
  <si>
    <t>客房布草等物品清洁支出</t>
  </si>
  <si>
    <t>客房设备维修支出</t>
  </si>
  <si>
    <t>其他与客房直接相关的支出</t>
  </si>
  <si>
    <t xml:space="preserve">       餐饮成本合计</t>
  </si>
  <si>
    <t>餐饮食材支出</t>
  </si>
  <si>
    <t>餐饮水电燃气支出</t>
  </si>
  <si>
    <t>餐饮设备维修支出</t>
  </si>
  <si>
    <t>其他与餐饮直接相关的支出</t>
  </si>
  <si>
    <t xml:space="preserve">      会议成本合计</t>
  </si>
  <si>
    <t>会议设备支出</t>
  </si>
  <si>
    <t>其他与会议直接相关的支出</t>
  </si>
  <si>
    <t>折旧摊销小计</t>
  </si>
  <si>
    <t>固定资产折旧</t>
  </si>
  <si>
    <t>无形资产摊销</t>
  </si>
  <si>
    <t>投资性房地产折旧</t>
  </si>
  <si>
    <t>长期待摊费用摊销</t>
  </si>
  <si>
    <t>财务费用小计</t>
  </si>
  <si>
    <t>利息支出</t>
  </si>
  <si>
    <t>利息收入</t>
  </si>
  <si>
    <t>银行手续费</t>
  </si>
  <si>
    <t>其他财务费用</t>
  </si>
  <si>
    <t>担保费</t>
  </si>
  <si>
    <t>福晟钱隆广场（福建）商业管理有限公司2026年资本性支出执行情况明细表</t>
  </si>
  <si>
    <t>资产类别</t>
  </si>
  <si>
    <t>资产类型</t>
  </si>
  <si>
    <t>资产名称</t>
  </si>
  <si>
    <t>数量</t>
  </si>
  <si>
    <t>单价</t>
  </si>
  <si>
    <t>金额</t>
  </si>
  <si>
    <t>固定资产</t>
  </si>
  <si>
    <t>电器设备</t>
  </si>
  <si>
    <t>空气净化器</t>
  </si>
  <si>
    <t>其他长期支出</t>
  </si>
  <si>
    <t>长期待摊费用</t>
  </si>
  <si>
    <t>小户型装修改造</t>
  </si>
  <si>
    <t>2楼装修</t>
  </si>
  <si>
    <t>资本性支出合计</t>
  </si>
  <si>
    <t>需填列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</si>
</sst>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[$€-2]* #,##0.00_-;\-[$€-2]* #,##0.00_-;_-[$€-2]* &quot;-&quot;??_-"/>
    <numFmt numFmtId="177" formatCode="_(* #,##0.00_);_(* \(#,##0.00\);_(* &quot;-&quot;??_);_(@_)"/>
    <numFmt numFmtId="178" formatCode="[$USD]\ #,##0.00;[Red][$USD]\ \-#,##0.00"/>
    <numFmt numFmtId="179" formatCode="yyyy&quot;年&quot;m&quot;月&quot;;@"/>
    <numFmt numFmtId="180" formatCode="_ * #,##0.00%_ ;[Red]_ * \-#,##0.00%_ ;_ * &quot;-&quot;??_ ;_ @_ "/>
    <numFmt numFmtId="181" formatCode="_ * #,##0.00_ ;[Red]_ * \-#,##0.00_ ;_ * &quot;-&quot;??_ ;_ @_ "/>
  </numFmts>
  <fonts count="57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4"/>
      <color theme="1"/>
      <name val="微软雅黑"/>
      <charset val="134"/>
    </font>
    <font>
      <b/>
      <sz val="11"/>
      <color theme="0"/>
      <name val="微软雅黑"/>
      <charset val="134"/>
    </font>
    <font>
      <b/>
      <sz val="10"/>
      <name val="微软雅黑"/>
      <charset val="134"/>
    </font>
    <font>
      <b/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0"/>
      <name val="宋体"/>
      <charset val="134"/>
      <scheme val="minor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12"/>
      <color theme="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9"/>
      <name val="微软雅黑"/>
      <charset val="134"/>
    </font>
    <font>
      <b/>
      <sz val="9"/>
      <name val="宋体"/>
      <charset val="134"/>
      <scheme val="minor"/>
    </font>
    <font>
      <b/>
      <sz val="9"/>
      <color theme="1"/>
      <name val="微软雅黑"/>
      <charset val="134"/>
    </font>
    <font>
      <b/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b/>
      <sz val="12"/>
      <name val="微软雅黑"/>
      <charset val="134"/>
    </font>
    <font>
      <b/>
      <sz val="10"/>
      <color theme="0"/>
      <name val="微软雅黑"/>
      <charset val="134"/>
    </font>
    <font>
      <b/>
      <sz val="10"/>
      <color rgb="FF000000"/>
      <name val="微软雅黑"/>
      <charset val="134"/>
    </font>
    <font>
      <b/>
      <sz val="8"/>
      <color theme="1"/>
      <name val="微软雅黑"/>
      <charset val="134"/>
    </font>
    <font>
      <sz val="8"/>
      <color theme="1"/>
      <name val="微软雅黑"/>
      <charset val="134"/>
    </font>
    <font>
      <sz val="10"/>
      <color rgb="FF000000"/>
      <name val="微软雅黑"/>
      <charset val="134"/>
    </font>
    <font>
      <sz val="8"/>
      <name val="微软雅黑"/>
      <charset val="134"/>
    </font>
    <font>
      <sz val="10"/>
      <color theme="1"/>
      <name val="等距更纱黑体 Slab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等线"/>
      <charset val="134"/>
    </font>
    <font>
      <sz val="12"/>
      <name val="Arial"/>
      <charset val="134"/>
    </font>
    <font>
      <sz val="12"/>
      <name val="宋体"/>
      <charset val="134"/>
    </font>
    <font>
      <sz val="12"/>
      <name val="Times New Roman"/>
      <charset val="134"/>
    </font>
    <font>
      <sz val="11"/>
      <name val="宋体"/>
      <charset val="1"/>
    </font>
  </fonts>
  <fills count="4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32" fillId="0" borderId="0" applyFont="0" applyFill="0" applyBorder="0" applyAlignment="0" applyProtection="0">
      <alignment vertical="center"/>
    </xf>
    <xf numFmtId="44" fontId="32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2" fillId="11" borderId="12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40" fillId="0" borderId="14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2" borderId="15" applyNumberFormat="0" applyAlignment="0" applyProtection="0">
      <alignment vertical="center"/>
    </xf>
    <xf numFmtId="0" fontId="42" fillId="13" borderId="16" applyNumberFormat="0" applyAlignment="0" applyProtection="0">
      <alignment vertical="center"/>
    </xf>
    <xf numFmtId="0" fontId="43" fillId="13" borderId="15" applyNumberFormat="0" applyAlignment="0" applyProtection="0">
      <alignment vertical="center"/>
    </xf>
    <xf numFmtId="0" fontId="44" fillId="14" borderId="17" applyNumberFormat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6" fillId="0" borderId="19" applyNumberFormat="0" applyFill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0" fillId="40" borderId="0" applyNumberFormat="0" applyBorder="0" applyAlignment="0" applyProtection="0">
      <alignment vertical="center"/>
    </xf>
    <xf numFmtId="176" fontId="52" fillId="0" borderId="0">
      <alignment vertical="center"/>
    </xf>
    <xf numFmtId="0" fontId="53" fillId="0" borderId="0"/>
    <xf numFmtId="176" fontId="52" fillId="0" borderId="0">
      <alignment vertical="center"/>
    </xf>
    <xf numFmtId="176" fontId="54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7" fontId="52" fillId="0" borderId="0" applyFont="0" applyBorder="0" applyAlignment="0" applyProtection="0">
      <alignment vertical="center"/>
    </xf>
    <xf numFmtId="178" fontId="55" fillId="0" borderId="0"/>
    <xf numFmtId="0" fontId="56" fillId="0" borderId="0">
      <alignment vertical="top"/>
      <protection locked="0"/>
    </xf>
  </cellStyleXfs>
  <cellXfs count="9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1" xfId="53" applyNumberFormat="1" applyFont="1" applyFill="1" applyBorder="1" applyAlignment="1">
      <alignment horizontal="center" vertical="center" wrapText="1"/>
    </xf>
    <xf numFmtId="0" fontId="4" fillId="2" borderId="1" xfId="53" applyNumberFormat="1" applyFont="1" applyFill="1" applyBorder="1" applyAlignment="1">
      <alignment horizontal="center" vertical="center"/>
    </xf>
    <xf numFmtId="0" fontId="5" fillId="0" borderId="1" xfId="53" applyNumberFormat="1" applyFont="1" applyFill="1" applyBorder="1" applyAlignment="1">
      <alignment horizontal="center" vertical="center" wrapText="1"/>
    </xf>
    <xf numFmtId="43" fontId="5" fillId="3" borderId="1" xfId="53" applyFont="1" applyFill="1" applyBorder="1" applyAlignment="1">
      <alignment horizontal="left" vertical="center"/>
    </xf>
    <xf numFmtId="43" fontId="5" fillId="3" borderId="1" xfId="53" applyFont="1" applyFill="1" applyBorder="1" applyAlignment="1">
      <alignment horizontal="center" vertical="center"/>
    </xf>
    <xf numFmtId="0" fontId="6" fillId="4" borderId="1" xfId="53" applyNumberFormat="1" applyFont="1" applyFill="1" applyBorder="1" applyAlignment="1">
      <alignment horizontal="center"/>
    </xf>
    <xf numFmtId="0" fontId="6" fillId="5" borderId="1" xfId="53" applyNumberFormat="1" applyFont="1" applyFill="1" applyBorder="1" applyAlignment="1"/>
    <xf numFmtId="0" fontId="7" fillId="0" borderId="0" xfId="0" applyFont="1">
      <alignment vertical="center"/>
    </xf>
    <xf numFmtId="0" fontId="7" fillId="3" borderId="0" xfId="0" applyFont="1" applyFill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10" fontId="10" fillId="0" borderId="0" xfId="3" applyNumberFormat="1" applyFont="1">
      <alignment vertical="center"/>
    </xf>
    <xf numFmtId="10" fontId="3" fillId="0" borderId="0" xfId="3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 wrapText="1"/>
    </xf>
    <xf numFmtId="179" fontId="4" fillId="2" borderId="1" xfId="0" applyNumberFormat="1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/>
    </xf>
    <xf numFmtId="179" fontId="4" fillId="2" borderId="2" xfId="0" applyNumberFormat="1" applyFont="1" applyFill="1" applyBorder="1" applyAlignment="1">
      <alignment horizontal="center" vertical="center"/>
    </xf>
    <xf numFmtId="179" fontId="4" fillId="2" borderId="3" xfId="0" applyNumberFormat="1" applyFont="1" applyFill="1" applyBorder="1" applyAlignment="1">
      <alignment horizontal="center" vertical="center"/>
    </xf>
    <xf numFmtId="43" fontId="6" fillId="6" borderId="1" xfId="0" applyNumberFormat="1" applyFont="1" applyFill="1" applyBorder="1">
      <alignment vertical="center"/>
    </xf>
    <xf numFmtId="10" fontId="6" fillId="6" borderId="1" xfId="3" applyNumberFormat="1" applyFont="1" applyFill="1" applyBorder="1">
      <alignment vertical="center"/>
    </xf>
    <xf numFmtId="43" fontId="5" fillId="6" borderId="1" xfId="0" applyNumberFormat="1" applyFont="1" applyFill="1" applyBorder="1">
      <alignment vertical="center"/>
    </xf>
    <xf numFmtId="43" fontId="11" fillId="7" borderId="1" xfId="0" applyNumberFormat="1" applyFont="1" applyFill="1" applyBorder="1" applyAlignment="1">
      <alignment vertical="center"/>
    </xf>
    <xf numFmtId="43" fontId="11" fillId="3" borderId="1" xfId="0" applyNumberFormat="1" applyFont="1" applyFill="1" applyBorder="1">
      <alignment vertical="center"/>
    </xf>
    <xf numFmtId="43" fontId="12" fillId="3" borderId="1" xfId="0" applyNumberFormat="1" applyFont="1" applyFill="1" applyBorder="1">
      <alignment vertical="center"/>
    </xf>
    <xf numFmtId="43" fontId="11" fillId="5" borderId="1" xfId="0" applyNumberFormat="1" applyFont="1" applyFill="1" applyBorder="1">
      <alignment vertical="center"/>
    </xf>
    <xf numFmtId="10" fontId="11" fillId="5" borderId="1" xfId="3" applyNumberFormat="1" applyFont="1" applyFill="1" applyBorder="1">
      <alignment vertical="center"/>
    </xf>
    <xf numFmtId="4" fontId="10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10" fontId="0" fillId="0" borderId="0" xfId="3" applyNumberFormat="1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6" fillId="6" borderId="1" xfId="0" applyFont="1" applyFill="1" applyBorder="1">
      <alignment vertical="center"/>
    </xf>
    <xf numFmtId="43" fontId="6" fillId="3" borderId="1" xfId="0" applyNumberFormat="1" applyFont="1" applyFill="1" applyBorder="1">
      <alignment vertical="center"/>
    </xf>
    <xf numFmtId="0" fontId="11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43" fontId="5" fillId="3" borderId="1" xfId="0" applyNumberFormat="1" applyFont="1" applyFill="1" applyBorder="1">
      <alignment vertical="center"/>
    </xf>
    <xf numFmtId="0" fontId="20" fillId="0" borderId="0" xfId="0" applyFont="1">
      <alignment vertical="center"/>
    </xf>
    <xf numFmtId="43" fontId="21" fillId="0" borderId="0" xfId="0" applyNumberFormat="1" applyFont="1">
      <alignment vertical="center"/>
    </xf>
    <xf numFmtId="0" fontId="21" fillId="0" borderId="0" xfId="0" applyFont="1">
      <alignment vertical="center"/>
    </xf>
    <xf numFmtId="10" fontId="21" fillId="0" borderId="0" xfId="3" applyNumberFormat="1" applyFont="1">
      <alignment vertical="center"/>
    </xf>
    <xf numFmtId="0" fontId="11" fillId="0" borderId="1" xfId="0" applyFont="1" applyBorder="1">
      <alignment vertical="center"/>
    </xf>
    <xf numFmtId="10" fontId="6" fillId="0" borderId="1" xfId="3" applyNumberFormat="1" applyFont="1" applyBorder="1">
      <alignment vertical="center"/>
    </xf>
    <xf numFmtId="0" fontId="6" fillId="6" borderId="4" xfId="0" applyFont="1" applyFill="1" applyBorder="1">
      <alignment vertical="center"/>
    </xf>
    <xf numFmtId="43" fontId="6" fillId="6" borderId="5" xfId="0" applyNumberFormat="1" applyFont="1" applyFill="1" applyBorder="1">
      <alignment vertical="center"/>
    </xf>
    <xf numFmtId="43" fontId="6" fillId="6" borderId="6" xfId="0" applyNumberFormat="1" applyFont="1" applyFill="1" applyBorder="1">
      <alignment vertical="center"/>
    </xf>
    <xf numFmtId="43" fontId="6" fillId="6" borderId="7" xfId="0" applyNumberFormat="1" applyFont="1" applyFill="1" applyBorder="1">
      <alignment vertical="center"/>
    </xf>
    <xf numFmtId="43" fontId="6" fillId="6" borderId="8" xfId="0" applyNumberFormat="1" applyFont="1" applyFill="1" applyBorder="1">
      <alignment vertical="center"/>
    </xf>
    <xf numFmtId="10" fontId="7" fillId="0" borderId="0" xfId="3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10" fontId="26" fillId="2" borderId="1" xfId="3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left" vertical="center" wrapText="1"/>
    </xf>
    <xf numFmtId="180" fontId="6" fillId="6" borderId="1" xfId="3" applyNumberFormat="1" applyFont="1" applyFill="1" applyBorder="1">
      <alignment vertical="center"/>
    </xf>
    <xf numFmtId="0" fontId="28" fillId="0" borderId="1" xfId="0" applyFont="1" applyBorder="1" applyAlignment="1">
      <alignment vertical="center" wrapText="1"/>
    </xf>
    <xf numFmtId="10" fontId="23" fillId="0" borderId="0" xfId="3" applyNumberFormat="1" applyFont="1">
      <alignment vertical="center"/>
    </xf>
    <xf numFmtId="0" fontId="6" fillId="8" borderId="10" xfId="0" applyFont="1" applyFill="1" applyBorder="1" applyAlignment="1">
      <alignment horizontal="center" vertical="center"/>
    </xf>
    <xf numFmtId="0" fontId="29" fillId="0" borderId="1" xfId="0" applyFont="1" applyBorder="1" applyAlignment="1">
      <alignment vertical="center" wrapText="1"/>
    </xf>
    <xf numFmtId="0" fontId="6" fillId="8" borderId="11" xfId="0" applyFont="1" applyFill="1" applyBorder="1" applyAlignment="1">
      <alignment horizontal="center" vertical="center"/>
    </xf>
    <xf numFmtId="43" fontId="6" fillId="9" borderId="1" xfId="0" applyNumberFormat="1" applyFont="1" applyFill="1" applyBorder="1">
      <alignment vertical="center"/>
    </xf>
    <xf numFmtId="0" fontId="6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27" fillId="8" borderId="1" xfId="0" applyFont="1" applyFill="1" applyBorder="1" applyAlignment="1">
      <alignment horizontal="left" vertical="center" wrapText="1" indent="1"/>
    </xf>
    <xf numFmtId="0" fontId="30" fillId="8" borderId="1" xfId="0" applyFont="1" applyFill="1" applyBorder="1" applyAlignment="1">
      <alignment horizontal="left" vertical="center" wrapText="1" indent="2"/>
    </xf>
    <xf numFmtId="43" fontId="11" fillId="8" borderId="1" xfId="0" applyNumberFormat="1" applyFont="1" applyFill="1" applyBorder="1">
      <alignment vertical="center"/>
    </xf>
    <xf numFmtId="43" fontId="6" fillId="8" borderId="1" xfId="0" applyNumberFormat="1" applyFont="1" applyFill="1" applyBorder="1">
      <alignment vertical="center"/>
    </xf>
    <xf numFmtId="4" fontId="24" fillId="0" borderId="0" xfId="0" applyNumberFormat="1" applyFont="1">
      <alignment vertical="center"/>
    </xf>
    <xf numFmtId="0" fontId="6" fillId="6" borderId="11" xfId="0" applyFont="1" applyFill="1" applyBorder="1" applyAlignment="1">
      <alignment horizontal="center" vertical="center"/>
    </xf>
    <xf numFmtId="0" fontId="31" fillId="0" borderId="1" xfId="0" applyFont="1" applyBorder="1" applyAlignment="1">
      <alignment vertical="center" wrapText="1"/>
    </xf>
    <xf numFmtId="0" fontId="27" fillId="8" borderId="1" xfId="0" applyFont="1" applyFill="1" applyBorder="1" applyAlignment="1">
      <alignment horizontal="center" vertical="center" wrapText="1"/>
    </xf>
    <xf numFmtId="180" fontId="21" fillId="10" borderId="1" xfId="0" applyNumberFormat="1" applyFont="1" applyFill="1" applyBorder="1">
      <alignment vertical="center"/>
    </xf>
    <xf numFmtId="180" fontId="21" fillId="9" borderId="1" xfId="0" applyNumberFormat="1" applyFont="1" applyFill="1" applyBorder="1">
      <alignment vertical="center"/>
    </xf>
    <xf numFmtId="181" fontId="21" fillId="10" borderId="1" xfId="0" applyNumberFormat="1" applyFont="1" applyFill="1" applyBorder="1">
      <alignment vertical="center"/>
    </xf>
    <xf numFmtId="181" fontId="21" fillId="9" borderId="1" xfId="0" applyNumberFormat="1" applyFont="1" applyFill="1" applyBorder="1">
      <alignment vertical="center"/>
    </xf>
    <xf numFmtId="181" fontId="6" fillId="6" borderId="1" xfId="3" applyNumberFormat="1" applyFont="1" applyFill="1" applyBorder="1">
      <alignment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 2 3" xfId="49"/>
    <cellStyle name="常规 2" xfId="50"/>
    <cellStyle name="常规 2 2 2 5" xfId="51"/>
    <cellStyle name="常规 7 3" xfId="52"/>
    <cellStyle name="千位分隔 17" xfId="53"/>
    <cellStyle name="千位分隔 2 2 6" xfId="54"/>
    <cellStyle name="常规_2007年长沙公司预算（核定稿20070319） (2)" xfId="55"/>
    <cellStyle name="Normal" xfId="56"/>
  </cellStyles>
  <tableStyles count="0" defaultTableStyle="TableStyleMedium2" defaultPivotStyle="PivotStyleLight16"/>
  <colors>
    <mruColors>
      <color rgb="00FCE4D6"/>
      <color rgb="00BDD7E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tabSelected="1" zoomScale="90" zoomScaleNormal="90" workbookViewId="0">
      <pane xSplit="3" ySplit="3" topLeftCell="D4" activePane="bottomRight" state="frozen"/>
      <selection/>
      <selection pane="topRight"/>
      <selection pane="bottomLeft"/>
      <selection pane="bottomRight" activeCell="S8" sqref="S8"/>
    </sheetView>
  </sheetViews>
  <sheetFormatPr defaultColWidth="8.90833333333333" defaultRowHeight="16" customHeight="1"/>
  <cols>
    <col min="1" max="1" width="8.90833333333333" style="12" customWidth="1"/>
    <col min="2" max="2" width="20.9666666666667" style="12" customWidth="1"/>
    <col min="3" max="3" width="16.725" style="12" customWidth="1"/>
    <col min="4" max="5" width="10.6333333333333" style="12" customWidth="1"/>
    <col min="6" max="6" width="10.275" style="12" customWidth="1"/>
    <col min="7" max="7" width="10.6333333333333" style="12" customWidth="1"/>
    <col min="8" max="15" width="8.33333333333333" style="12" customWidth="1"/>
    <col min="16" max="16" width="12.4583333333333" style="12" customWidth="1"/>
    <col min="17" max="17" width="13.9083333333333" style="59" customWidth="1"/>
    <col min="18" max="18" width="23.75" style="12" customWidth="1"/>
    <col min="19" max="19" width="52.3583333333333" style="12" customWidth="1"/>
    <col min="20" max="20" width="10.375" style="12"/>
    <col min="21" max="21" width="10.8333333333333" style="12" customWidth="1"/>
    <col min="22" max="22" width="10" style="12"/>
    <col min="23" max="23" width="8.2" style="12" customWidth="1"/>
  </cols>
  <sheetData>
    <row r="1" s="62" customFormat="1" ht="36" customHeight="1" spans="1:2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="63" customFormat="1" ht="25" customHeight="1" spans="1:23">
      <c r="A2" s="19" t="s">
        <v>1</v>
      </c>
      <c r="B2" s="19" t="s">
        <v>2</v>
      </c>
      <c r="C2" s="19" t="s">
        <v>3</v>
      </c>
      <c r="D2" s="20" t="s">
        <v>4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19" t="s">
        <v>5</v>
      </c>
      <c r="Q2" s="22" t="s">
        <v>6</v>
      </c>
      <c r="R2" s="67" t="s">
        <v>7</v>
      </c>
      <c r="S2" s="67" t="s">
        <v>8</v>
      </c>
      <c r="T2" s="68"/>
      <c r="U2" s="68"/>
      <c r="V2" s="69"/>
      <c r="W2" s="68"/>
    </row>
    <row r="3" s="63" customFormat="1" ht="25" customHeight="1" spans="1:23">
      <c r="A3" s="19"/>
      <c r="B3" s="19"/>
      <c r="C3" s="19"/>
      <c r="D3" s="21" t="s">
        <v>9</v>
      </c>
      <c r="E3" s="21" t="s">
        <v>10</v>
      </c>
      <c r="F3" s="21" t="s">
        <v>11</v>
      </c>
      <c r="G3" s="21" t="s">
        <v>12</v>
      </c>
      <c r="H3" s="21" t="s">
        <v>13</v>
      </c>
      <c r="I3" s="21" t="s">
        <v>14</v>
      </c>
      <c r="J3" s="21" t="s">
        <v>15</v>
      </c>
      <c r="K3" s="21" t="s">
        <v>16</v>
      </c>
      <c r="L3" s="21" t="s">
        <v>17</v>
      </c>
      <c r="M3" s="21" t="s">
        <v>18</v>
      </c>
      <c r="N3" s="21" t="s">
        <v>19</v>
      </c>
      <c r="O3" s="21" t="s">
        <v>20</v>
      </c>
      <c r="P3" s="19"/>
      <c r="Q3" s="22"/>
      <c r="R3" s="67"/>
      <c r="S3" s="67"/>
      <c r="T3" s="68"/>
      <c r="U3" s="68"/>
      <c r="V3" s="69"/>
      <c r="W3" s="68"/>
    </row>
    <row r="4" s="64" customFormat="1" ht="29" customHeight="1" spans="1:23">
      <c r="A4" s="70" t="s">
        <v>21</v>
      </c>
      <c r="B4" s="71" t="s">
        <v>22</v>
      </c>
      <c r="C4" s="25">
        <f>预算执行汇总!B4</f>
        <v>8453.02</v>
      </c>
      <c r="D4" s="25" cm="1">
        <f t="array" ref="D4:O4">预算执行汇总!C4:N4</f>
        <v>519.185934</v>
      </c>
      <c r="E4" s="25">
        <v>532.971536</v>
      </c>
      <c r="F4" s="25">
        <v>517.251925</v>
      </c>
      <c r="G4" s="25">
        <v>925.592213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  <c r="N4" s="25">
        <v>0</v>
      </c>
      <c r="O4" s="25">
        <v>0</v>
      </c>
      <c r="P4" s="25">
        <f>SUM(D4:O4)</f>
        <v>2495.001608</v>
      </c>
      <c r="Q4" s="72">
        <f>IFERROR((P4-C4)/ABS(C4)+1,)</f>
        <v>0.295160973001365</v>
      </c>
      <c r="R4" s="73"/>
      <c r="S4" s="73"/>
      <c r="T4" s="64"/>
      <c r="U4" s="64"/>
      <c r="V4" s="74"/>
    </row>
    <row r="5" s="64" customFormat="1" ht="29" customHeight="1" spans="1:23">
      <c r="A5" s="75"/>
      <c r="B5" s="71" t="s">
        <v>23</v>
      </c>
      <c r="C5" s="44">
        <f>预算执行汇总!B18</f>
        <v>4484.05</v>
      </c>
      <c r="D5" s="44">
        <f>预算执行汇总!C18</f>
        <v>390.207468</v>
      </c>
      <c r="E5" s="44">
        <f>预算执行汇总!D18</f>
        <v>411.250726</v>
      </c>
      <c r="F5" s="44">
        <f>预算执行汇总!E18</f>
        <v>392.543692</v>
      </c>
      <c r="G5" s="44">
        <f>预算执行汇总!F18</f>
        <v>544.20433</v>
      </c>
      <c r="H5" s="44">
        <f>预算执行汇总!G18</f>
        <v>0</v>
      </c>
      <c r="I5" s="44">
        <f>预算执行汇总!H18</f>
        <v>0</v>
      </c>
      <c r="J5" s="44">
        <f>预算执行汇总!I18</f>
        <v>0</v>
      </c>
      <c r="K5" s="44">
        <f>预算执行汇总!J18</f>
        <v>0</v>
      </c>
      <c r="L5" s="44">
        <f>预算执行汇总!K18</f>
        <v>0</v>
      </c>
      <c r="M5" s="44">
        <f>预算执行汇总!L18</f>
        <v>0</v>
      </c>
      <c r="N5" s="44">
        <f>预算执行汇总!M18</f>
        <v>0</v>
      </c>
      <c r="O5" s="44">
        <f>预算执行汇总!N18</f>
        <v>0</v>
      </c>
      <c r="P5" s="25">
        <f t="shared" ref="P5:P14" si="0">SUM(D5:O5)</f>
        <v>1738.206216</v>
      </c>
      <c r="Q5" s="72">
        <f t="shared" ref="Q5:Q14" si="1">IFERROR(P5/C5,)</f>
        <v>0.387642023617043</v>
      </c>
      <c r="R5" s="76" t="s">
        <v>24</v>
      </c>
      <c r="S5" s="76"/>
      <c r="T5" s="64"/>
      <c r="U5" s="64"/>
      <c r="V5" s="74"/>
      <c r="W5" s="74"/>
    </row>
    <row r="6" s="64" customFormat="1" ht="29" customHeight="1" spans="1:23">
      <c r="A6" s="77"/>
      <c r="B6" s="71" t="s">
        <v>25</v>
      </c>
      <c r="C6" s="44">
        <v>1168.95</v>
      </c>
      <c r="D6" s="44">
        <v>501.215726</v>
      </c>
      <c r="E6" s="78">
        <v>344.23802</v>
      </c>
      <c r="F6" s="44">
        <v>920.004337</v>
      </c>
      <c r="G6" s="44">
        <v>323.902081</v>
      </c>
      <c r="H6" s="44"/>
      <c r="I6" s="44"/>
      <c r="J6" s="44"/>
      <c r="K6" s="44"/>
      <c r="L6" s="44"/>
      <c r="M6" s="44"/>
      <c r="N6" s="44"/>
      <c r="O6" s="44"/>
      <c r="P6" s="25">
        <f t="shared" si="0"/>
        <v>2089.360164</v>
      </c>
      <c r="Q6" s="72">
        <f t="shared" si="1"/>
        <v>1.78738197869883</v>
      </c>
      <c r="R6" s="76"/>
      <c r="S6" s="76" t="s">
        <v>26</v>
      </c>
      <c r="T6" s="64"/>
      <c r="U6" s="64"/>
      <c r="V6" s="74"/>
    </row>
    <row r="7" s="64" customFormat="1" ht="29" customHeight="1" spans="1:23">
      <c r="A7" s="79" t="s">
        <v>27</v>
      </c>
      <c r="B7" s="71" t="s">
        <v>28</v>
      </c>
      <c r="C7" s="25" cm="1">
        <f t="array" ref="C7:C14">预算执行汇总!B5:B12</f>
        <v>2883.81</v>
      </c>
      <c r="D7" s="25" cm="1">
        <f t="array" ref="D7:O14">预算执行汇总!C5:N12</f>
        <v>36.843094</v>
      </c>
      <c r="E7" s="25">
        <v>30.590467</v>
      </c>
      <c r="F7" s="25">
        <v>37.133258</v>
      </c>
      <c r="G7" s="25">
        <v>293.517091</v>
      </c>
      <c r="H7" s="25">
        <v>0</v>
      </c>
      <c r="I7" s="25">
        <v>0</v>
      </c>
      <c r="J7" s="25">
        <v>0</v>
      </c>
      <c r="K7" s="25">
        <v>0</v>
      </c>
      <c r="L7" s="25">
        <v>0</v>
      </c>
      <c r="M7" s="25">
        <v>0</v>
      </c>
      <c r="N7" s="25">
        <v>0</v>
      </c>
      <c r="O7" s="25">
        <v>0</v>
      </c>
      <c r="P7" s="25">
        <f t="shared" si="0"/>
        <v>398.08391</v>
      </c>
      <c r="Q7" s="72">
        <f t="shared" si="1"/>
        <v>0.13804096317025</v>
      </c>
      <c r="R7" s="73"/>
      <c r="S7" s="73"/>
      <c r="T7" s="64"/>
      <c r="U7" s="64"/>
      <c r="V7" s="74"/>
      <c r="W7" s="74"/>
    </row>
    <row r="8" s="64" customFormat="1" ht="29" customHeight="1" spans="1:23">
      <c r="A8" s="80"/>
      <c r="B8" s="81" t="s">
        <v>29</v>
      </c>
      <c r="C8" s="25">
        <v>2810.76</v>
      </c>
      <c r="D8" s="25">
        <v>35.522094</v>
      </c>
      <c r="E8" s="25">
        <v>26.958767</v>
      </c>
      <c r="F8" s="25">
        <v>27.930338</v>
      </c>
      <c r="G8" s="25">
        <v>293.040351</v>
      </c>
      <c r="H8" s="25">
        <v>0</v>
      </c>
      <c r="I8" s="25">
        <v>0</v>
      </c>
      <c r="J8" s="25">
        <v>0</v>
      </c>
      <c r="K8" s="25">
        <v>0</v>
      </c>
      <c r="L8" s="25">
        <v>0</v>
      </c>
      <c r="M8" s="25">
        <v>0</v>
      </c>
      <c r="N8" s="25">
        <v>0</v>
      </c>
      <c r="O8" s="25">
        <v>0</v>
      </c>
      <c r="P8" s="25">
        <f t="shared" si="0"/>
        <v>383.45155</v>
      </c>
      <c r="Q8" s="72">
        <f t="shared" si="1"/>
        <v>0.136422729083949</v>
      </c>
      <c r="R8" s="73"/>
      <c r="S8" s="76"/>
      <c r="T8" s="64"/>
      <c r="U8" s="64"/>
      <c r="V8" s="74"/>
      <c r="W8" s="74"/>
    </row>
    <row r="9" s="65" customFormat="1" ht="29" customHeight="1" spans="1:23">
      <c r="A9" s="80"/>
      <c r="B9" s="82" t="s">
        <v>30</v>
      </c>
      <c r="C9" s="83">
        <v>295.69</v>
      </c>
      <c r="D9" s="83">
        <v>22.264558</v>
      </c>
      <c r="E9" s="83">
        <v>22.38943</v>
      </c>
      <c r="F9" s="83">
        <v>22.990727</v>
      </c>
      <c r="G9" s="83">
        <v>21.718834</v>
      </c>
      <c r="H9" s="83">
        <v>0</v>
      </c>
      <c r="I9" s="83">
        <v>0</v>
      </c>
      <c r="J9" s="83">
        <v>0</v>
      </c>
      <c r="K9" s="83">
        <v>0</v>
      </c>
      <c r="L9" s="83">
        <v>0</v>
      </c>
      <c r="M9" s="83">
        <v>0</v>
      </c>
      <c r="N9" s="83">
        <v>0</v>
      </c>
      <c r="O9" s="83">
        <v>0</v>
      </c>
      <c r="P9" s="25">
        <f t="shared" si="0"/>
        <v>89.363549</v>
      </c>
      <c r="Q9" s="72">
        <f t="shared" si="1"/>
        <v>0.302220396361054</v>
      </c>
      <c r="R9" s="76"/>
      <c r="S9" s="76"/>
      <c r="T9" s="64"/>
      <c r="U9" s="64"/>
      <c r="V9" s="74"/>
      <c r="W9" s="74"/>
    </row>
    <row r="10" s="65" customFormat="1" ht="29" customHeight="1" spans="1:23">
      <c r="A10" s="80"/>
      <c r="B10" s="82" t="s">
        <v>31</v>
      </c>
      <c r="C10" s="83">
        <v>2515.07</v>
      </c>
      <c r="D10" s="83">
        <v>13.257536</v>
      </c>
      <c r="E10" s="83">
        <v>4.569337</v>
      </c>
      <c r="F10" s="83">
        <v>4.939611</v>
      </c>
      <c r="G10" s="83">
        <v>271.321517</v>
      </c>
      <c r="H10" s="83">
        <v>0</v>
      </c>
      <c r="I10" s="83">
        <v>0</v>
      </c>
      <c r="J10" s="83">
        <v>0</v>
      </c>
      <c r="K10" s="83">
        <v>0</v>
      </c>
      <c r="L10" s="83">
        <v>0</v>
      </c>
      <c r="M10" s="83">
        <v>0</v>
      </c>
      <c r="N10" s="83">
        <v>0</v>
      </c>
      <c r="O10" s="83">
        <v>0</v>
      </c>
      <c r="P10" s="25">
        <f t="shared" si="0"/>
        <v>294.088001</v>
      </c>
      <c r="Q10" s="72">
        <f t="shared" si="1"/>
        <v>0.116930344284652</v>
      </c>
      <c r="R10" s="76"/>
      <c r="S10" s="76"/>
      <c r="T10" s="64"/>
      <c r="U10" s="64"/>
      <c r="V10" s="74"/>
      <c r="W10" s="74"/>
    </row>
    <row r="11" s="64" customFormat="1" ht="29" customHeight="1" spans="1:23">
      <c r="A11" s="80"/>
      <c r="B11" s="81" t="s">
        <v>32</v>
      </c>
      <c r="C11" s="25">
        <v>73.05</v>
      </c>
      <c r="D11" s="25">
        <v>1.321</v>
      </c>
      <c r="E11" s="25">
        <v>3.6317</v>
      </c>
      <c r="F11" s="25">
        <v>9.20292</v>
      </c>
      <c r="G11" s="25">
        <v>0.47674</v>
      </c>
      <c r="H11" s="25">
        <v>0</v>
      </c>
      <c r="I11" s="25">
        <v>0</v>
      </c>
      <c r="J11" s="25">
        <v>0</v>
      </c>
      <c r="K11" s="25">
        <v>0</v>
      </c>
      <c r="L11" s="25">
        <v>0</v>
      </c>
      <c r="M11" s="25">
        <v>0</v>
      </c>
      <c r="N11" s="25">
        <v>0</v>
      </c>
      <c r="O11" s="25">
        <v>0</v>
      </c>
      <c r="P11" s="25">
        <f t="shared" si="0"/>
        <v>14.63236</v>
      </c>
      <c r="Q11" s="72">
        <f t="shared" si="1"/>
        <v>0.200306091718001</v>
      </c>
      <c r="R11" s="76"/>
      <c r="S11" s="76"/>
      <c r="T11" s="64"/>
      <c r="U11" s="64"/>
      <c r="V11" s="74"/>
      <c r="W11" s="74"/>
    </row>
    <row r="12" s="65" customFormat="1" ht="29" customHeight="1" spans="1:23">
      <c r="A12" s="80"/>
      <c r="B12" s="82" t="s">
        <v>33</v>
      </c>
      <c r="C12" s="83">
        <v>73.05</v>
      </c>
      <c r="D12" s="83">
        <v>1.321</v>
      </c>
      <c r="E12" s="83">
        <v>3.6317</v>
      </c>
      <c r="F12" s="83">
        <v>9.20292</v>
      </c>
      <c r="G12" s="83">
        <v>0.47674</v>
      </c>
      <c r="H12" s="83">
        <v>0</v>
      </c>
      <c r="I12" s="83">
        <v>0</v>
      </c>
      <c r="J12" s="83">
        <v>0</v>
      </c>
      <c r="K12" s="83">
        <v>0</v>
      </c>
      <c r="L12" s="83">
        <v>0</v>
      </c>
      <c r="M12" s="83">
        <v>0</v>
      </c>
      <c r="N12" s="83">
        <v>0</v>
      </c>
      <c r="O12" s="83">
        <v>0</v>
      </c>
      <c r="P12" s="84">
        <f t="shared" si="0"/>
        <v>14.63236</v>
      </c>
      <c r="Q12" s="72">
        <f t="shared" si="1"/>
        <v>0.200306091718001</v>
      </c>
      <c r="R12" s="76"/>
      <c r="S12" s="76"/>
      <c r="T12" s="64"/>
      <c r="U12" s="64"/>
      <c r="V12" s="74"/>
      <c r="W12" s="74"/>
    </row>
    <row r="13" s="65" customFormat="1" ht="29" customHeight="1" spans="1:23">
      <c r="A13" s="80"/>
      <c r="B13" s="82" t="s">
        <v>34</v>
      </c>
      <c r="C13" s="83">
        <v>0</v>
      </c>
      <c r="D13" s="83">
        <v>0</v>
      </c>
      <c r="E13" s="83">
        <v>0</v>
      </c>
      <c r="F13" s="83">
        <v>0</v>
      </c>
      <c r="G13" s="83">
        <v>0</v>
      </c>
      <c r="H13" s="83">
        <v>0</v>
      </c>
      <c r="I13" s="83">
        <v>0</v>
      </c>
      <c r="J13" s="83">
        <v>0</v>
      </c>
      <c r="K13" s="83">
        <v>0</v>
      </c>
      <c r="L13" s="83">
        <v>0</v>
      </c>
      <c r="M13" s="83">
        <v>0</v>
      </c>
      <c r="N13" s="83">
        <v>0</v>
      </c>
      <c r="O13" s="83">
        <v>0</v>
      </c>
      <c r="P13" s="84">
        <f t="shared" si="0"/>
        <v>0</v>
      </c>
      <c r="Q13" s="72">
        <f t="shared" si="1"/>
        <v>0</v>
      </c>
      <c r="R13" s="76"/>
      <c r="S13" s="76"/>
      <c r="U13" s="85"/>
      <c r="W13" s="74"/>
    </row>
    <row r="14" s="66" customFormat="1" ht="29" customHeight="1" spans="1:23">
      <c r="A14" s="86"/>
      <c r="B14" s="71" t="s">
        <v>35</v>
      </c>
      <c r="C14" s="25">
        <v>226.85</v>
      </c>
      <c r="D14" s="25">
        <v>0</v>
      </c>
      <c r="E14" s="25">
        <v>0</v>
      </c>
      <c r="F14" s="25">
        <v>0</v>
      </c>
      <c r="G14" s="25">
        <v>0</v>
      </c>
      <c r="H14" s="25">
        <v>0</v>
      </c>
      <c r="I14" s="25">
        <v>0</v>
      </c>
      <c r="J14" s="25">
        <v>0</v>
      </c>
      <c r="K14" s="25">
        <v>0</v>
      </c>
      <c r="L14" s="25">
        <v>0</v>
      </c>
      <c r="M14" s="25">
        <v>0</v>
      </c>
      <c r="N14" s="25">
        <v>0</v>
      </c>
      <c r="O14" s="25">
        <v>0</v>
      </c>
      <c r="P14" s="25">
        <f t="shared" si="0"/>
        <v>0</v>
      </c>
      <c r="Q14" s="72">
        <f t="shared" si="1"/>
        <v>0</v>
      </c>
      <c r="R14" s="87"/>
      <c r="S14" s="87"/>
    </row>
    <row r="15" s="66" customFormat="1" ht="29" customHeight="1" spans="1:23">
      <c r="A15" s="88" t="s">
        <v>36</v>
      </c>
      <c r="B15" s="71" t="s">
        <v>37</v>
      </c>
      <c r="C15" s="89">
        <v>0.5715</v>
      </c>
      <c r="D15" s="90">
        <v>0.551157140536193</v>
      </c>
      <c r="E15" s="90">
        <v>0.551157140536193</v>
      </c>
      <c r="F15" s="90">
        <v>0.560225552267074</v>
      </c>
      <c r="G15" s="90">
        <v>0.569504522873208</v>
      </c>
      <c r="H15" s="90"/>
      <c r="I15" s="90"/>
      <c r="J15" s="90"/>
      <c r="K15" s="90"/>
      <c r="L15" s="90"/>
      <c r="M15" s="90"/>
      <c r="N15" s="90"/>
      <c r="O15" s="90"/>
      <c r="P15" s="72">
        <f>IFERROR(AVERAGE(D15:O15),)</f>
        <v>0.558011089053167</v>
      </c>
      <c r="Q15" s="72">
        <f t="shared" ref="Q15:Q20" si="2">IFERROR(P15/C15,)</f>
        <v>0.976397356173521</v>
      </c>
      <c r="R15" s="76" t="s">
        <v>38</v>
      </c>
      <c r="S15" s="76"/>
    </row>
    <row r="16" s="66" customFormat="1" ht="29" customHeight="1" spans="1:23">
      <c r="A16" s="88"/>
      <c r="B16" s="71" t="s">
        <v>39</v>
      </c>
      <c r="C16" s="89">
        <v>0.95</v>
      </c>
      <c r="D16" s="90">
        <v>0.814399996567499</v>
      </c>
      <c r="E16" s="90">
        <v>0.700450876937936</v>
      </c>
      <c r="F16" s="90">
        <v>0.954530125404293</v>
      </c>
      <c r="G16" s="90">
        <v>0.960882981060045</v>
      </c>
      <c r="H16" s="90"/>
      <c r="I16" s="90"/>
      <c r="J16" s="90"/>
      <c r="K16" s="90"/>
      <c r="L16" s="90"/>
      <c r="M16" s="90"/>
      <c r="N16" s="90"/>
      <c r="O16" s="90"/>
      <c r="P16" s="72">
        <f>IFERROR(AVERAGE(D16:O16),)</f>
        <v>0.857565994992443</v>
      </c>
      <c r="Q16" s="72">
        <f t="shared" si="2"/>
        <v>0.902701047360467</v>
      </c>
      <c r="R16" s="76" t="s">
        <v>40</v>
      </c>
      <c r="S16" s="76"/>
    </row>
    <row r="17" s="66" customFormat="1" ht="29" customHeight="1" spans="1:19">
      <c r="A17" s="88"/>
      <c r="B17" s="71" t="s">
        <v>41</v>
      </c>
      <c r="C17" s="91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3" cm="1">
        <f t="array" ref="P17">IFERROR(INDEX(D17:O17,0,MATCH(9.99999999999999E+307,D17:O17)),)</f>
        <v>0</v>
      </c>
      <c r="Q17" s="72">
        <f t="shared" si="2"/>
        <v>0</v>
      </c>
      <c r="R17" s="76" t="s">
        <v>42</v>
      </c>
      <c r="S17" s="76"/>
    </row>
    <row r="18" s="66" customFormat="1" ht="29" customHeight="1" spans="1:19">
      <c r="A18" s="88"/>
      <c r="B18" s="71" t="s">
        <v>43</v>
      </c>
      <c r="C18" s="91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3" cm="1">
        <f t="array" ref="P18">IFERROR(INDEX(D18:O18,0,MATCH(9.99999999999999E+307,D18:O18)),)</f>
        <v>0</v>
      </c>
      <c r="Q18" s="72">
        <f t="shared" si="2"/>
        <v>0</v>
      </c>
      <c r="R18" s="76" t="s">
        <v>44</v>
      </c>
      <c r="S18" s="76"/>
    </row>
    <row r="19" s="66" customFormat="1" ht="29" customHeight="1" spans="1:19">
      <c r="A19" s="88"/>
      <c r="B19" s="71" t="s">
        <v>45</v>
      </c>
      <c r="C19" s="89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0"/>
      <c r="P19" s="93" cm="1">
        <f t="array" ref="P19">IFERROR(INDEX(D19:O19,0,MATCH(9.99999999999999E+307,D19:O19)),)</f>
        <v>0</v>
      </c>
      <c r="Q19" s="72">
        <f t="shared" si="2"/>
        <v>0</v>
      </c>
      <c r="R19" s="76" t="s">
        <v>44</v>
      </c>
      <c r="S19" s="76"/>
    </row>
    <row r="20" ht="29" customHeight="1" spans="1:19">
      <c r="A20" s="88"/>
      <c r="B20" s="71" t="s">
        <v>46</v>
      </c>
      <c r="C20" s="89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0"/>
      <c r="P20" s="93" cm="1">
        <f t="array" ref="P20">IFERROR(INDEX(D20:O20,0,MATCH(9.99999999999999E+307,D20:O20)),)</f>
        <v>0</v>
      </c>
      <c r="Q20" s="72">
        <f t="shared" si="2"/>
        <v>0</v>
      </c>
      <c r="R20" s="76" t="s">
        <v>44</v>
      </c>
      <c r="S20" s="76"/>
    </row>
    <row r="21" customHeight="1" spans="1:19">
      <c r="A21" s="60" t="s">
        <v>8</v>
      </c>
      <c r="B21" s="61" t="s">
        <v>47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Q21" s="12"/>
    </row>
    <row r="22" customHeight="1" spans="1:19">
      <c r="A22" s="60"/>
      <c r="B22" s="61" t="s">
        <v>48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Q22" s="12"/>
    </row>
    <row r="23" customHeight="1" spans="1:19">
      <c r="A23" s="60"/>
      <c r="B23" s="61" t="s">
        <v>49</v>
      </c>
      <c r="C23" s="13"/>
    </row>
  </sheetData>
  <mergeCells count="19">
    <mergeCell ref="A1:Q1"/>
    <mergeCell ref="D2:O2"/>
    <mergeCell ref="B21:O21"/>
    <mergeCell ref="B22:O22"/>
    <mergeCell ref="A2:A3"/>
    <mergeCell ref="A4:A6"/>
    <mergeCell ref="A7:A14"/>
    <mergeCell ref="A15:A20"/>
    <mergeCell ref="A21:A23"/>
    <mergeCell ref="B2:B3"/>
    <mergeCell ref="C2:C3"/>
    <mergeCell ref="P2:P3"/>
    <mergeCell ref="Q2:Q3"/>
    <mergeCell ref="R2:R3"/>
    <mergeCell ref="S2:S3"/>
    <mergeCell ref="T2:T3"/>
    <mergeCell ref="U2:U3"/>
    <mergeCell ref="V2:V3"/>
    <mergeCell ref="W2:W3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B10" sqref="B10"/>
    </sheetView>
  </sheetViews>
  <sheetFormatPr defaultColWidth="8.90833333333333" defaultRowHeight="16" customHeight="1"/>
  <cols>
    <col min="1" max="1" width="17.725" customWidth="1"/>
    <col min="2" max="2" width="13.6333333333333" customWidth="1"/>
    <col min="3" max="14" width="11.125" customWidth="1"/>
    <col min="15" max="15" width="12.4583333333333" customWidth="1"/>
    <col min="16" max="16" width="11.275" style="38" customWidth="1"/>
    <col min="17" max="17" width="9.5" style="39" customWidth="1"/>
    <col min="18" max="18" width="8.625" style="39" customWidth="1"/>
    <col min="19" max="19" width="7.125" style="39" customWidth="1"/>
    <col min="20" max="20" width="8.125" style="39" customWidth="1"/>
  </cols>
  <sheetData>
    <row r="1" s="1" customFormat="1" ht="32.15" customHeight="1" spans="1:20">
      <c r="A1" s="3" t="s">
        <v>50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0"/>
      <c r="R1" s="40"/>
      <c r="S1" s="40"/>
      <c r="T1" s="40"/>
    </row>
    <row r="2" s="34" customFormat="1" ht="18" customHeight="1" spans="1:20">
      <c r="A2" s="19" t="s">
        <v>2</v>
      </c>
      <c r="B2" s="19" t="s">
        <v>3</v>
      </c>
      <c r="C2" s="20" t="s">
        <v>4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9" t="s">
        <v>5</v>
      </c>
      <c r="P2" s="22" t="s">
        <v>6</v>
      </c>
      <c r="Q2" s="41"/>
      <c r="R2" s="41"/>
      <c r="S2" s="42"/>
      <c r="T2" s="41"/>
    </row>
    <row r="3" s="34" customFormat="1" ht="18" customHeight="1" spans="1:20">
      <c r="A3" s="19"/>
      <c r="B3" s="19"/>
      <c r="C3" s="21" t="s">
        <v>9</v>
      </c>
      <c r="D3" s="21" t="s">
        <v>10</v>
      </c>
      <c r="E3" s="21" t="s">
        <v>11</v>
      </c>
      <c r="F3" s="21" t="s">
        <v>12</v>
      </c>
      <c r="G3" s="21" t="s">
        <v>13</v>
      </c>
      <c r="H3" s="21" t="s">
        <v>14</v>
      </c>
      <c r="I3" s="21" t="s">
        <v>15</v>
      </c>
      <c r="J3" s="21" t="s">
        <v>16</v>
      </c>
      <c r="K3" s="21" t="s">
        <v>17</v>
      </c>
      <c r="L3" s="21" t="s">
        <v>18</v>
      </c>
      <c r="M3" s="21" t="s">
        <v>19</v>
      </c>
      <c r="N3" s="21" t="s">
        <v>20</v>
      </c>
      <c r="O3" s="19"/>
      <c r="P3" s="22"/>
      <c r="Q3" s="41"/>
      <c r="R3" s="41"/>
      <c r="S3" s="42"/>
      <c r="T3" s="41"/>
    </row>
    <row r="4" s="35" customFormat="1" ht="18" customHeight="1" spans="1:20">
      <c r="A4" s="43" t="s">
        <v>22</v>
      </c>
      <c r="B4" s="44">
        <v>8453.02</v>
      </c>
      <c r="C4" s="44">
        <v>519.185934</v>
      </c>
      <c r="D4" s="44">
        <v>532.971536</v>
      </c>
      <c r="E4" s="44">
        <v>517.251925</v>
      </c>
      <c r="F4" s="44">
        <v>925.592213</v>
      </c>
      <c r="G4" s="44"/>
      <c r="H4" s="44"/>
      <c r="I4" s="44"/>
      <c r="J4" s="44"/>
      <c r="K4" s="44"/>
      <c r="L4" s="44"/>
      <c r="M4" s="44"/>
      <c r="N4" s="44"/>
      <c r="O4" s="25">
        <f>SUM(C4:N4)</f>
        <v>2495.001608</v>
      </c>
      <c r="P4" s="26">
        <f t="shared" ref="P4:P9" si="0">IFERROR(O4/B4,)</f>
        <v>0.295160973001365</v>
      </c>
      <c r="Q4" s="40"/>
      <c r="R4" s="40"/>
      <c r="S4" s="40"/>
      <c r="T4" s="40"/>
    </row>
    <row r="5" s="35" customFormat="1" ht="18" customHeight="1" spans="1:20">
      <c r="A5" s="43" t="s">
        <v>28</v>
      </c>
      <c r="B5" s="25">
        <f>B6+B9</f>
        <v>2883.81</v>
      </c>
      <c r="C5" s="25">
        <f t="shared" ref="C5:N5" si="1">C6+C9</f>
        <v>36.843094</v>
      </c>
      <c r="D5" s="25">
        <f t="shared" si="1"/>
        <v>30.590467</v>
      </c>
      <c r="E5" s="25">
        <f t="shared" si="1"/>
        <v>37.133258</v>
      </c>
      <c r="F5" s="25">
        <f t="shared" si="1"/>
        <v>293.517091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5">
        <f t="shared" si="1"/>
        <v>0</v>
      </c>
      <c r="K5" s="25">
        <f t="shared" si="1"/>
        <v>0</v>
      </c>
      <c r="L5" s="25">
        <f t="shared" si="1"/>
        <v>0</v>
      </c>
      <c r="M5" s="25">
        <f t="shared" si="1"/>
        <v>0</v>
      </c>
      <c r="N5" s="25">
        <f t="shared" si="1"/>
        <v>0</v>
      </c>
      <c r="O5" s="25">
        <f t="shared" ref="O5:O15" si="2">SUM(C5:N5)</f>
        <v>398.08391</v>
      </c>
      <c r="P5" s="26">
        <f t="shared" si="0"/>
        <v>0.13804096317025</v>
      </c>
      <c r="Q5" s="40"/>
      <c r="R5" s="40"/>
      <c r="S5" s="40"/>
      <c r="T5" s="40"/>
    </row>
    <row r="6" s="35" customFormat="1" ht="18" customHeight="1" spans="1:20">
      <c r="A6" s="43" t="s">
        <v>51</v>
      </c>
      <c r="B6" s="25">
        <f>费用预算执行明细!B4</f>
        <v>2810.76</v>
      </c>
      <c r="C6" s="25">
        <f>费用预算执行明细!C4</f>
        <v>35.522094</v>
      </c>
      <c r="D6" s="25">
        <f>费用预算执行明细!D4</f>
        <v>26.958767</v>
      </c>
      <c r="E6" s="25">
        <f>费用预算执行明细!E4</f>
        <v>27.930338</v>
      </c>
      <c r="F6" s="25">
        <f>费用预算执行明细!F4</f>
        <v>293.040351</v>
      </c>
      <c r="G6" s="25">
        <f>费用预算执行明细!G4</f>
        <v>0</v>
      </c>
      <c r="H6" s="25">
        <f>费用预算执行明细!H4</f>
        <v>0</v>
      </c>
      <c r="I6" s="25">
        <f>费用预算执行明细!I4</f>
        <v>0</v>
      </c>
      <c r="J6" s="25">
        <f>费用预算执行明细!J4</f>
        <v>0</v>
      </c>
      <c r="K6" s="25">
        <f>费用预算执行明细!K4</f>
        <v>0</v>
      </c>
      <c r="L6" s="25">
        <f>费用预算执行明细!L4</f>
        <v>0</v>
      </c>
      <c r="M6" s="25">
        <f>费用预算执行明细!M4</f>
        <v>0</v>
      </c>
      <c r="N6" s="25">
        <f>费用预算执行明细!N4</f>
        <v>0</v>
      </c>
      <c r="O6" s="25">
        <f t="shared" si="2"/>
        <v>383.45155</v>
      </c>
      <c r="P6" s="26">
        <f t="shared" si="0"/>
        <v>0.136422729083949</v>
      </c>
      <c r="Q6" s="40"/>
      <c r="R6" s="40"/>
      <c r="S6" s="40"/>
      <c r="T6" s="40"/>
    </row>
    <row r="7" s="36" customFormat="1" ht="18" customHeight="1" spans="1:20">
      <c r="A7" s="45" t="s">
        <v>52</v>
      </c>
      <c r="B7" s="31">
        <f>费用预算执行明细!B5</f>
        <v>295.69</v>
      </c>
      <c r="C7" s="31">
        <f>费用预算执行明细!C5</f>
        <v>22.264558</v>
      </c>
      <c r="D7" s="31">
        <f>费用预算执行明细!D5</f>
        <v>22.38943</v>
      </c>
      <c r="E7" s="31">
        <f>费用预算执行明细!E5</f>
        <v>22.990727</v>
      </c>
      <c r="F7" s="31">
        <f>费用预算执行明细!F5</f>
        <v>21.718834</v>
      </c>
      <c r="G7" s="31">
        <f>费用预算执行明细!G5</f>
        <v>0</v>
      </c>
      <c r="H7" s="31">
        <f>费用预算执行明细!H5</f>
        <v>0</v>
      </c>
      <c r="I7" s="31">
        <f>费用预算执行明细!I5</f>
        <v>0</v>
      </c>
      <c r="J7" s="31">
        <f>费用预算执行明细!J5</f>
        <v>0</v>
      </c>
      <c r="K7" s="31">
        <f>费用预算执行明细!K5</f>
        <v>0</v>
      </c>
      <c r="L7" s="31">
        <f>费用预算执行明细!L5</f>
        <v>0</v>
      </c>
      <c r="M7" s="31">
        <f>费用预算执行明细!M5</f>
        <v>0</v>
      </c>
      <c r="N7" s="31">
        <f>费用预算执行明细!N5</f>
        <v>0</v>
      </c>
      <c r="O7" s="31">
        <f t="shared" si="2"/>
        <v>89.363549</v>
      </c>
      <c r="P7" s="32">
        <f t="shared" si="0"/>
        <v>0.302220396361054</v>
      </c>
      <c r="Q7" s="39"/>
      <c r="R7" s="39"/>
      <c r="S7" s="39"/>
      <c r="T7" s="39"/>
    </row>
    <row r="8" s="36" customFormat="1" ht="18" customHeight="1" spans="1:20">
      <c r="A8" s="45" t="s">
        <v>53</v>
      </c>
      <c r="B8" s="31">
        <f>费用预算执行明细!B15</f>
        <v>2515.07</v>
      </c>
      <c r="C8" s="31">
        <f>费用预算执行明细!C15</f>
        <v>13.257536</v>
      </c>
      <c r="D8" s="31">
        <f>费用预算执行明细!D15</f>
        <v>4.569337</v>
      </c>
      <c r="E8" s="31">
        <f>费用预算执行明细!E15</f>
        <v>4.939611</v>
      </c>
      <c r="F8" s="31">
        <f>费用预算执行明细!F15</f>
        <v>271.321517</v>
      </c>
      <c r="G8" s="31">
        <f>费用预算执行明细!G15</f>
        <v>0</v>
      </c>
      <c r="H8" s="31">
        <f>费用预算执行明细!H15</f>
        <v>0</v>
      </c>
      <c r="I8" s="31">
        <f>费用预算执行明细!I15</f>
        <v>0</v>
      </c>
      <c r="J8" s="31">
        <f>费用预算执行明细!J15</f>
        <v>0</v>
      </c>
      <c r="K8" s="31">
        <f>费用预算执行明细!K15</f>
        <v>0</v>
      </c>
      <c r="L8" s="31">
        <f>费用预算执行明细!L15</f>
        <v>0</v>
      </c>
      <c r="M8" s="31">
        <f>费用预算执行明细!M15</f>
        <v>0</v>
      </c>
      <c r="N8" s="31">
        <f>费用预算执行明细!N15</f>
        <v>0</v>
      </c>
      <c r="O8" s="31">
        <f t="shared" si="2"/>
        <v>294.088001</v>
      </c>
      <c r="P8" s="32">
        <f t="shared" si="0"/>
        <v>0.116930344284652</v>
      </c>
      <c r="Q8" s="39"/>
      <c r="R8" s="39"/>
      <c r="S8" s="39"/>
      <c r="T8" s="39"/>
    </row>
    <row r="9" s="35" customFormat="1" ht="18" customHeight="1" spans="1:20">
      <c r="A9" s="43" t="s">
        <v>32</v>
      </c>
      <c r="B9" s="25">
        <f>费用预算执行明细!B43</f>
        <v>73.05</v>
      </c>
      <c r="C9" s="25">
        <f>费用预算执行明细!C43</f>
        <v>1.321</v>
      </c>
      <c r="D9" s="25">
        <f>费用预算执行明细!D43</f>
        <v>3.6317</v>
      </c>
      <c r="E9" s="25">
        <f>费用预算执行明细!E43</f>
        <v>9.20292</v>
      </c>
      <c r="F9" s="25">
        <f>费用预算执行明细!F43</f>
        <v>0.47674</v>
      </c>
      <c r="G9" s="25">
        <f>费用预算执行明细!G43</f>
        <v>0</v>
      </c>
      <c r="H9" s="25">
        <f>费用预算执行明细!H43</f>
        <v>0</v>
      </c>
      <c r="I9" s="25">
        <f>费用预算执行明细!I43</f>
        <v>0</v>
      </c>
      <c r="J9" s="25">
        <f>费用预算执行明细!J43</f>
        <v>0</v>
      </c>
      <c r="K9" s="25">
        <f>费用预算执行明细!K43</f>
        <v>0</v>
      </c>
      <c r="L9" s="25">
        <f>费用预算执行明细!L43</f>
        <v>0</v>
      </c>
      <c r="M9" s="25">
        <f>费用预算执行明细!M43</f>
        <v>0</v>
      </c>
      <c r="N9" s="25">
        <f>费用预算执行明细!N43</f>
        <v>0</v>
      </c>
      <c r="O9" s="25">
        <f t="shared" si="2"/>
        <v>14.63236</v>
      </c>
      <c r="P9" s="26">
        <f t="shared" si="0"/>
        <v>0.200306091718001</v>
      </c>
      <c r="Q9" s="40"/>
      <c r="R9" s="40"/>
      <c r="S9" s="40"/>
      <c r="T9" s="40"/>
    </row>
    <row r="10" s="36" customFormat="1" ht="18" customHeight="1" spans="1:20">
      <c r="A10" s="45" t="s">
        <v>54</v>
      </c>
      <c r="B10" s="31">
        <f>费用预算执行明细!B44</f>
        <v>73.05</v>
      </c>
      <c r="C10" s="31">
        <f>费用预算执行明细!C44</f>
        <v>1.321</v>
      </c>
      <c r="D10" s="31">
        <f>费用预算执行明细!D44</f>
        <v>3.6317</v>
      </c>
      <c r="E10" s="31">
        <f>费用预算执行明细!E44</f>
        <v>9.20292</v>
      </c>
      <c r="F10" s="31">
        <f>费用预算执行明细!F44</f>
        <v>0.47674</v>
      </c>
      <c r="G10" s="31">
        <f>费用预算执行明细!G44</f>
        <v>0</v>
      </c>
      <c r="H10" s="31">
        <f>费用预算执行明细!H44</f>
        <v>0</v>
      </c>
      <c r="I10" s="31">
        <f>费用预算执行明细!I44</f>
        <v>0</v>
      </c>
      <c r="J10" s="31">
        <f>费用预算执行明细!J44</f>
        <v>0</v>
      </c>
      <c r="K10" s="31">
        <f>费用预算执行明细!K44</f>
        <v>0</v>
      </c>
      <c r="L10" s="31">
        <f>费用预算执行明细!L44</f>
        <v>0</v>
      </c>
      <c r="M10" s="31">
        <f>费用预算执行明细!M44</f>
        <v>0</v>
      </c>
      <c r="N10" s="31">
        <f>费用预算执行明细!N44</f>
        <v>0</v>
      </c>
      <c r="O10" s="31">
        <f t="shared" si="2"/>
        <v>14.63236</v>
      </c>
      <c r="P10" s="32">
        <f t="shared" ref="P10:P15" si="3">IFERROR(O10/B10,)</f>
        <v>0.200306091718001</v>
      </c>
      <c r="Q10" s="39"/>
      <c r="R10" s="39"/>
      <c r="S10" s="39"/>
      <c r="T10" s="39"/>
    </row>
    <row r="11" s="36" customFormat="1" ht="18" customHeight="1" spans="1:20">
      <c r="A11" s="45" t="s">
        <v>55</v>
      </c>
      <c r="B11" s="31">
        <f>费用预算执行明细!B69</f>
        <v>0</v>
      </c>
      <c r="C11" s="31">
        <f>费用预算执行明细!C69</f>
        <v>0</v>
      </c>
      <c r="D11" s="31">
        <f>费用预算执行明细!D69</f>
        <v>0</v>
      </c>
      <c r="E11" s="31">
        <f>费用预算执行明细!E69</f>
        <v>0</v>
      </c>
      <c r="F11" s="31">
        <f>费用预算执行明细!F69</f>
        <v>0</v>
      </c>
      <c r="G11" s="31">
        <f>费用预算执行明细!G69</f>
        <v>0</v>
      </c>
      <c r="H11" s="31">
        <f>费用预算执行明细!H69</f>
        <v>0</v>
      </c>
      <c r="I11" s="31">
        <f>费用预算执行明细!I69</f>
        <v>0</v>
      </c>
      <c r="J11" s="31">
        <f>费用预算执行明细!J69</f>
        <v>0</v>
      </c>
      <c r="K11" s="31">
        <f>费用预算执行明细!K69</f>
        <v>0</v>
      </c>
      <c r="L11" s="31">
        <f>费用预算执行明细!L69</f>
        <v>0</v>
      </c>
      <c r="M11" s="31">
        <f>费用预算执行明细!M69</f>
        <v>0</v>
      </c>
      <c r="N11" s="31">
        <f>费用预算执行明细!N69</f>
        <v>0</v>
      </c>
      <c r="O11" s="31">
        <f t="shared" si="2"/>
        <v>0</v>
      </c>
      <c r="P11" s="32">
        <f t="shared" si="3"/>
        <v>0</v>
      </c>
      <c r="Q11" s="39"/>
      <c r="R11" s="39"/>
      <c r="S11" s="39"/>
      <c r="T11" s="39"/>
    </row>
    <row r="12" s="37" customFormat="1" ht="18" customHeight="1" spans="1:20">
      <c r="A12" s="46" t="s">
        <v>35</v>
      </c>
      <c r="B12" s="27">
        <f>资本性支出计划与执行!G15</f>
        <v>226.85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27">
        <f t="shared" si="2"/>
        <v>0</v>
      </c>
      <c r="P12" s="26">
        <f t="shared" si="3"/>
        <v>0</v>
      </c>
      <c r="Q12" s="48"/>
      <c r="R12" s="48"/>
      <c r="S12" s="48"/>
      <c r="T12" s="48"/>
    </row>
    <row r="13" s="35" customFormat="1" ht="18" customHeight="1" spans="1:20">
      <c r="A13" s="43" t="s">
        <v>56</v>
      </c>
      <c r="B13" s="44">
        <f>费用预算执行明细!B84</f>
        <v>6418.29</v>
      </c>
      <c r="C13" s="44">
        <f>费用预算执行明细!C84</f>
        <v>525.3673</v>
      </c>
      <c r="D13" s="44">
        <f>费用预算执行明细!D84</f>
        <v>525.35623</v>
      </c>
      <c r="E13" s="44">
        <f>费用预算执行明细!E84</f>
        <v>525.356216</v>
      </c>
      <c r="F13" s="44">
        <f>费用预算执行明细!F84</f>
        <v>525.334596</v>
      </c>
      <c r="G13" s="44">
        <f>费用预算执行明细!G84</f>
        <v>0</v>
      </c>
      <c r="H13" s="44">
        <f>费用预算执行明细!H84</f>
        <v>0</v>
      </c>
      <c r="I13" s="44">
        <f>费用预算执行明细!I84</f>
        <v>0</v>
      </c>
      <c r="J13" s="44">
        <f>费用预算执行明细!J84</f>
        <v>0</v>
      </c>
      <c r="K13" s="44">
        <f>费用预算执行明细!K84</f>
        <v>0</v>
      </c>
      <c r="L13" s="44">
        <f>费用预算执行明细!L84</f>
        <v>0</v>
      </c>
      <c r="M13" s="44">
        <f>费用预算执行明细!M84</f>
        <v>0</v>
      </c>
      <c r="N13" s="44">
        <f>费用预算执行明细!N84</f>
        <v>0</v>
      </c>
      <c r="O13" s="25">
        <f t="shared" si="2"/>
        <v>2101.414342</v>
      </c>
      <c r="P13" s="26">
        <f t="shared" si="3"/>
        <v>0.327410313650521</v>
      </c>
      <c r="Q13" s="40"/>
      <c r="R13" s="40"/>
      <c r="S13" s="40"/>
      <c r="T13" s="40"/>
    </row>
    <row r="14" s="35" customFormat="1" ht="18" customHeight="1" spans="1:20">
      <c r="A14" s="43" t="s">
        <v>57</v>
      </c>
      <c r="B14" s="25">
        <f>费用预算执行明细!B89</f>
        <v>-48.8</v>
      </c>
      <c r="C14" s="44">
        <f>费用预算执行明细!C89</f>
        <v>0.074883</v>
      </c>
      <c r="D14" s="44">
        <f>费用预算执行明细!D89</f>
        <v>0.060006</v>
      </c>
      <c r="E14" s="44">
        <f>费用预算执行明细!E89</f>
        <v>-5.619242</v>
      </c>
      <c r="F14" s="44">
        <f>费用预算执行明细!F89</f>
        <v>-0.226914</v>
      </c>
      <c r="G14" s="44">
        <f>费用预算执行明细!G89</f>
        <v>0</v>
      </c>
      <c r="H14" s="44">
        <f>费用预算执行明细!H89</f>
        <v>0</v>
      </c>
      <c r="I14" s="44">
        <f>费用预算执行明细!I89</f>
        <v>0</v>
      </c>
      <c r="J14" s="44">
        <f>费用预算执行明细!J89</f>
        <v>0</v>
      </c>
      <c r="K14" s="44">
        <f>费用预算执行明细!K89</f>
        <v>0</v>
      </c>
      <c r="L14" s="44">
        <f>费用预算执行明细!L89</f>
        <v>0</v>
      </c>
      <c r="M14" s="44">
        <f>费用预算执行明细!M89</f>
        <v>0</v>
      </c>
      <c r="N14" s="44">
        <f>费用预算执行明细!N89</f>
        <v>0</v>
      </c>
      <c r="O14" s="25">
        <f t="shared" si="2"/>
        <v>-5.711267</v>
      </c>
      <c r="P14" s="26">
        <f t="shared" si="3"/>
        <v>0.117034159836066</v>
      </c>
      <c r="Q14" s="49"/>
      <c r="R14" s="50"/>
      <c r="S14" s="51"/>
      <c r="T14" s="51"/>
    </row>
    <row r="15" s="35" customFormat="1" ht="18" customHeight="1" spans="1:20">
      <c r="A15" s="43" t="s">
        <v>58</v>
      </c>
      <c r="B15" s="44">
        <v>1135.16</v>
      </c>
      <c r="C15" s="44">
        <v>92.135372</v>
      </c>
      <c r="D15" s="44">
        <v>91.130343</v>
      </c>
      <c r="E15" s="44">
        <v>93.274217</v>
      </c>
      <c r="F15" s="44">
        <v>88.180801</v>
      </c>
      <c r="G15" s="44"/>
      <c r="H15" s="44"/>
      <c r="I15" s="44"/>
      <c r="J15" s="44"/>
      <c r="K15" s="44"/>
      <c r="L15" s="44"/>
      <c r="M15" s="44"/>
      <c r="N15" s="44"/>
      <c r="O15" s="25">
        <f t="shared" si="2"/>
        <v>364.720733</v>
      </c>
      <c r="P15" s="26">
        <f t="shared" si="3"/>
        <v>0.321294560238204</v>
      </c>
      <c r="Q15" s="49"/>
      <c r="R15" s="50"/>
      <c r="S15" s="51"/>
      <c r="T15" s="51"/>
    </row>
    <row r="16" s="35" customFormat="1" ht="18" customHeight="1" spans="1:20">
      <c r="A16" s="43" t="s">
        <v>59</v>
      </c>
      <c r="B16" s="26">
        <f>IFERROR(B9/B4,)</f>
        <v>0.00864188183631412</v>
      </c>
      <c r="C16" s="26">
        <f>IFERROR(C9/C4,)</f>
        <v>0.00254436785261598</v>
      </c>
      <c r="D16" s="26">
        <f t="shared" ref="D16:O16" si="4">IFERROR(D9/D4,)</f>
        <v>0.00681405995385089</v>
      </c>
      <c r="E16" s="26">
        <f t="shared" si="4"/>
        <v>0.017791949251808</v>
      </c>
      <c r="F16" s="26">
        <f t="shared" si="4"/>
        <v>0.000515064834496398</v>
      </c>
      <c r="G16" s="26">
        <f t="shared" si="4"/>
        <v>0</v>
      </c>
      <c r="H16" s="26">
        <f t="shared" si="4"/>
        <v>0</v>
      </c>
      <c r="I16" s="26">
        <f t="shared" si="4"/>
        <v>0</v>
      </c>
      <c r="J16" s="26">
        <f t="shared" si="4"/>
        <v>0</v>
      </c>
      <c r="K16" s="26">
        <f t="shared" si="4"/>
        <v>0</v>
      </c>
      <c r="L16" s="26">
        <f t="shared" si="4"/>
        <v>0</v>
      </c>
      <c r="M16" s="26">
        <f t="shared" si="4"/>
        <v>0</v>
      </c>
      <c r="N16" s="26">
        <f t="shared" si="4"/>
        <v>0</v>
      </c>
      <c r="O16" s="26">
        <f t="shared" si="4"/>
        <v>0.00586466956697849</v>
      </c>
      <c r="P16" s="26"/>
      <c r="Q16" s="40"/>
      <c r="R16" s="40"/>
      <c r="S16" s="40"/>
      <c r="T16" s="40"/>
    </row>
    <row r="17" ht="18" customHeight="1" spans="1:20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3"/>
    </row>
    <row r="18" s="35" customFormat="1" ht="18" customHeight="1" spans="1:20">
      <c r="A18" s="43" t="s">
        <v>60</v>
      </c>
      <c r="B18" s="25">
        <f>B4-B6-B9-B15+费用预算执行明细!B91</f>
        <v>4484.05</v>
      </c>
      <c r="C18" s="25">
        <f>C4-C6-C9-C15+费用预算执行明细!C91</f>
        <v>390.207468</v>
      </c>
      <c r="D18" s="25">
        <f>D4-D6-D9-D15+费用预算执行明细!D91</f>
        <v>411.250726</v>
      </c>
      <c r="E18" s="25">
        <f>E4-E6-E9-E15+费用预算执行明细!E91</f>
        <v>392.543692</v>
      </c>
      <c r="F18" s="25">
        <f>F4-F6-F9-F15+费用预算执行明细!F91</f>
        <v>544.20433</v>
      </c>
      <c r="G18" s="25">
        <f>G4-G6-G9-G15+费用预算执行明细!G91</f>
        <v>0</v>
      </c>
      <c r="H18" s="25">
        <f>H4-H6-H9-H15+费用预算执行明细!H91</f>
        <v>0</v>
      </c>
      <c r="I18" s="25">
        <f>I4-I6-I9-I15+费用预算执行明细!I91</f>
        <v>0</v>
      </c>
      <c r="J18" s="25">
        <f>J4-J6-J9-J15+费用预算执行明细!J91</f>
        <v>0</v>
      </c>
      <c r="K18" s="25">
        <f>K4-K6-K9-K15+费用预算执行明细!K91</f>
        <v>0</v>
      </c>
      <c r="L18" s="25">
        <f>L4-L6-L9-L15+费用预算执行明细!L91</f>
        <v>0</v>
      </c>
      <c r="M18" s="25">
        <f>M4-M6-M9-M15+费用预算执行明细!M91</f>
        <v>0</v>
      </c>
      <c r="N18" s="25">
        <f>N4-N6-N9-N15+费用预算执行明细!N91</f>
        <v>0</v>
      </c>
      <c r="O18" s="25">
        <f>O4-O6-O9-O15+费用预算执行明细!O91</f>
        <v>1738.206216</v>
      </c>
      <c r="P18" s="26">
        <f>IFERROR(O18/B18,)</f>
        <v>0.387642023617043</v>
      </c>
      <c r="Q18" s="40"/>
      <c r="R18" s="40"/>
      <c r="S18" s="40"/>
      <c r="T18" s="40"/>
    </row>
    <row r="19" ht="18" hidden="1" customHeight="1" spans="1:20">
      <c r="A19" s="54" t="s">
        <v>61</v>
      </c>
      <c r="B19" s="55"/>
      <c r="C19" s="56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8"/>
      <c r="O19" s="55"/>
      <c r="P19" s="26">
        <f>IFERROR(O19/B19,)</f>
        <v>0</v>
      </c>
    </row>
    <row r="20" ht="32.15" customHeight="1" spans="1: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59"/>
    </row>
    <row r="21" ht="18" customHeight="1" spans="1:20">
      <c r="A21" s="60" t="s">
        <v>8</v>
      </c>
      <c r="B21" s="61" t="s">
        <v>47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59"/>
    </row>
    <row r="22" ht="18" customHeight="1" spans="1:20">
      <c r="A22" s="60"/>
      <c r="B22" s="61" t="s">
        <v>48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59"/>
    </row>
    <row r="23" ht="18" customHeight="1" spans="1:20">
      <c r="A23" s="60"/>
      <c r="B23" s="61" t="s">
        <v>49</v>
      </c>
      <c r="C23" s="13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</row>
  </sheetData>
  <mergeCells count="13">
    <mergeCell ref="A1:P1"/>
    <mergeCell ref="C2:N2"/>
    <mergeCell ref="B21:O21"/>
    <mergeCell ref="B22:O22"/>
    <mergeCell ref="A2:A3"/>
    <mergeCell ref="A21:A23"/>
    <mergeCell ref="B2:B3"/>
    <mergeCell ref="O2:O3"/>
    <mergeCell ref="P2:P3"/>
    <mergeCell ref="Q2:Q3"/>
    <mergeCell ref="R2:R3"/>
    <mergeCell ref="S2:S3"/>
    <mergeCell ref="T2:T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94"/>
  <sheetViews>
    <sheetView workbookViewId="0">
      <pane xSplit="2" ySplit="3" topLeftCell="C4" activePane="bottomRight" state="frozen"/>
      <selection/>
      <selection pane="topRight"/>
      <selection pane="bottomLeft"/>
      <selection pane="bottomRight" activeCell="H57" sqref="H57"/>
    </sheetView>
  </sheetViews>
  <sheetFormatPr defaultColWidth="8.90833333333333" defaultRowHeight="16" customHeight="1"/>
  <cols>
    <col min="1" max="1" width="19.9083333333333" style="16" customWidth="1"/>
    <col min="2" max="2" width="12.4583333333333" style="16" customWidth="1"/>
    <col min="3" max="4" width="7.63333333333333" customWidth="1"/>
    <col min="5" max="5" width="9.375" customWidth="1"/>
    <col min="6" max="7" width="7.63333333333333" customWidth="1"/>
    <col min="8" max="8" width="9.375" customWidth="1"/>
    <col min="9" max="10" width="7.63333333333333" customWidth="1"/>
    <col min="11" max="11" width="9.375" customWidth="1"/>
    <col min="12" max="13" width="7.63333333333333" customWidth="1"/>
    <col min="14" max="14" width="9.375" customWidth="1"/>
    <col min="15" max="15" width="12.4583333333333" style="16" customWidth="1"/>
    <col min="16" max="16" width="9.09166666666667" style="17" customWidth="1"/>
    <col min="17" max="18" width="11.125" style="16"/>
    <col min="19" max="16384" width="8.90833333333333" style="16"/>
  </cols>
  <sheetData>
    <row r="1" s="1" customFormat="1" ht="32.15" customHeight="1" spans="1:16">
      <c r="A1" s="3" t="s">
        <v>62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8"/>
    </row>
    <row r="2" s="14" customFormat="1" customHeight="1" spans="1:16">
      <c r="A2" s="19" t="s">
        <v>2</v>
      </c>
      <c r="B2" s="19" t="s">
        <v>3</v>
      </c>
      <c r="C2" s="20" t="s">
        <v>63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 t="s">
        <v>5</v>
      </c>
      <c r="P2" s="22" t="s">
        <v>6</v>
      </c>
    </row>
    <row r="3" s="15" customFormat="1" customHeight="1" spans="1:16">
      <c r="A3" s="19"/>
      <c r="B3" s="19"/>
      <c r="C3" s="23" t="s">
        <v>9</v>
      </c>
      <c r="D3" s="21" t="s">
        <v>10</v>
      </c>
      <c r="E3" s="23" t="s">
        <v>11</v>
      </c>
      <c r="F3" s="21" t="s">
        <v>12</v>
      </c>
      <c r="G3" s="23" t="s">
        <v>13</v>
      </c>
      <c r="H3" s="21" t="s">
        <v>14</v>
      </c>
      <c r="I3" s="23" t="s">
        <v>15</v>
      </c>
      <c r="J3" s="21" t="s">
        <v>16</v>
      </c>
      <c r="K3" s="23" t="s">
        <v>17</v>
      </c>
      <c r="L3" s="21" t="s">
        <v>18</v>
      </c>
      <c r="M3" s="23" t="s">
        <v>19</v>
      </c>
      <c r="N3" s="24" t="s">
        <v>20</v>
      </c>
      <c r="O3" s="21"/>
      <c r="P3" s="22"/>
    </row>
    <row r="4" customHeight="1" spans="1:16">
      <c r="A4" s="25" t="s">
        <v>29</v>
      </c>
      <c r="B4" s="25">
        <f t="shared" ref="B4:N4" si="0">B5+B15</f>
        <v>2810.76</v>
      </c>
      <c r="C4" s="25">
        <f t="shared" si="0"/>
        <v>35.522094</v>
      </c>
      <c r="D4" s="25">
        <f t="shared" si="0"/>
        <v>26.958767</v>
      </c>
      <c r="E4" s="25">
        <f t="shared" si="0"/>
        <v>27.930338</v>
      </c>
      <c r="F4" s="25">
        <f t="shared" si="0"/>
        <v>293.040351</v>
      </c>
      <c r="G4" s="25">
        <f t="shared" si="0"/>
        <v>0</v>
      </c>
      <c r="H4" s="25">
        <f t="shared" si="0"/>
        <v>0</v>
      </c>
      <c r="I4" s="25">
        <f t="shared" si="0"/>
        <v>0</v>
      </c>
      <c r="J4" s="25">
        <f t="shared" si="0"/>
        <v>0</v>
      </c>
      <c r="K4" s="25">
        <f t="shared" si="0"/>
        <v>0</v>
      </c>
      <c r="L4" s="25">
        <f t="shared" si="0"/>
        <v>0</v>
      </c>
      <c r="M4" s="25">
        <f t="shared" si="0"/>
        <v>0</v>
      </c>
      <c r="N4" s="25">
        <f t="shared" si="0"/>
        <v>0</v>
      </c>
      <c r="O4" s="25">
        <f>SUM(C4:N4)</f>
        <v>383.45155</v>
      </c>
      <c r="P4" s="26">
        <f>IFERROR(O4/B4,)</f>
        <v>0.136422729083949</v>
      </c>
    </row>
    <row r="5" customHeight="1" spans="1:16">
      <c r="A5" s="25" t="s">
        <v>64</v>
      </c>
      <c r="B5" s="25">
        <f t="shared" ref="B5:N5" si="1">SUM(B6:B14)</f>
        <v>295.69</v>
      </c>
      <c r="C5" s="25">
        <f t="shared" si="1"/>
        <v>22.264558</v>
      </c>
      <c r="D5" s="25">
        <f t="shared" si="1"/>
        <v>22.38943</v>
      </c>
      <c r="E5" s="25">
        <f t="shared" si="1"/>
        <v>22.990727</v>
      </c>
      <c r="F5" s="25">
        <f t="shared" si="1"/>
        <v>21.718834</v>
      </c>
      <c r="G5" s="25">
        <f t="shared" si="1"/>
        <v>0</v>
      </c>
      <c r="H5" s="25">
        <f t="shared" si="1"/>
        <v>0</v>
      </c>
      <c r="I5" s="25">
        <f t="shared" si="1"/>
        <v>0</v>
      </c>
      <c r="J5" s="27">
        <f t="shared" si="1"/>
        <v>0</v>
      </c>
      <c r="K5" s="27">
        <f t="shared" si="1"/>
        <v>0</v>
      </c>
      <c r="L5" s="27">
        <f t="shared" si="1"/>
        <v>0</v>
      </c>
      <c r="M5" s="27">
        <f t="shared" si="1"/>
        <v>0</v>
      </c>
      <c r="N5" s="27">
        <f t="shared" si="1"/>
        <v>0</v>
      </c>
      <c r="O5" s="25">
        <f t="shared" ref="O5:O13" si="2">SUM(C5:N5)</f>
        <v>89.363549</v>
      </c>
      <c r="P5" s="26">
        <f t="shared" ref="P5:P13" si="3">IFERROR(O5/B5,)</f>
        <v>0.302220396361054</v>
      </c>
    </row>
    <row r="6" customHeight="1" spans="1:16">
      <c r="A6" s="28" t="s">
        <v>65</v>
      </c>
      <c r="B6" s="29">
        <v>206.99</v>
      </c>
      <c r="C6" s="29">
        <v>16.087636</v>
      </c>
      <c r="D6" s="29">
        <v>16.162368</v>
      </c>
      <c r="E6" s="29">
        <v>16.44499</v>
      </c>
      <c r="F6" s="29">
        <v>15.643336</v>
      </c>
      <c r="G6" s="29"/>
      <c r="H6" s="29"/>
      <c r="I6" s="29"/>
      <c r="J6" s="30"/>
      <c r="K6" s="30"/>
      <c r="L6" s="30"/>
      <c r="M6" s="30"/>
      <c r="N6" s="30"/>
      <c r="O6" s="31">
        <f t="shared" si="2"/>
        <v>64.33833</v>
      </c>
      <c r="P6" s="32">
        <f t="shared" si="3"/>
        <v>0.310828204261075</v>
      </c>
    </row>
    <row r="7" customHeight="1" spans="1:16">
      <c r="A7" s="28" t="s">
        <v>66</v>
      </c>
      <c r="B7" s="29">
        <v>0</v>
      </c>
      <c r="C7" s="29">
        <v>0</v>
      </c>
      <c r="D7" s="29">
        <v>0</v>
      </c>
      <c r="E7" s="29">
        <v>0</v>
      </c>
      <c r="F7" s="29">
        <v>0</v>
      </c>
      <c r="G7" s="29">
        <v>0</v>
      </c>
      <c r="H7" s="29">
        <v>0</v>
      </c>
      <c r="I7" s="29">
        <v>0</v>
      </c>
      <c r="J7" s="29">
        <v>0</v>
      </c>
      <c r="K7" s="29">
        <v>0</v>
      </c>
      <c r="L7" s="29">
        <v>0</v>
      </c>
      <c r="M7" s="29">
        <v>0</v>
      </c>
      <c r="N7" s="29">
        <v>0</v>
      </c>
      <c r="O7" s="31">
        <f t="shared" si="2"/>
        <v>0</v>
      </c>
      <c r="P7" s="32">
        <f t="shared" si="3"/>
        <v>0</v>
      </c>
    </row>
    <row r="8" customHeight="1" spans="1:16">
      <c r="A8" s="28" t="s">
        <v>67</v>
      </c>
      <c r="B8" s="29">
        <v>10.09</v>
      </c>
      <c r="C8" s="29">
        <v>0.30229</v>
      </c>
      <c r="D8" s="29">
        <v>0.35243</v>
      </c>
      <c r="E8" s="29">
        <v>0.7525</v>
      </c>
      <c r="F8" s="29">
        <v>0.282261</v>
      </c>
      <c r="G8" s="29"/>
      <c r="H8" s="29"/>
      <c r="I8" s="29"/>
      <c r="J8" s="30"/>
      <c r="K8" s="30"/>
      <c r="L8" s="30"/>
      <c r="M8" s="30"/>
      <c r="N8" s="30"/>
      <c r="O8" s="31">
        <f t="shared" si="2"/>
        <v>1.689481</v>
      </c>
      <c r="P8" s="32">
        <f t="shared" si="3"/>
        <v>0.167441129831516</v>
      </c>
    </row>
    <row r="9" customHeight="1" spans="1:16">
      <c r="A9" s="28" t="s">
        <v>68</v>
      </c>
      <c r="B9" s="29">
        <v>77.51</v>
      </c>
      <c r="C9" s="29">
        <v>5.874632</v>
      </c>
      <c r="D9" s="29">
        <v>5.874632</v>
      </c>
      <c r="E9" s="29">
        <v>5.793237</v>
      </c>
      <c r="F9" s="29">
        <v>5.793237</v>
      </c>
      <c r="G9" s="29"/>
      <c r="H9" s="29"/>
      <c r="I9" s="29"/>
      <c r="J9" s="30"/>
      <c r="K9" s="30"/>
      <c r="L9" s="30"/>
      <c r="M9" s="30"/>
      <c r="N9" s="30"/>
      <c r="O9" s="31">
        <f t="shared" si="2"/>
        <v>23.335738</v>
      </c>
      <c r="P9" s="32">
        <f t="shared" si="3"/>
        <v>0.301067449361373</v>
      </c>
    </row>
    <row r="10" customHeight="1" spans="1:16">
      <c r="A10" s="28" t="s">
        <v>69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31">
        <f t="shared" si="2"/>
        <v>0</v>
      </c>
      <c r="P10" s="32">
        <f t="shared" si="3"/>
        <v>0</v>
      </c>
    </row>
    <row r="11" customHeight="1" spans="1:16">
      <c r="A11" s="28" t="s">
        <v>70</v>
      </c>
      <c r="B11" s="29">
        <v>0</v>
      </c>
      <c r="C11" s="29">
        <v>0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31">
        <f t="shared" si="2"/>
        <v>0</v>
      </c>
      <c r="P11" s="32">
        <f t="shared" si="3"/>
        <v>0</v>
      </c>
    </row>
    <row r="12" customHeight="1" spans="1:16">
      <c r="A12" s="28" t="s">
        <v>71</v>
      </c>
      <c r="B12" s="29">
        <v>0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31">
        <f t="shared" si="2"/>
        <v>0</v>
      </c>
      <c r="P12" s="32">
        <f t="shared" si="3"/>
        <v>0</v>
      </c>
    </row>
    <row r="13" customHeight="1" spans="1:16">
      <c r="A13" s="28" t="s">
        <v>72</v>
      </c>
      <c r="B13" s="29">
        <v>1.1</v>
      </c>
      <c r="C13" s="29">
        <v>0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31">
        <f t="shared" si="2"/>
        <v>0</v>
      </c>
      <c r="P13" s="32">
        <f t="shared" si="3"/>
        <v>0</v>
      </c>
    </row>
    <row r="14" customHeight="1" spans="1:16">
      <c r="A14" s="28" t="s">
        <v>73</v>
      </c>
      <c r="B14" s="29">
        <v>0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0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31">
        <f t="shared" ref="O13:O39" si="4">SUM(C14:N14)</f>
        <v>0</v>
      </c>
      <c r="P14" s="32">
        <f t="shared" ref="P13:P70" si="5">IFERROR(O14/B14,)</f>
        <v>0</v>
      </c>
    </row>
    <row r="15" customHeight="1" spans="1:16">
      <c r="A15" s="25" t="s">
        <v>74</v>
      </c>
      <c r="B15" s="25">
        <f t="shared" ref="B15:N15" si="6">B16+B22</f>
        <v>2515.07</v>
      </c>
      <c r="C15" s="25">
        <f t="shared" si="6"/>
        <v>13.257536</v>
      </c>
      <c r="D15" s="25">
        <f t="shared" si="6"/>
        <v>4.569337</v>
      </c>
      <c r="E15" s="25">
        <f t="shared" si="6"/>
        <v>4.939611</v>
      </c>
      <c r="F15" s="25">
        <f t="shared" si="6"/>
        <v>271.321517</v>
      </c>
      <c r="G15" s="25">
        <f t="shared" si="6"/>
        <v>0</v>
      </c>
      <c r="H15" s="25">
        <f t="shared" si="6"/>
        <v>0</v>
      </c>
      <c r="I15" s="25">
        <f t="shared" si="6"/>
        <v>0</v>
      </c>
      <c r="J15" s="27">
        <f t="shared" si="6"/>
        <v>0</v>
      </c>
      <c r="K15" s="27">
        <f t="shared" si="6"/>
        <v>0</v>
      </c>
      <c r="L15" s="27">
        <f t="shared" si="6"/>
        <v>0</v>
      </c>
      <c r="M15" s="27">
        <f t="shared" si="6"/>
        <v>0</v>
      </c>
      <c r="N15" s="27">
        <f t="shared" si="6"/>
        <v>0</v>
      </c>
      <c r="O15" s="25">
        <f t="shared" si="4"/>
        <v>294.088001</v>
      </c>
      <c r="P15" s="26">
        <f t="shared" si="5"/>
        <v>0.116930344284652</v>
      </c>
    </row>
    <row r="16" customHeight="1" spans="1:16">
      <c r="A16" s="25" t="s">
        <v>75</v>
      </c>
      <c r="B16" s="25">
        <f t="shared" ref="B16:N16" si="7">SUM(B17:B21)</f>
        <v>2177.17</v>
      </c>
      <c r="C16" s="25">
        <f t="shared" si="7"/>
        <v>4</v>
      </c>
      <c r="D16" s="25">
        <f t="shared" si="7"/>
        <v>4</v>
      </c>
      <c r="E16" s="25">
        <f t="shared" si="7"/>
        <v>4</v>
      </c>
      <c r="F16" s="25">
        <f t="shared" si="7"/>
        <v>268.041162</v>
      </c>
      <c r="G16" s="25">
        <f t="shared" si="7"/>
        <v>0</v>
      </c>
      <c r="H16" s="25">
        <f t="shared" si="7"/>
        <v>0</v>
      </c>
      <c r="I16" s="25">
        <f t="shared" si="7"/>
        <v>0</v>
      </c>
      <c r="J16" s="27">
        <f t="shared" si="7"/>
        <v>0</v>
      </c>
      <c r="K16" s="27">
        <f t="shared" si="7"/>
        <v>0</v>
      </c>
      <c r="L16" s="27">
        <f t="shared" si="7"/>
        <v>0</v>
      </c>
      <c r="M16" s="27">
        <f t="shared" si="7"/>
        <v>0</v>
      </c>
      <c r="N16" s="27">
        <f t="shared" si="7"/>
        <v>0</v>
      </c>
      <c r="O16" s="25">
        <f t="shared" si="4"/>
        <v>280.041162</v>
      </c>
      <c r="P16" s="26">
        <f t="shared" si="5"/>
        <v>0.128626226707147</v>
      </c>
    </row>
    <row r="17" customHeight="1" spans="1:16">
      <c r="A17" s="28" t="s">
        <v>76</v>
      </c>
      <c r="B17" s="29">
        <f>48+2129.17</f>
        <v>2177.17</v>
      </c>
      <c r="C17" s="29">
        <v>4</v>
      </c>
      <c r="D17" s="29">
        <v>4</v>
      </c>
      <c r="E17" s="29">
        <v>4</v>
      </c>
      <c r="F17" s="29">
        <f>4+264.041162</f>
        <v>268.041162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31">
        <f t="shared" si="4"/>
        <v>280.041162</v>
      </c>
      <c r="P17" s="32">
        <f t="shared" si="5"/>
        <v>0.128626226707147</v>
      </c>
    </row>
    <row r="18" customHeight="1" spans="1:16">
      <c r="A18" s="28" t="s">
        <v>77</v>
      </c>
      <c r="B18" s="29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30">
        <v>0</v>
      </c>
      <c r="K18" s="30">
        <v>0</v>
      </c>
      <c r="L18" s="30">
        <v>0</v>
      </c>
      <c r="M18" s="29">
        <v>0</v>
      </c>
      <c r="N18" s="29">
        <v>0</v>
      </c>
      <c r="O18" s="31">
        <f t="shared" si="4"/>
        <v>0</v>
      </c>
      <c r="P18" s="32">
        <f t="shared" si="5"/>
        <v>0</v>
      </c>
    </row>
    <row r="19" customHeight="1" spans="1:16">
      <c r="A19" s="28" t="s">
        <v>78</v>
      </c>
      <c r="B19" s="29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30">
        <v>0</v>
      </c>
      <c r="K19" s="30">
        <v>0</v>
      </c>
      <c r="L19" s="30">
        <v>0</v>
      </c>
      <c r="M19" s="29">
        <v>0</v>
      </c>
      <c r="N19" s="29">
        <v>0</v>
      </c>
      <c r="O19" s="31">
        <f t="shared" si="4"/>
        <v>0</v>
      </c>
      <c r="P19" s="32">
        <f t="shared" si="5"/>
        <v>0</v>
      </c>
    </row>
    <row r="20" customHeight="1" spans="1:16">
      <c r="A20" s="28" t="s">
        <v>79</v>
      </c>
      <c r="B20" s="29">
        <v>0</v>
      </c>
      <c r="C20" s="29">
        <v>0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30">
        <v>0</v>
      </c>
      <c r="K20" s="30">
        <v>0</v>
      </c>
      <c r="L20" s="30">
        <v>0</v>
      </c>
      <c r="M20" s="29">
        <v>0</v>
      </c>
      <c r="N20" s="29">
        <v>0</v>
      </c>
      <c r="O20" s="31">
        <f t="shared" si="4"/>
        <v>0</v>
      </c>
      <c r="P20" s="32">
        <f t="shared" si="5"/>
        <v>0</v>
      </c>
    </row>
    <row r="21" customHeight="1" spans="1:16">
      <c r="A21" s="28" t="s">
        <v>80</v>
      </c>
      <c r="B21" s="29">
        <v>0</v>
      </c>
      <c r="C21" s="29">
        <v>0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30">
        <v>0</v>
      </c>
      <c r="K21" s="30">
        <v>0</v>
      </c>
      <c r="L21" s="30">
        <v>0</v>
      </c>
      <c r="M21" s="29">
        <v>0</v>
      </c>
      <c r="N21" s="29">
        <v>0</v>
      </c>
      <c r="O21" s="31">
        <f t="shared" si="4"/>
        <v>0</v>
      </c>
      <c r="P21" s="32">
        <f t="shared" si="5"/>
        <v>0</v>
      </c>
    </row>
    <row r="22" customHeight="1" spans="1:16">
      <c r="A22" s="25" t="s">
        <v>81</v>
      </c>
      <c r="B22" s="25">
        <f t="shared" ref="B22:N22" si="8">SUM(B23:B42)</f>
        <v>337.9</v>
      </c>
      <c r="C22" s="25">
        <f t="shared" si="8"/>
        <v>9.257536</v>
      </c>
      <c r="D22" s="25">
        <f t="shared" si="8"/>
        <v>0.569337</v>
      </c>
      <c r="E22" s="25">
        <f t="shared" si="8"/>
        <v>0.939611</v>
      </c>
      <c r="F22" s="25">
        <f t="shared" si="8"/>
        <v>3.280355</v>
      </c>
      <c r="G22" s="25">
        <f t="shared" si="8"/>
        <v>0</v>
      </c>
      <c r="H22" s="25">
        <f t="shared" si="8"/>
        <v>0</v>
      </c>
      <c r="I22" s="25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5">
        <f t="shared" si="4"/>
        <v>14.046839</v>
      </c>
      <c r="P22" s="26">
        <f t="shared" si="5"/>
        <v>0.0415709943770346</v>
      </c>
    </row>
    <row r="23" customHeight="1" spans="1:16">
      <c r="A23" s="28" t="s">
        <v>82</v>
      </c>
      <c r="B23" s="29">
        <v>5</v>
      </c>
      <c r="C23" s="29">
        <v>0</v>
      </c>
      <c r="D23" s="29">
        <v>0.2637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31">
        <f t="shared" si="4"/>
        <v>0.2637</v>
      </c>
      <c r="P23" s="32">
        <f t="shared" si="5"/>
        <v>0.05274</v>
      </c>
    </row>
    <row r="24" customHeight="1" spans="1:16">
      <c r="A24" s="28" t="s">
        <v>83</v>
      </c>
      <c r="B24" s="30">
        <v>8.2</v>
      </c>
      <c r="C24" s="29">
        <v>0.051196</v>
      </c>
      <c r="D24" s="29">
        <v>0.0823</v>
      </c>
      <c r="E24" s="29">
        <v>0.6817</v>
      </c>
      <c r="F24" s="29">
        <v>0.557</v>
      </c>
      <c r="G24" s="29">
        <v>0</v>
      </c>
      <c r="H24" s="29">
        <v>0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31">
        <f t="shared" si="4"/>
        <v>1.372196</v>
      </c>
      <c r="P24" s="32">
        <f t="shared" si="5"/>
        <v>0.167340975609756</v>
      </c>
    </row>
    <row r="25" customHeight="1" spans="1:16">
      <c r="A25" s="28" t="s">
        <v>84</v>
      </c>
      <c r="B25" s="29">
        <v>0.6</v>
      </c>
      <c r="C25" s="29">
        <v>0.0402</v>
      </c>
      <c r="D25" s="29">
        <v>0.0322</v>
      </c>
      <c r="E25" s="29">
        <v>0.0198</v>
      </c>
      <c r="F25" s="29">
        <v>0.02</v>
      </c>
      <c r="G25" s="29">
        <v>0</v>
      </c>
      <c r="H25" s="29">
        <v>0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31">
        <f t="shared" si="4"/>
        <v>0.1122</v>
      </c>
      <c r="P25" s="32">
        <f t="shared" si="5"/>
        <v>0.187</v>
      </c>
    </row>
    <row r="26" customHeight="1" spans="1:16">
      <c r="A26" s="28" t="s">
        <v>85</v>
      </c>
      <c r="B26" s="29">
        <v>2</v>
      </c>
      <c r="C26" s="29">
        <v>0.04904</v>
      </c>
      <c r="D26" s="29">
        <v>0</v>
      </c>
      <c r="E26" s="29">
        <v>0.039261</v>
      </c>
      <c r="F26" s="29">
        <v>0.066235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31">
        <f t="shared" si="4"/>
        <v>0.154536</v>
      </c>
      <c r="P26" s="32">
        <f t="shared" si="5"/>
        <v>0.077268</v>
      </c>
    </row>
    <row r="27" customHeight="1" spans="1:16">
      <c r="A27" s="28" t="s">
        <v>86</v>
      </c>
      <c r="B27" s="29">
        <v>0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30">
        <v>0</v>
      </c>
      <c r="K27" s="30">
        <v>0</v>
      </c>
      <c r="L27" s="30">
        <v>0</v>
      </c>
      <c r="M27" s="29">
        <v>0</v>
      </c>
      <c r="N27" s="29">
        <v>0</v>
      </c>
      <c r="O27" s="31">
        <f t="shared" si="4"/>
        <v>0</v>
      </c>
      <c r="P27" s="32">
        <f t="shared" si="5"/>
        <v>0</v>
      </c>
    </row>
    <row r="28" customHeight="1" spans="1:16">
      <c r="A28" s="28" t="s">
        <v>87</v>
      </c>
      <c r="B28" s="29">
        <v>0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0</v>
      </c>
      <c r="J28" s="30">
        <v>0</v>
      </c>
      <c r="K28" s="30">
        <v>0</v>
      </c>
      <c r="L28" s="30">
        <v>0</v>
      </c>
      <c r="M28" s="29">
        <v>0</v>
      </c>
      <c r="N28" s="29">
        <v>0</v>
      </c>
      <c r="O28" s="31">
        <f t="shared" si="4"/>
        <v>0</v>
      </c>
      <c r="P28" s="32">
        <f t="shared" si="5"/>
        <v>0</v>
      </c>
    </row>
    <row r="29" customHeight="1" spans="1:16">
      <c r="A29" s="28" t="s">
        <v>88</v>
      </c>
      <c r="B29" s="29">
        <v>0.6</v>
      </c>
      <c r="C29" s="29">
        <v>0.0371</v>
      </c>
      <c r="D29" s="29">
        <v>0.0371</v>
      </c>
      <c r="E29" s="29">
        <v>0.0371</v>
      </c>
      <c r="F29" s="29">
        <v>0.03712</v>
      </c>
      <c r="G29" s="29">
        <v>0</v>
      </c>
      <c r="H29" s="29">
        <v>0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31">
        <f t="shared" si="4"/>
        <v>0.14842</v>
      </c>
      <c r="P29" s="32">
        <f t="shared" si="5"/>
        <v>0.247366666666667</v>
      </c>
    </row>
    <row r="30" customHeight="1" spans="1:16">
      <c r="A30" s="28" t="s">
        <v>89</v>
      </c>
      <c r="B30" s="29">
        <v>0.2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30">
        <v>0</v>
      </c>
      <c r="K30" s="29">
        <v>0</v>
      </c>
      <c r="L30" s="30">
        <v>0</v>
      </c>
      <c r="M30" s="29">
        <v>0</v>
      </c>
      <c r="N30" s="29">
        <v>0</v>
      </c>
      <c r="O30" s="31">
        <f t="shared" si="4"/>
        <v>0</v>
      </c>
      <c r="P30" s="32">
        <f t="shared" si="5"/>
        <v>0</v>
      </c>
    </row>
    <row r="31" customHeight="1" spans="1:16">
      <c r="A31" s="28" t="s">
        <v>90</v>
      </c>
      <c r="B31" s="30">
        <v>2.55</v>
      </c>
      <c r="C31" s="29">
        <v>0.08</v>
      </c>
      <c r="D31" s="29">
        <v>0.154037</v>
      </c>
      <c r="E31" s="29">
        <v>0.0118</v>
      </c>
      <c r="F31" s="29">
        <v>0.2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31">
        <f t="shared" si="4"/>
        <v>0.445837</v>
      </c>
      <c r="P31" s="32">
        <f t="shared" si="5"/>
        <v>0.174838039215686</v>
      </c>
    </row>
    <row r="32" customHeight="1" spans="1:16">
      <c r="A32" s="28" t="s">
        <v>91</v>
      </c>
      <c r="B32" s="29">
        <v>1.15</v>
      </c>
      <c r="C32" s="29">
        <v>0</v>
      </c>
      <c r="D32" s="29">
        <v>0</v>
      </c>
      <c r="E32" s="29">
        <v>0.14995</v>
      </c>
      <c r="F32" s="29">
        <v>0</v>
      </c>
      <c r="G32" s="29">
        <v>0</v>
      </c>
      <c r="H32" s="29">
        <v>0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31">
        <f t="shared" si="4"/>
        <v>0.14995</v>
      </c>
      <c r="P32" s="32">
        <f t="shared" si="5"/>
        <v>0.130391304347826</v>
      </c>
    </row>
    <row r="33" customHeight="1" spans="1:16">
      <c r="A33" s="28" t="s">
        <v>92</v>
      </c>
      <c r="B33" s="29">
        <v>0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30">
        <v>0</v>
      </c>
      <c r="K33" s="30">
        <v>0</v>
      </c>
      <c r="L33" s="30">
        <v>0</v>
      </c>
      <c r="M33" s="29">
        <v>0</v>
      </c>
      <c r="N33" s="29">
        <v>0</v>
      </c>
      <c r="O33" s="31">
        <f t="shared" si="4"/>
        <v>0</v>
      </c>
      <c r="P33" s="32">
        <f t="shared" si="5"/>
        <v>0</v>
      </c>
    </row>
    <row r="34" customHeight="1" spans="1:16">
      <c r="A34" s="28" t="s">
        <v>93</v>
      </c>
      <c r="B34" s="29">
        <v>0</v>
      </c>
      <c r="C34" s="29">
        <v>0</v>
      </c>
      <c r="D34" s="29">
        <v>0</v>
      </c>
      <c r="E34" s="29">
        <v>0</v>
      </c>
      <c r="F34" s="29">
        <v>0</v>
      </c>
      <c r="G34" s="29">
        <v>0</v>
      </c>
      <c r="H34" s="29">
        <v>0</v>
      </c>
      <c r="I34" s="29">
        <v>0</v>
      </c>
      <c r="J34" s="30">
        <v>0</v>
      </c>
      <c r="K34" s="30">
        <v>0</v>
      </c>
      <c r="L34" s="30">
        <v>0</v>
      </c>
      <c r="M34" s="29">
        <v>0</v>
      </c>
      <c r="N34" s="29">
        <v>0</v>
      </c>
      <c r="O34" s="31">
        <f t="shared" si="4"/>
        <v>0</v>
      </c>
      <c r="P34" s="32">
        <f t="shared" si="5"/>
        <v>0</v>
      </c>
    </row>
    <row r="35" customHeight="1" spans="1:16">
      <c r="A35" s="28" t="s">
        <v>94</v>
      </c>
      <c r="B35" s="29">
        <v>8</v>
      </c>
      <c r="C35" s="29">
        <v>0</v>
      </c>
      <c r="D35" s="29">
        <v>0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31">
        <f t="shared" si="4"/>
        <v>0</v>
      </c>
      <c r="P35" s="32">
        <f t="shared" si="5"/>
        <v>0</v>
      </c>
    </row>
    <row r="36" customHeight="1" spans="1:16">
      <c r="A36" s="28" t="s">
        <v>95</v>
      </c>
      <c r="B36" s="30">
        <v>309.6</v>
      </c>
      <c r="C36" s="29">
        <v>9</v>
      </c>
      <c r="D36" s="29">
        <v>0</v>
      </c>
      <c r="E36" s="29">
        <v>0</v>
      </c>
      <c r="F36" s="29">
        <v>2.4</v>
      </c>
      <c r="G36" s="29">
        <v>0</v>
      </c>
      <c r="H36" s="29">
        <v>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31">
        <f t="shared" si="4"/>
        <v>11.4</v>
      </c>
      <c r="P36" s="32">
        <f t="shared" si="5"/>
        <v>0.0368217054263566</v>
      </c>
    </row>
    <row r="37" customHeight="1" spans="1:16">
      <c r="A37" s="28" t="s">
        <v>96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30">
        <v>0</v>
      </c>
      <c r="K37" s="30">
        <v>0</v>
      </c>
      <c r="L37" s="30">
        <v>0</v>
      </c>
      <c r="M37" s="29">
        <v>0</v>
      </c>
      <c r="N37" s="29">
        <v>0</v>
      </c>
      <c r="O37" s="31">
        <f t="shared" si="4"/>
        <v>0</v>
      </c>
      <c r="P37" s="32">
        <f t="shared" si="5"/>
        <v>0</v>
      </c>
    </row>
    <row r="38" customHeight="1" spans="1:16">
      <c r="A38" s="28" t="s">
        <v>97</v>
      </c>
      <c r="B38" s="29">
        <v>0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30">
        <v>0</v>
      </c>
      <c r="K38" s="30">
        <v>0</v>
      </c>
      <c r="L38" s="30">
        <v>0</v>
      </c>
      <c r="M38" s="29">
        <v>0</v>
      </c>
      <c r="N38" s="29">
        <v>0</v>
      </c>
      <c r="O38" s="31">
        <f t="shared" si="4"/>
        <v>0</v>
      </c>
      <c r="P38" s="32">
        <f t="shared" si="5"/>
        <v>0</v>
      </c>
    </row>
    <row r="39" customHeight="1" spans="1:16">
      <c r="A39" s="28" t="s">
        <v>98</v>
      </c>
      <c r="B39" s="29">
        <v>0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30">
        <v>0</v>
      </c>
      <c r="K39" s="30">
        <v>0</v>
      </c>
      <c r="L39" s="30">
        <v>0</v>
      </c>
      <c r="M39" s="29">
        <v>0</v>
      </c>
      <c r="N39" s="29">
        <v>0</v>
      </c>
      <c r="O39" s="31">
        <f t="shared" si="4"/>
        <v>0</v>
      </c>
      <c r="P39" s="32">
        <f t="shared" si="5"/>
        <v>0</v>
      </c>
    </row>
    <row r="40" customHeight="1" spans="1:16">
      <c r="A40" s="28" t="s">
        <v>99</v>
      </c>
      <c r="B40" s="29">
        <v>0</v>
      </c>
      <c r="C40" s="29">
        <v>0</v>
      </c>
      <c r="D40" s="29">
        <v>0</v>
      </c>
      <c r="E40" s="29">
        <v>0</v>
      </c>
      <c r="F40" s="29">
        <v>0</v>
      </c>
      <c r="G40" s="29">
        <v>0</v>
      </c>
      <c r="H40" s="29">
        <v>0</v>
      </c>
      <c r="I40" s="29">
        <v>0</v>
      </c>
      <c r="J40" s="30">
        <v>0</v>
      </c>
      <c r="K40" s="30">
        <v>0</v>
      </c>
      <c r="L40" s="30">
        <v>0</v>
      </c>
      <c r="M40" s="29">
        <v>0</v>
      </c>
      <c r="N40" s="29">
        <v>0</v>
      </c>
      <c r="O40" s="31">
        <f t="shared" ref="O40:O86" si="9">SUM(C40:N40)</f>
        <v>0</v>
      </c>
      <c r="P40" s="32">
        <f t="shared" si="5"/>
        <v>0</v>
      </c>
    </row>
    <row r="41" customHeight="1" spans="1:16">
      <c r="A41" s="28" t="s">
        <v>100</v>
      </c>
      <c r="B41" s="29">
        <v>0</v>
      </c>
      <c r="C41" s="29">
        <v>0</v>
      </c>
      <c r="D41" s="29">
        <v>0</v>
      </c>
      <c r="E41" s="29">
        <v>0</v>
      </c>
      <c r="F41" s="29">
        <v>0</v>
      </c>
      <c r="G41" s="29">
        <v>0</v>
      </c>
      <c r="H41" s="29">
        <v>0</v>
      </c>
      <c r="I41" s="29">
        <v>0</v>
      </c>
      <c r="J41" s="30">
        <v>0</v>
      </c>
      <c r="K41" s="30">
        <v>0</v>
      </c>
      <c r="L41" s="30">
        <v>0</v>
      </c>
      <c r="M41" s="29">
        <v>0</v>
      </c>
      <c r="N41" s="29">
        <v>0</v>
      </c>
      <c r="O41" s="31">
        <f t="shared" si="9"/>
        <v>0</v>
      </c>
      <c r="P41" s="32">
        <f t="shared" si="5"/>
        <v>0</v>
      </c>
    </row>
    <row r="42" customHeight="1" spans="1:16">
      <c r="A42" s="28" t="s">
        <v>101</v>
      </c>
      <c r="B42" s="29">
        <v>0</v>
      </c>
      <c r="C42" s="29">
        <v>0</v>
      </c>
      <c r="D42" s="29">
        <v>0</v>
      </c>
      <c r="E42" s="29">
        <v>0</v>
      </c>
      <c r="F42" s="29">
        <v>0</v>
      </c>
      <c r="G42" s="29">
        <v>0</v>
      </c>
      <c r="H42" s="29">
        <v>0</v>
      </c>
      <c r="I42" s="29">
        <v>0</v>
      </c>
      <c r="J42" s="30">
        <v>0</v>
      </c>
      <c r="K42" s="30">
        <v>0</v>
      </c>
      <c r="L42" s="30">
        <v>0</v>
      </c>
      <c r="M42" s="29">
        <v>0</v>
      </c>
      <c r="N42" s="29">
        <v>0</v>
      </c>
      <c r="O42" s="31">
        <f t="shared" si="9"/>
        <v>0</v>
      </c>
      <c r="P42" s="32">
        <f t="shared" si="5"/>
        <v>0</v>
      </c>
    </row>
    <row r="43" customHeight="1" spans="1:16">
      <c r="A43" s="25" t="s">
        <v>32</v>
      </c>
      <c r="B43" s="25">
        <f t="shared" ref="B43:N43" si="10">B44+B69</f>
        <v>73.05</v>
      </c>
      <c r="C43" s="25">
        <f t="shared" si="10"/>
        <v>1.321</v>
      </c>
      <c r="D43" s="25">
        <f t="shared" si="10"/>
        <v>3.6317</v>
      </c>
      <c r="E43" s="25">
        <f t="shared" si="10"/>
        <v>9.20292</v>
      </c>
      <c r="F43" s="25">
        <f t="shared" si="10"/>
        <v>0.47674</v>
      </c>
      <c r="G43" s="25">
        <f t="shared" si="10"/>
        <v>0</v>
      </c>
      <c r="H43" s="25">
        <f t="shared" si="10"/>
        <v>0</v>
      </c>
      <c r="I43" s="25">
        <f t="shared" si="10"/>
        <v>0</v>
      </c>
      <c r="J43" s="27">
        <f t="shared" si="10"/>
        <v>0</v>
      </c>
      <c r="K43" s="27">
        <f t="shared" si="10"/>
        <v>0</v>
      </c>
      <c r="L43" s="27">
        <f t="shared" si="10"/>
        <v>0</v>
      </c>
      <c r="M43" s="27">
        <f t="shared" si="10"/>
        <v>0</v>
      </c>
      <c r="N43" s="27">
        <f t="shared" si="10"/>
        <v>0</v>
      </c>
      <c r="O43" s="25">
        <f t="shared" si="9"/>
        <v>14.63236</v>
      </c>
      <c r="P43" s="26">
        <f t="shared" si="5"/>
        <v>0.200306091718001</v>
      </c>
    </row>
    <row r="44" customHeight="1" spans="1:16">
      <c r="A44" s="25" t="s">
        <v>102</v>
      </c>
      <c r="B44" s="25">
        <f t="shared" ref="B44:N44" si="11">B45+B66</f>
        <v>73.05</v>
      </c>
      <c r="C44" s="25">
        <f t="shared" si="11"/>
        <v>1.321</v>
      </c>
      <c r="D44" s="25">
        <f t="shared" si="11"/>
        <v>3.6317</v>
      </c>
      <c r="E44" s="25">
        <f t="shared" si="11"/>
        <v>9.20292</v>
      </c>
      <c r="F44" s="25">
        <f t="shared" si="11"/>
        <v>0.47674</v>
      </c>
      <c r="G44" s="25">
        <f t="shared" si="11"/>
        <v>0</v>
      </c>
      <c r="H44" s="25">
        <f t="shared" si="11"/>
        <v>0</v>
      </c>
      <c r="I44" s="25">
        <f t="shared" si="11"/>
        <v>0</v>
      </c>
      <c r="J44" s="27">
        <f t="shared" si="11"/>
        <v>0</v>
      </c>
      <c r="K44" s="27">
        <f t="shared" si="11"/>
        <v>0</v>
      </c>
      <c r="L44" s="27">
        <f t="shared" si="11"/>
        <v>0</v>
      </c>
      <c r="M44" s="27">
        <f t="shared" si="11"/>
        <v>0</v>
      </c>
      <c r="N44" s="27">
        <f t="shared" si="11"/>
        <v>0</v>
      </c>
      <c r="O44" s="25">
        <f t="shared" si="9"/>
        <v>14.63236</v>
      </c>
      <c r="P44" s="26">
        <f t="shared" si="5"/>
        <v>0.200306091718001</v>
      </c>
    </row>
    <row r="45" customHeight="1" spans="1:16">
      <c r="A45" s="25" t="s">
        <v>103</v>
      </c>
      <c r="B45" s="25">
        <f t="shared" ref="B45:N45" si="12">SUM(B46:B65)</f>
        <v>32.7</v>
      </c>
      <c r="C45" s="25">
        <f t="shared" si="12"/>
        <v>1.321</v>
      </c>
      <c r="D45" s="25">
        <f t="shared" si="12"/>
        <v>3.6317</v>
      </c>
      <c r="E45" s="25">
        <f t="shared" si="12"/>
        <v>0.5856</v>
      </c>
      <c r="F45" s="25">
        <f t="shared" si="12"/>
        <v>0.47674</v>
      </c>
      <c r="G45" s="25">
        <f t="shared" si="12"/>
        <v>0</v>
      </c>
      <c r="H45" s="25">
        <f t="shared" si="12"/>
        <v>0</v>
      </c>
      <c r="I45" s="25">
        <f t="shared" si="12"/>
        <v>0</v>
      </c>
      <c r="J45" s="27">
        <f t="shared" si="12"/>
        <v>0</v>
      </c>
      <c r="K45" s="27">
        <f t="shared" si="12"/>
        <v>0</v>
      </c>
      <c r="L45" s="27">
        <f t="shared" si="12"/>
        <v>0</v>
      </c>
      <c r="M45" s="27">
        <f t="shared" si="12"/>
        <v>0</v>
      </c>
      <c r="N45" s="27">
        <f t="shared" si="12"/>
        <v>0</v>
      </c>
      <c r="O45" s="25">
        <f t="shared" si="9"/>
        <v>6.01504</v>
      </c>
      <c r="P45" s="26">
        <f t="shared" si="5"/>
        <v>0.183946177370031</v>
      </c>
    </row>
    <row r="46" customHeight="1" spans="1:16">
      <c r="A46" s="28" t="s">
        <v>82</v>
      </c>
      <c r="B46" s="29">
        <v>0</v>
      </c>
      <c r="C46" s="29">
        <v>0</v>
      </c>
      <c r="D46" s="29">
        <v>0</v>
      </c>
      <c r="E46" s="29">
        <v>0</v>
      </c>
      <c r="F46" s="29">
        <v>0</v>
      </c>
      <c r="G46" s="29">
        <v>0</v>
      </c>
      <c r="H46" s="29">
        <v>0</v>
      </c>
      <c r="I46" s="29">
        <v>0</v>
      </c>
      <c r="J46" s="29">
        <v>0</v>
      </c>
      <c r="K46" s="30">
        <v>0</v>
      </c>
      <c r="L46" s="30">
        <v>0</v>
      </c>
      <c r="M46" s="30">
        <v>0</v>
      </c>
      <c r="N46" s="30">
        <v>0</v>
      </c>
      <c r="O46" s="31">
        <f t="shared" si="9"/>
        <v>0</v>
      </c>
      <c r="P46" s="32">
        <f t="shared" si="5"/>
        <v>0</v>
      </c>
    </row>
    <row r="47" customHeight="1" spans="1:16">
      <c r="A47" s="28" t="s">
        <v>83</v>
      </c>
      <c r="B47" s="29">
        <v>5</v>
      </c>
      <c r="C47" s="29">
        <v>0.1354</v>
      </c>
      <c r="D47" s="29">
        <v>0.8653</v>
      </c>
      <c r="E47" s="29">
        <v>0.5856</v>
      </c>
      <c r="F47" s="29">
        <v>0.47674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31">
        <f t="shared" si="9"/>
        <v>2.06304</v>
      </c>
      <c r="P47" s="32">
        <f t="shared" si="5"/>
        <v>0.412608</v>
      </c>
    </row>
    <row r="48" customHeight="1" spans="1:16">
      <c r="A48" s="28" t="s">
        <v>84</v>
      </c>
      <c r="B48" s="29">
        <v>0</v>
      </c>
      <c r="C48" s="29">
        <v>0</v>
      </c>
      <c r="D48" s="29">
        <v>0</v>
      </c>
      <c r="E48" s="29">
        <v>0</v>
      </c>
      <c r="F48" s="29">
        <v>0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31">
        <f t="shared" si="9"/>
        <v>0</v>
      </c>
      <c r="P48" s="32">
        <f t="shared" si="5"/>
        <v>0</v>
      </c>
    </row>
    <row r="49" customHeight="1" spans="1:16">
      <c r="A49" s="28" t="s">
        <v>85</v>
      </c>
      <c r="B49" s="29">
        <v>0</v>
      </c>
      <c r="C49" s="29">
        <v>0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31">
        <f t="shared" si="9"/>
        <v>0</v>
      </c>
      <c r="P49" s="32">
        <f t="shared" si="5"/>
        <v>0</v>
      </c>
    </row>
    <row r="50" customHeight="1" spans="1:16">
      <c r="A50" s="28" t="s">
        <v>88</v>
      </c>
      <c r="B50" s="29">
        <v>0</v>
      </c>
      <c r="C50" s="29">
        <v>0</v>
      </c>
      <c r="D50" s="29">
        <v>0</v>
      </c>
      <c r="E50" s="29">
        <v>0</v>
      </c>
      <c r="F50" s="29">
        <v>0</v>
      </c>
      <c r="G50" s="29">
        <v>0</v>
      </c>
      <c r="H50" s="29">
        <v>0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31">
        <f t="shared" si="9"/>
        <v>0</v>
      </c>
      <c r="P50" s="32">
        <f t="shared" si="5"/>
        <v>0</v>
      </c>
    </row>
    <row r="51" customHeight="1" spans="1:16">
      <c r="A51" s="28" t="s">
        <v>89</v>
      </c>
      <c r="B51" s="29">
        <v>0.2</v>
      </c>
      <c r="C51" s="29">
        <v>0</v>
      </c>
      <c r="D51" s="29">
        <v>0</v>
      </c>
      <c r="E51" s="29">
        <v>0</v>
      </c>
      <c r="F51" s="29">
        <v>0</v>
      </c>
      <c r="G51" s="29">
        <v>0</v>
      </c>
      <c r="H51" s="29">
        <v>0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31">
        <f t="shared" si="9"/>
        <v>0</v>
      </c>
      <c r="P51" s="32">
        <f t="shared" si="5"/>
        <v>0</v>
      </c>
    </row>
    <row r="52" customHeight="1" spans="1:16">
      <c r="A52" s="28" t="s">
        <v>90</v>
      </c>
      <c r="B52" s="29">
        <v>0</v>
      </c>
      <c r="C52" s="29">
        <v>0</v>
      </c>
      <c r="D52" s="29">
        <v>0</v>
      </c>
      <c r="E52" s="29">
        <v>0</v>
      </c>
      <c r="F52" s="29">
        <v>0</v>
      </c>
      <c r="G52" s="29">
        <v>0</v>
      </c>
      <c r="H52" s="29">
        <v>0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31">
        <f t="shared" si="9"/>
        <v>0</v>
      </c>
      <c r="P52" s="32">
        <f t="shared" si="5"/>
        <v>0</v>
      </c>
    </row>
    <row r="53" customHeight="1" spans="1:16">
      <c r="A53" s="28" t="s">
        <v>91</v>
      </c>
      <c r="B53" s="29">
        <v>0</v>
      </c>
      <c r="C53" s="29">
        <v>0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31">
        <f t="shared" si="9"/>
        <v>0</v>
      </c>
      <c r="P53" s="32">
        <f t="shared" si="5"/>
        <v>0</v>
      </c>
    </row>
    <row r="54" customHeight="1" spans="1:16">
      <c r="A54" s="28" t="s">
        <v>92</v>
      </c>
      <c r="B54" s="29">
        <v>0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31">
        <f t="shared" si="9"/>
        <v>0</v>
      </c>
      <c r="P54" s="32">
        <f t="shared" si="5"/>
        <v>0</v>
      </c>
    </row>
    <row r="55" customHeight="1" spans="1:16">
      <c r="A55" s="28" t="s">
        <v>93</v>
      </c>
      <c r="B55" s="29">
        <v>19.5</v>
      </c>
      <c r="C55" s="29">
        <v>1.1856</v>
      </c>
      <c r="D55" s="29">
        <v>2.7664</v>
      </c>
      <c r="E55" s="29">
        <v>0</v>
      </c>
      <c r="F55" s="29">
        <v>0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31">
        <f t="shared" si="9"/>
        <v>3.952</v>
      </c>
      <c r="P55" s="32">
        <f t="shared" si="5"/>
        <v>0.202666666666667</v>
      </c>
    </row>
    <row r="56" customHeight="1" spans="1:16">
      <c r="A56" s="28" t="s">
        <v>94</v>
      </c>
      <c r="B56" s="29">
        <v>0</v>
      </c>
      <c r="C56" s="29">
        <v>0</v>
      </c>
      <c r="D56" s="29">
        <v>0</v>
      </c>
      <c r="E56" s="29">
        <v>0</v>
      </c>
      <c r="F56" s="29">
        <v>0</v>
      </c>
      <c r="G56" s="29">
        <v>0</v>
      </c>
      <c r="H56" s="29">
        <v>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31">
        <f t="shared" si="9"/>
        <v>0</v>
      </c>
      <c r="P56" s="32">
        <f t="shared" si="5"/>
        <v>0</v>
      </c>
    </row>
    <row r="57" customHeight="1" spans="1:16">
      <c r="A57" s="28" t="s">
        <v>95</v>
      </c>
      <c r="B57" s="29">
        <v>8</v>
      </c>
      <c r="C57" s="29">
        <v>0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31">
        <f t="shared" si="9"/>
        <v>0</v>
      </c>
      <c r="P57" s="32">
        <f t="shared" si="5"/>
        <v>0</v>
      </c>
    </row>
    <row r="58" customHeight="1" spans="1:16">
      <c r="A58" s="28" t="s">
        <v>96</v>
      </c>
      <c r="B58" s="29">
        <v>0</v>
      </c>
      <c r="C58" s="29">
        <v>0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31">
        <f t="shared" si="9"/>
        <v>0</v>
      </c>
      <c r="P58" s="32">
        <f t="shared" si="5"/>
        <v>0</v>
      </c>
    </row>
    <row r="59" customHeight="1" spans="1:16">
      <c r="A59" s="28" t="s">
        <v>97</v>
      </c>
      <c r="B59" s="29">
        <v>0</v>
      </c>
      <c r="C59" s="29">
        <v>0</v>
      </c>
      <c r="D59" s="29">
        <v>0</v>
      </c>
      <c r="E59" s="29">
        <v>0</v>
      </c>
      <c r="F59" s="29">
        <v>0</v>
      </c>
      <c r="G59" s="29">
        <v>0</v>
      </c>
      <c r="H59" s="29">
        <v>0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31">
        <f t="shared" si="9"/>
        <v>0</v>
      </c>
      <c r="P59" s="32">
        <f t="shared" si="5"/>
        <v>0</v>
      </c>
    </row>
    <row r="60" customHeight="1" spans="1:16">
      <c r="A60" s="28" t="s">
        <v>98</v>
      </c>
      <c r="B60" s="29">
        <v>0</v>
      </c>
      <c r="C60" s="29">
        <v>0</v>
      </c>
      <c r="D60" s="29">
        <v>0</v>
      </c>
      <c r="E60" s="29">
        <v>0</v>
      </c>
      <c r="F60" s="29">
        <v>0</v>
      </c>
      <c r="G60" s="29">
        <v>0</v>
      </c>
      <c r="H60" s="29">
        <v>0</v>
      </c>
      <c r="I60" s="29">
        <v>0</v>
      </c>
      <c r="J60" s="29">
        <v>0</v>
      </c>
      <c r="K60" s="30">
        <v>0</v>
      </c>
      <c r="L60" s="30">
        <v>0</v>
      </c>
      <c r="M60" s="30">
        <v>0</v>
      </c>
      <c r="N60" s="30">
        <v>0</v>
      </c>
      <c r="O60" s="31">
        <f t="shared" si="9"/>
        <v>0</v>
      </c>
      <c r="P60" s="32">
        <f t="shared" si="5"/>
        <v>0</v>
      </c>
    </row>
    <row r="61" customHeight="1" spans="1:16">
      <c r="A61" s="28" t="s">
        <v>76</v>
      </c>
      <c r="B61" s="29">
        <v>0</v>
      </c>
      <c r="C61" s="29">
        <v>0</v>
      </c>
      <c r="D61" s="29">
        <v>0</v>
      </c>
      <c r="E61" s="29">
        <v>0</v>
      </c>
      <c r="F61" s="29">
        <v>0</v>
      </c>
      <c r="G61" s="29">
        <v>0</v>
      </c>
      <c r="H61" s="29">
        <v>0</v>
      </c>
      <c r="I61" s="29">
        <v>0</v>
      </c>
      <c r="J61" s="29">
        <v>0</v>
      </c>
      <c r="K61" s="30">
        <v>0</v>
      </c>
      <c r="L61" s="30">
        <v>0</v>
      </c>
      <c r="M61" s="30">
        <v>0</v>
      </c>
      <c r="N61" s="30">
        <v>0</v>
      </c>
      <c r="O61" s="31">
        <f t="shared" si="9"/>
        <v>0</v>
      </c>
      <c r="P61" s="32">
        <f t="shared" si="5"/>
        <v>0</v>
      </c>
    </row>
    <row r="62" customHeight="1" spans="1:16">
      <c r="A62" s="28" t="s">
        <v>77</v>
      </c>
      <c r="B62" s="29">
        <v>0</v>
      </c>
      <c r="C62" s="29">
        <v>0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30">
        <v>0</v>
      </c>
      <c r="L62" s="30">
        <v>0</v>
      </c>
      <c r="M62" s="30">
        <v>0</v>
      </c>
      <c r="N62" s="30">
        <v>0</v>
      </c>
      <c r="O62" s="31">
        <f t="shared" si="9"/>
        <v>0</v>
      </c>
      <c r="P62" s="32">
        <f t="shared" si="5"/>
        <v>0</v>
      </c>
    </row>
    <row r="63" customHeight="1" spans="1:16">
      <c r="A63" s="28" t="s">
        <v>104</v>
      </c>
      <c r="B63" s="29">
        <v>0</v>
      </c>
      <c r="C63" s="29">
        <v>0</v>
      </c>
      <c r="D63" s="29">
        <v>0</v>
      </c>
      <c r="E63" s="29">
        <v>0</v>
      </c>
      <c r="F63" s="29">
        <v>0</v>
      </c>
      <c r="G63" s="29">
        <v>0</v>
      </c>
      <c r="H63" s="29">
        <v>0</v>
      </c>
      <c r="I63" s="29">
        <v>0</v>
      </c>
      <c r="J63" s="29">
        <v>0</v>
      </c>
      <c r="K63" s="30">
        <v>0</v>
      </c>
      <c r="L63" s="30">
        <v>0</v>
      </c>
      <c r="M63" s="30">
        <v>0</v>
      </c>
      <c r="N63" s="30">
        <v>0</v>
      </c>
      <c r="O63" s="31">
        <f t="shared" si="9"/>
        <v>0</v>
      </c>
      <c r="P63" s="32">
        <f t="shared" si="5"/>
        <v>0</v>
      </c>
    </row>
    <row r="64" customHeight="1" spans="1:16">
      <c r="A64" s="28" t="s">
        <v>105</v>
      </c>
      <c r="B64" s="29">
        <v>0</v>
      </c>
      <c r="C64" s="29">
        <v>0</v>
      </c>
      <c r="D64" s="29">
        <v>0</v>
      </c>
      <c r="E64" s="29">
        <v>0</v>
      </c>
      <c r="F64" s="29">
        <v>0</v>
      </c>
      <c r="G64" s="29">
        <v>0</v>
      </c>
      <c r="H64" s="29">
        <v>0</v>
      </c>
      <c r="I64" s="29">
        <v>0</v>
      </c>
      <c r="J64" s="29">
        <v>0</v>
      </c>
      <c r="K64" s="30">
        <v>0</v>
      </c>
      <c r="L64" s="30">
        <v>0</v>
      </c>
      <c r="M64" s="30">
        <v>0</v>
      </c>
      <c r="N64" s="30">
        <v>0</v>
      </c>
      <c r="O64" s="31">
        <f t="shared" si="9"/>
        <v>0</v>
      </c>
      <c r="P64" s="32">
        <f t="shared" si="5"/>
        <v>0</v>
      </c>
    </row>
    <row r="65" customHeight="1" spans="1:16">
      <c r="A65" s="28" t="s">
        <v>101</v>
      </c>
      <c r="B65" s="29">
        <v>0</v>
      </c>
      <c r="C65" s="29">
        <v>0</v>
      </c>
      <c r="D65" s="29">
        <v>0</v>
      </c>
      <c r="E65" s="29">
        <v>0</v>
      </c>
      <c r="F65" s="29">
        <v>0</v>
      </c>
      <c r="G65" s="29">
        <v>0</v>
      </c>
      <c r="H65" s="29">
        <v>0</v>
      </c>
      <c r="I65" s="29">
        <v>0</v>
      </c>
      <c r="J65" s="29">
        <v>0</v>
      </c>
      <c r="K65" s="30">
        <v>0</v>
      </c>
      <c r="L65" s="30">
        <v>0</v>
      </c>
      <c r="M65" s="30">
        <v>0</v>
      </c>
      <c r="N65" s="30">
        <v>0</v>
      </c>
      <c r="O65" s="31">
        <f t="shared" si="9"/>
        <v>0</v>
      </c>
      <c r="P65" s="32">
        <f t="shared" si="5"/>
        <v>0</v>
      </c>
    </row>
    <row r="66" customHeight="1" spans="1:16">
      <c r="A66" s="25" t="s">
        <v>106</v>
      </c>
      <c r="B66" s="25">
        <f t="shared" ref="B66:N66" si="13">SUM(B67:B68)</f>
        <v>40.35</v>
      </c>
      <c r="C66" s="25">
        <f t="shared" si="13"/>
        <v>0</v>
      </c>
      <c r="D66" s="25">
        <f t="shared" si="13"/>
        <v>0</v>
      </c>
      <c r="E66" s="25">
        <f t="shared" si="13"/>
        <v>8.61732</v>
      </c>
      <c r="F66" s="25">
        <f t="shared" si="13"/>
        <v>0</v>
      </c>
      <c r="G66" s="25">
        <f t="shared" si="13"/>
        <v>0</v>
      </c>
      <c r="H66" s="25">
        <f t="shared" si="13"/>
        <v>0</v>
      </c>
      <c r="I66" s="25">
        <f t="shared" si="13"/>
        <v>0</v>
      </c>
      <c r="J66" s="27">
        <f t="shared" si="13"/>
        <v>0</v>
      </c>
      <c r="K66" s="27">
        <f t="shared" si="13"/>
        <v>0</v>
      </c>
      <c r="L66" s="27">
        <f t="shared" si="13"/>
        <v>0</v>
      </c>
      <c r="M66" s="27">
        <f t="shared" si="13"/>
        <v>0</v>
      </c>
      <c r="N66" s="27">
        <f t="shared" si="13"/>
        <v>0</v>
      </c>
      <c r="O66" s="25">
        <f t="shared" si="9"/>
        <v>8.61732</v>
      </c>
      <c r="P66" s="26">
        <f t="shared" si="5"/>
        <v>0.213564312267658</v>
      </c>
    </row>
    <row r="67" customHeight="1" spans="1:16">
      <c r="A67" s="28" t="s">
        <v>107</v>
      </c>
      <c r="B67" s="29">
        <v>40.35</v>
      </c>
      <c r="C67" s="29">
        <v>0</v>
      </c>
      <c r="D67" s="29">
        <v>0</v>
      </c>
      <c r="E67" s="29">
        <v>8.61732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30">
        <v>0</v>
      </c>
      <c r="L67" s="30">
        <v>0</v>
      </c>
      <c r="M67" s="30">
        <v>0</v>
      </c>
      <c r="N67" s="29">
        <v>0</v>
      </c>
      <c r="O67" s="31">
        <f t="shared" si="9"/>
        <v>8.61732</v>
      </c>
      <c r="P67" s="32">
        <f t="shared" si="5"/>
        <v>0.213564312267658</v>
      </c>
    </row>
    <row r="68" customHeight="1" spans="1:16">
      <c r="A68" s="28" t="s">
        <v>108</v>
      </c>
      <c r="B68" s="29">
        <v>0</v>
      </c>
      <c r="C68" s="29">
        <v>0</v>
      </c>
      <c r="D68" s="29">
        <v>0</v>
      </c>
      <c r="E68" s="29">
        <v>0</v>
      </c>
      <c r="F68" s="29">
        <v>0</v>
      </c>
      <c r="G68" s="29">
        <v>0</v>
      </c>
      <c r="H68" s="29">
        <v>0</v>
      </c>
      <c r="I68" s="29">
        <v>0</v>
      </c>
      <c r="J68" s="29">
        <v>0</v>
      </c>
      <c r="K68" s="30">
        <v>0</v>
      </c>
      <c r="L68" s="30">
        <v>0</v>
      </c>
      <c r="M68" s="30">
        <v>0</v>
      </c>
      <c r="N68" s="30">
        <v>0</v>
      </c>
      <c r="O68" s="31">
        <f t="shared" si="9"/>
        <v>0</v>
      </c>
      <c r="P68" s="32">
        <f t="shared" si="5"/>
        <v>0</v>
      </c>
    </row>
    <row r="69" customHeight="1" spans="1:16">
      <c r="A69" s="25" t="s">
        <v>109</v>
      </c>
      <c r="B69" s="25">
        <f t="shared" ref="B69:N69" si="14">B70+B76+B81</f>
        <v>0</v>
      </c>
      <c r="C69" s="25">
        <f t="shared" si="14"/>
        <v>0</v>
      </c>
      <c r="D69" s="25">
        <f t="shared" si="14"/>
        <v>0</v>
      </c>
      <c r="E69" s="25">
        <f t="shared" si="14"/>
        <v>0</v>
      </c>
      <c r="F69" s="25">
        <f t="shared" si="14"/>
        <v>0</v>
      </c>
      <c r="G69" s="25">
        <f t="shared" si="14"/>
        <v>0</v>
      </c>
      <c r="H69" s="25">
        <f t="shared" si="14"/>
        <v>0</v>
      </c>
      <c r="I69" s="25">
        <f t="shared" si="14"/>
        <v>0</v>
      </c>
      <c r="J69" s="27">
        <f t="shared" si="14"/>
        <v>0</v>
      </c>
      <c r="K69" s="27">
        <f t="shared" si="14"/>
        <v>0</v>
      </c>
      <c r="L69" s="27">
        <f t="shared" si="14"/>
        <v>0</v>
      </c>
      <c r="M69" s="27">
        <f t="shared" si="14"/>
        <v>0</v>
      </c>
      <c r="N69" s="27">
        <f t="shared" si="14"/>
        <v>0</v>
      </c>
      <c r="O69" s="25">
        <f t="shared" si="9"/>
        <v>0</v>
      </c>
      <c r="P69" s="26">
        <f t="shared" si="5"/>
        <v>0</v>
      </c>
    </row>
    <row r="70" customHeight="1" spans="1:16">
      <c r="A70" s="25" t="s">
        <v>110</v>
      </c>
      <c r="B70" s="25">
        <f t="shared" ref="B70:N70" si="15">SUM(B71:B75)</f>
        <v>0</v>
      </c>
      <c r="C70" s="25">
        <f t="shared" si="15"/>
        <v>0</v>
      </c>
      <c r="D70" s="25">
        <f t="shared" si="15"/>
        <v>0</v>
      </c>
      <c r="E70" s="25">
        <f t="shared" si="15"/>
        <v>0</v>
      </c>
      <c r="F70" s="25">
        <f t="shared" si="15"/>
        <v>0</v>
      </c>
      <c r="G70" s="25">
        <f t="shared" si="15"/>
        <v>0</v>
      </c>
      <c r="H70" s="25">
        <f t="shared" si="15"/>
        <v>0</v>
      </c>
      <c r="I70" s="25">
        <f t="shared" si="15"/>
        <v>0</v>
      </c>
      <c r="J70" s="27">
        <f t="shared" si="15"/>
        <v>0</v>
      </c>
      <c r="K70" s="27">
        <f t="shared" si="15"/>
        <v>0</v>
      </c>
      <c r="L70" s="27">
        <f t="shared" si="15"/>
        <v>0</v>
      </c>
      <c r="M70" s="27">
        <f t="shared" si="15"/>
        <v>0</v>
      </c>
      <c r="N70" s="27">
        <f t="shared" si="15"/>
        <v>0</v>
      </c>
      <c r="O70" s="25">
        <f t="shared" si="9"/>
        <v>0</v>
      </c>
      <c r="P70" s="26">
        <f t="shared" si="5"/>
        <v>0</v>
      </c>
    </row>
    <row r="71" customHeight="1" spans="1:16">
      <c r="A71" s="28" t="s">
        <v>111</v>
      </c>
      <c r="B71" s="29">
        <v>0</v>
      </c>
      <c r="C71" s="29">
        <v>0</v>
      </c>
      <c r="D71" s="29">
        <v>0</v>
      </c>
      <c r="E71" s="29">
        <v>0</v>
      </c>
      <c r="F71" s="29">
        <v>0</v>
      </c>
      <c r="G71" s="29">
        <v>0</v>
      </c>
      <c r="H71" s="29">
        <v>0</v>
      </c>
      <c r="I71" s="29">
        <v>0</v>
      </c>
      <c r="J71" s="30">
        <v>0</v>
      </c>
      <c r="K71" s="30">
        <v>0</v>
      </c>
      <c r="L71" s="30">
        <v>0</v>
      </c>
      <c r="M71" s="30">
        <v>0</v>
      </c>
      <c r="N71" s="30">
        <v>0</v>
      </c>
      <c r="O71" s="31">
        <f t="shared" si="9"/>
        <v>0</v>
      </c>
      <c r="P71" s="32">
        <f t="shared" ref="P71:P86" si="16">IFERROR(O71/B71,)</f>
        <v>0</v>
      </c>
    </row>
    <row r="72" customHeight="1" spans="1:16">
      <c r="A72" s="28" t="s">
        <v>112</v>
      </c>
      <c r="B72" s="29">
        <v>0</v>
      </c>
      <c r="C72" s="29">
        <v>0</v>
      </c>
      <c r="D72" s="29">
        <v>0</v>
      </c>
      <c r="E72" s="29">
        <v>0</v>
      </c>
      <c r="F72" s="29">
        <v>0</v>
      </c>
      <c r="G72" s="29">
        <v>0</v>
      </c>
      <c r="H72" s="29">
        <v>0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31">
        <f t="shared" si="9"/>
        <v>0</v>
      </c>
      <c r="P72" s="32">
        <f t="shared" si="16"/>
        <v>0</v>
      </c>
    </row>
    <row r="73" customHeight="1" spans="1:16">
      <c r="A73" s="28" t="s">
        <v>113</v>
      </c>
      <c r="B73" s="29">
        <v>0</v>
      </c>
      <c r="C73" s="29">
        <v>0</v>
      </c>
      <c r="D73" s="29">
        <v>0</v>
      </c>
      <c r="E73" s="29">
        <v>0</v>
      </c>
      <c r="F73" s="29">
        <v>0</v>
      </c>
      <c r="G73" s="29">
        <v>0</v>
      </c>
      <c r="H73" s="29">
        <v>0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31">
        <f t="shared" si="9"/>
        <v>0</v>
      </c>
      <c r="P73" s="32">
        <f t="shared" si="16"/>
        <v>0</v>
      </c>
    </row>
    <row r="74" customHeight="1" spans="1:16">
      <c r="A74" s="28" t="s">
        <v>114</v>
      </c>
      <c r="B74" s="29">
        <v>0</v>
      </c>
      <c r="C74" s="29">
        <v>0</v>
      </c>
      <c r="D74" s="29">
        <v>0</v>
      </c>
      <c r="E74" s="29">
        <v>0</v>
      </c>
      <c r="F74" s="29">
        <v>0</v>
      </c>
      <c r="G74" s="29">
        <v>0</v>
      </c>
      <c r="H74" s="29">
        <v>0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31">
        <f t="shared" si="9"/>
        <v>0</v>
      </c>
      <c r="P74" s="32">
        <f t="shared" si="16"/>
        <v>0</v>
      </c>
    </row>
    <row r="75" customHeight="1" spans="1:16">
      <c r="A75" s="28" t="s">
        <v>115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0</v>
      </c>
      <c r="N75" s="29">
        <v>0</v>
      </c>
      <c r="O75" s="31">
        <f t="shared" si="9"/>
        <v>0</v>
      </c>
      <c r="P75" s="32">
        <f t="shared" si="16"/>
        <v>0</v>
      </c>
    </row>
    <row r="76" customHeight="1" spans="1:16">
      <c r="A76" s="25" t="s">
        <v>116</v>
      </c>
      <c r="B76" s="25">
        <f t="shared" ref="B76:N76" si="17">SUM(B77:B80)</f>
        <v>0</v>
      </c>
      <c r="C76" s="25">
        <f t="shared" si="17"/>
        <v>0</v>
      </c>
      <c r="D76" s="25">
        <f t="shared" si="17"/>
        <v>0</v>
      </c>
      <c r="E76" s="25">
        <f t="shared" si="17"/>
        <v>0</v>
      </c>
      <c r="F76" s="25">
        <f t="shared" si="17"/>
        <v>0</v>
      </c>
      <c r="G76" s="25">
        <f t="shared" si="17"/>
        <v>0</v>
      </c>
      <c r="H76" s="25">
        <f t="shared" si="17"/>
        <v>0</v>
      </c>
      <c r="I76" s="25">
        <f t="shared" si="17"/>
        <v>0</v>
      </c>
      <c r="J76" s="25">
        <f t="shared" si="17"/>
        <v>0</v>
      </c>
      <c r="K76" s="25">
        <f t="shared" si="17"/>
        <v>0</v>
      </c>
      <c r="L76" s="25">
        <f t="shared" si="17"/>
        <v>0</v>
      </c>
      <c r="M76" s="25">
        <f t="shared" si="17"/>
        <v>0</v>
      </c>
      <c r="N76" s="25">
        <f t="shared" si="17"/>
        <v>0</v>
      </c>
      <c r="O76" s="25">
        <f t="shared" si="9"/>
        <v>0</v>
      </c>
      <c r="P76" s="26">
        <f t="shared" si="16"/>
        <v>0</v>
      </c>
    </row>
    <row r="77" customHeight="1" spans="1:16">
      <c r="A77" s="28" t="s">
        <v>117</v>
      </c>
      <c r="B77" s="29">
        <f t="shared" ref="B77:B80" si="18">SUM(C77:F77)</f>
        <v>0</v>
      </c>
      <c r="C77" s="29">
        <v>0</v>
      </c>
      <c r="D77" s="29">
        <v>0</v>
      </c>
      <c r="E77" s="29">
        <v>0</v>
      </c>
      <c r="F77" s="29">
        <v>0</v>
      </c>
      <c r="G77" s="29">
        <v>0</v>
      </c>
      <c r="H77" s="29">
        <v>0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31">
        <f t="shared" si="9"/>
        <v>0</v>
      </c>
      <c r="P77" s="32">
        <f t="shared" si="16"/>
        <v>0</v>
      </c>
    </row>
    <row r="78" customHeight="1" spans="1:16">
      <c r="A78" s="28" t="s">
        <v>118</v>
      </c>
      <c r="B78" s="29">
        <f t="shared" si="18"/>
        <v>0</v>
      </c>
      <c r="C78" s="29">
        <v>0</v>
      </c>
      <c r="D78" s="29">
        <v>0</v>
      </c>
      <c r="E78" s="29">
        <v>0</v>
      </c>
      <c r="F78" s="29">
        <v>0</v>
      </c>
      <c r="G78" s="29">
        <v>0</v>
      </c>
      <c r="H78" s="29">
        <v>0</v>
      </c>
      <c r="I78" s="29">
        <v>0</v>
      </c>
      <c r="J78" s="29">
        <v>0</v>
      </c>
      <c r="K78" s="29">
        <v>0</v>
      </c>
      <c r="L78" s="29">
        <v>0</v>
      </c>
      <c r="M78" s="29">
        <v>0</v>
      </c>
      <c r="N78" s="29">
        <v>0</v>
      </c>
      <c r="O78" s="31">
        <f t="shared" si="9"/>
        <v>0</v>
      </c>
      <c r="P78" s="32">
        <f t="shared" si="16"/>
        <v>0</v>
      </c>
    </row>
    <row r="79" customHeight="1" spans="1:16">
      <c r="A79" s="28" t="s">
        <v>119</v>
      </c>
      <c r="B79" s="29">
        <f t="shared" si="18"/>
        <v>0</v>
      </c>
      <c r="C79" s="29">
        <v>0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0</v>
      </c>
      <c r="L79" s="29">
        <v>0</v>
      </c>
      <c r="M79" s="29">
        <v>0</v>
      </c>
      <c r="N79" s="29">
        <v>0</v>
      </c>
      <c r="O79" s="31">
        <f t="shared" si="9"/>
        <v>0</v>
      </c>
      <c r="P79" s="32">
        <f t="shared" si="16"/>
        <v>0</v>
      </c>
    </row>
    <row r="80" customHeight="1" spans="1:16">
      <c r="A80" s="28" t="s">
        <v>120</v>
      </c>
      <c r="B80" s="29">
        <f t="shared" si="18"/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0</v>
      </c>
      <c r="J80" s="29">
        <v>0</v>
      </c>
      <c r="K80" s="29">
        <v>0</v>
      </c>
      <c r="L80" s="29">
        <v>0</v>
      </c>
      <c r="M80" s="29">
        <v>0</v>
      </c>
      <c r="N80" s="29">
        <v>0</v>
      </c>
      <c r="O80" s="31">
        <f t="shared" si="9"/>
        <v>0</v>
      </c>
      <c r="P80" s="32">
        <f t="shared" si="16"/>
        <v>0</v>
      </c>
    </row>
    <row r="81" customHeight="1" spans="1:18">
      <c r="A81" s="25" t="s">
        <v>121</v>
      </c>
      <c r="B81" s="25">
        <f t="shared" ref="B81:N81" si="19">SUM(B82:B83)</f>
        <v>0</v>
      </c>
      <c r="C81" s="25">
        <f t="shared" si="19"/>
        <v>0</v>
      </c>
      <c r="D81" s="25">
        <f t="shared" si="19"/>
        <v>0</v>
      </c>
      <c r="E81" s="25">
        <f t="shared" si="19"/>
        <v>0</v>
      </c>
      <c r="F81" s="25">
        <f t="shared" si="19"/>
        <v>0</v>
      </c>
      <c r="G81" s="25">
        <f t="shared" si="19"/>
        <v>0</v>
      </c>
      <c r="H81" s="25">
        <f t="shared" si="19"/>
        <v>0</v>
      </c>
      <c r="I81" s="25">
        <f t="shared" si="19"/>
        <v>0</v>
      </c>
      <c r="J81" s="27">
        <f t="shared" si="19"/>
        <v>0</v>
      </c>
      <c r="K81" s="27">
        <f t="shared" si="19"/>
        <v>0</v>
      </c>
      <c r="L81" s="27">
        <f t="shared" si="19"/>
        <v>0</v>
      </c>
      <c r="M81" s="27">
        <f t="shared" si="19"/>
        <v>0</v>
      </c>
      <c r="N81" s="27">
        <f t="shared" si="19"/>
        <v>0</v>
      </c>
      <c r="O81" s="25">
        <f t="shared" si="9"/>
        <v>0</v>
      </c>
      <c r="P81" s="26">
        <f t="shared" si="16"/>
        <v>0</v>
      </c>
    </row>
    <row r="82" customHeight="1" spans="1:18">
      <c r="A82" s="28" t="s">
        <v>122</v>
      </c>
      <c r="B82" s="29">
        <f>SUM(C82:F82)</f>
        <v>0</v>
      </c>
      <c r="C82" s="29">
        <v>0</v>
      </c>
      <c r="D82" s="29">
        <v>0</v>
      </c>
      <c r="E82" s="29">
        <v>0</v>
      </c>
      <c r="F82" s="29">
        <v>0</v>
      </c>
      <c r="G82" s="29">
        <v>0</v>
      </c>
      <c r="H82" s="29">
        <v>0</v>
      </c>
      <c r="I82" s="29">
        <v>0</v>
      </c>
      <c r="J82" s="30">
        <v>0</v>
      </c>
      <c r="K82" s="30">
        <v>0</v>
      </c>
      <c r="L82" s="30">
        <v>0</v>
      </c>
      <c r="M82" s="30">
        <v>0</v>
      </c>
      <c r="N82" s="30">
        <v>0</v>
      </c>
      <c r="O82" s="31">
        <f t="shared" si="9"/>
        <v>0</v>
      </c>
      <c r="P82" s="32">
        <f t="shared" si="16"/>
        <v>0</v>
      </c>
    </row>
    <row r="83" customHeight="1" spans="1:18">
      <c r="A83" s="28" t="s">
        <v>123</v>
      </c>
      <c r="B83" s="29">
        <f>SUM(C83:F83)</f>
        <v>0</v>
      </c>
      <c r="C83" s="29">
        <v>0</v>
      </c>
      <c r="D83" s="29">
        <v>0</v>
      </c>
      <c r="E83" s="29">
        <v>0</v>
      </c>
      <c r="F83" s="29">
        <v>0</v>
      </c>
      <c r="G83" s="29">
        <v>0</v>
      </c>
      <c r="H83" s="29">
        <v>0</v>
      </c>
      <c r="I83" s="29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1">
        <f t="shared" si="9"/>
        <v>0</v>
      </c>
      <c r="P83" s="32">
        <f t="shared" si="16"/>
        <v>0</v>
      </c>
    </row>
    <row r="84" customHeight="1" spans="1:18">
      <c r="A84" s="25" t="s">
        <v>124</v>
      </c>
      <c r="B84" s="25">
        <f t="shared" ref="B84:N84" si="20">SUM(B85:B88)</f>
        <v>6418.29</v>
      </c>
      <c r="C84" s="25">
        <f t="shared" si="20"/>
        <v>525.3673</v>
      </c>
      <c r="D84" s="25">
        <f t="shared" si="20"/>
        <v>525.35623</v>
      </c>
      <c r="E84" s="25">
        <f t="shared" si="20"/>
        <v>525.356216</v>
      </c>
      <c r="F84" s="25">
        <f t="shared" si="20"/>
        <v>525.334596</v>
      </c>
      <c r="G84" s="25">
        <f t="shared" si="20"/>
        <v>0</v>
      </c>
      <c r="H84" s="25">
        <f t="shared" si="20"/>
        <v>0</v>
      </c>
      <c r="I84" s="25">
        <f t="shared" si="20"/>
        <v>0</v>
      </c>
      <c r="J84" s="27">
        <f t="shared" si="20"/>
        <v>0</v>
      </c>
      <c r="K84" s="27">
        <f t="shared" si="20"/>
        <v>0</v>
      </c>
      <c r="L84" s="27">
        <f t="shared" si="20"/>
        <v>0</v>
      </c>
      <c r="M84" s="27">
        <f t="shared" si="20"/>
        <v>0</v>
      </c>
      <c r="N84" s="27">
        <f t="shared" si="20"/>
        <v>0</v>
      </c>
      <c r="O84" s="25">
        <f t="shared" ref="O84:O89" si="21">SUM(C84:N84)</f>
        <v>2101.414342</v>
      </c>
      <c r="P84" s="26">
        <f t="shared" si="16"/>
        <v>0.327410313650521</v>
      </c>
    </row>
    <row r="85" customHeight="1" spans="1:18">
      <c r="A85" s="28" t="s">
        <v>125</v>
      </c>
      <c r="B85" s="29">
        <v>14.27</v>
      </c>
      <c r="C85" s="29">
        <v>1.250093</v>
      </c>
      <c r="D85" s="29">
        <v>1.239023</v>
      </c>
      <c r="E85" s="29">
        <v>1.239009</v>
      </c>
      <c r="F85" s="29">
        <v>1.217389</v>
      </c>
      <c r="G85" s="29">
        <v>0</v>
      </c>
      <c r="H85" s="29">
        <v>0</v>
      </c>
      <c r="I85" s="29">
        <v>0</v>
      </c>
      <c r="J85" s="29">
        <v>0</v>
      </c>
      <c r="K85" s="29">
        <v>0</v>
      </c>
      <c r="L85" s="29">
        <v>0</v>
      </c>
      <c r="M85" s="29">
        <v>0</v>
      </c>
      <c r="N85" s="29">
        <v>0</v>
      </c>
      <c r="O85" s="31">
        <f t="shared" si="9"/>
        <v>4.945514</v>
      </c>
      <c r="P85" s="32">
        <f t="shared" si="16"/>
        <v>0.346567203924317</v>
      </c>
    </row>
    <row r="86" customHeight="1" spans="1:18">
      <c r="A86" s="28" t="s">
        <v>126</v>
      </c>
      <c r="B86" s="29">
        <v>0</v>
      </c>
      <c r="C86" s="29">
        <v>0</v>
      </c>
      <c r="D86" s="29">
        <v>0</v>
      </c>
      <c r="E86" s="29">
        <v>0</v>
      </c>
      <c r="F86" s="29">
        <v>0</v>
      </c>
      <c r="G86" s="29">
        <v>0</v>
      </c>
      <c r="H86" s="29">
        <v>0</v>
      </c>
      <c r="I86" s="29">
        <v>0</v>
      </c>
      <c r="J86" s="29">
        <v>0</v>
      </c>
      <c r="K86" s="29">
        <v>0</v>
      </c>
      <c r="L86" s="29">
        <v>0</v>
      </c>
      <c r="M86" s="29">
        <v>0</v>
      </c>
      <c r="N86" s="29">
        <v>0</v>
      </c>
      <c r="O86" s="31">
        <f t="shared" si="21"/>
        <v>0</v>
      </c>
      <c r="P86" s="32">
        <f t="shared" ref="P86:P89" si="22">IFERROR(O86/B86,)</f>
        <v>0</v>
      </c>
    </row>
    <row r="87" customHeight="1" spans="1:18">
      <c r="A87" s="28" t="s">
        <v>127</v>
      </c>
      <c r="B87" s="29">
        <v>6382.44</v>
      </c>
      <c r="C87" s="29">
        <v>524.117207</v>
      </c>
      <c r="D87" s="29">
        <v>524.117207</v>
      </c>
      <c r="E87" s="29">
        <v>524.117207</v>
      </c>
      <c r="F87" s="29">
        <v>524.117207</v>
      </c>
      <c r="G87" s="29">
        <v>0</v>
      </c>
      <c r="H87" s="29">
        <v>0</v>
      </c>
      <c r="I87" s="29">
        <v>0</v>
      </c>
      <c r="J87" s="29">
        <v>0</v>
      </c>
      <c r="K87" s="29">
        <v>0</v>
      </c>
      <c r="L87" s="29">
        <v>0</v>
      </c>
      <c r="M87" s="29">
        <v>0</v>
      </c>
      <c r="N87" s="29">
        <v>0</v>
      </c>
      <c r="O87" s="31">
        <f t="shared" si="21"/>
        <v>2096.468828</v>
      </c>
      <c r="P87" s="32">
        <f t="shared" si="22"/>
        <v>0.328474506301665</v>
      </c>
      <c r="Q87" s="33"/>
      <c r="R87" s="17"/>
    </row>
    <row r="88" customHeight="1" spans="1:18">
      <c r="A88" s="28" t="s">
        <v>128</v>
      </c>
      <c r="B88" s="29">
        <v>21.58</v>
      </c>
      <c r="C88" s="29">
        <v>0</v>
      </c>
      <c r="D88" s="29">
        <v>0</v>
      </c>
      <c r="E88" s="29">
        <v>0</v>
      </c>
      <c r="F88" s="29">
        <v>0</v>
      </c>
      <c r="G88" s="29">
        <v>0</v>
      </c>
      <c r="H88" s="29">
        <v>0</v>
      </c>
      <c r="I88" s="29">
        <v>0</v>
      </c>
      <c r="J88" s="30">
        <v>0</v>
      </c>
      <c r="K88" s="30">
        <v>0</v>
      </c>
      <c r="L88" s="30">
        <v>0</v>
      </c>
      <c r="M88" s="30">
        <v>0</v>
      </c>
      <c r="N88" s="30">
        <v>0</v>
      </c>
      <c r="O88" s="31">
        <f t="shared" si="21"/>
        <v>0</v>
      </c>
      <c r="P88" s="32">
        <f t="shared" si="22"/>
        <v>0</v>
      </c>
    </row>
    <row r="89" customHeight="1" spans="1:18">
      <c r="A89" s="25" t="s">
        <v>129</v>
      </c>
      <c r="B89" s="25">
        <f t="shared" ref="B89:N89" si="23">B90-B91+B92+B93+B94</f>
        <v>-48.8</v>
      </c>
      <c r="C89" s="25">
        <f t="shared" si="23"/>
        <v>0.074883</v>
      </c>
      <c r="D89" s="25">
        <f t="shared" si="23"/>
        <v>0.060006</v>
      </c>
      <c r="E89" s="25">
        <f t="shared" si="23"/>
        <v>-5.619242</v>
      </c>
      <c r="F89" s="25">
        <f t="shared" si="23"/>
        <v>-0.226914</v>
      </c>
      <c r="G89" s="25">
        <f t="shared" si="23"/>
        <v>0</v>
      </c>
      <c r="H89" s="25">
        <f t="shared" si="23"/>
        <v>0</v>
      </c>
      <c r="I89" s="25">
        <f t="shared" si="23"/>
        <v>0</v>
      </c>
      <c r="J89" s="27">
        <f t="shared" si="23"/>
        <v>0</v>
      </c>
      <c r="K89" s="27">
        <f t="shared" si="23"/>
        <v>0</v>
      </c>
      <c r="L89" s="27">
        <f t="shared" si="23"/>
        <v>0</v>
      </c>
      <c r="M89" s="27">
        <f t="shared" si="23"/>
        <v>0</v>
      </c>
      <c r="N89" s="27">
        <f t="shared" si="23"/>
        <v>0</v>
      </c>
      <c r="O89" s="25">
        <f t="shared" si="21"/>
        <v>-5.711267</v>
      </c>
      <c r="P89" s="26">
        <f t="shared" si="22"/>
        <v>0.117034159836066</v>
      </c>
    </row>
    <row r="90" customHeight="1" spans="1:18">
      <c r="A90" s="28" t="s">
        <v>130</v>
      </c>
      <c r="B90" s="29">
        <v>0</v>
      </c>
      <c r="C90" s="29">
        <v>0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0</v>
      </c>
      <c r="L90" s="29">
        <v>0</v>
      </c>
      <c r="M90" s="29">
        <v>0</v>
      </c>
      <c r="N90" s="29">
        <v>0</v>
      </c>
      <c r="O90" s="31">
        <f t="shared" ref="O90:O94" si="24">SUM(C90:N90)</f>
        <v>0</v>
      </c>
      <c r="P90" s="32">
        <f t="shared" ref="P90:P94" si="25">IFERROR(O90/B90,)</f>
        <v>0</v>
      </c>
      <c r="Q90" s="17"/>
    </row>
    <row r="91" customHeight="1" spans="1:18">
      <c r="A91" s="28" t="s">
        <v>131</v>
      </c>
      <c r="B91" s="29">
        <v>50</v>
      </c>
      <c r="C91" s="29">
        <v>0</v>
      </c>
      <c r="D91" s="29">
        <v>0</v>
      </c>
      <c r="E91" s="29">
        <v>5.699242</v>
      </c>
      <c r="F91" s="29">
        <v>0.310009</v>
      </c>
      <c r="G91" s="29">
        <v>0</v>
      </c>
      <c r="H91" s="29">
        <v>0</v>
      </c>
      <c r="I91" s="29">
        <v>0</v>
      </c>
      <c r="J91" s="29">
        <v>0</v>
      </c>
      <c r="K91" s="29">
        <v>0</v>
      </c>
      <c r="L91" s="29">
        <v>0</v>
      </c>
      <c r="M91" s="29">
        <v>0</v>
      </c>
      <c r="N91" s="29">
        <v>0</v>
      </c>
      <c r="O91" s="31">
        <f t="shared" si="24"/>
        <v>6.009251</v>
      </c>
      <c r="P91" s="32">
        <f t="shared" si="25"/>
        <v>0.12018502</v>
      </c>
    </row>
    <row r="92" customHeight="1" spans="1:18">
      <c r="A92" s="28" t="s">
        <v>132</v>
      </c>
      <c r="B92" s="29">
        <v>1.2</v>
      </c>
      <c r="C92" s="29">
        <v>0.074883</v>
      </c>
      <c r="D92" s="29">
        <v>0.060006</v>
      </c>
      <c r="E92" s="29">
        <v>0.08</v>
      </c>
      <c r="F92" s="29">
        <v>0.083095</v>
      </c>
      <c r="G92" s="29">
        <v>0</v>
      </c>
      <c r="H92" s="29">
        <v>0</v>
      </c>
      <c r="I92" s="29">
        <v>0</v>
      </c>
      <c r="J92" s="29">
        <v>0</v>
      </c>
      <c r="K92" s="29">
        <v>0</v>
      </c>
      <c r="L92" s="29">
        <v>0</v>
      </c>
      <c r="M92" s="29">
        <v>0</v>
      </c>
      <c r="N92" s="29">
        <v>0</v>
      </c>
      <c r="O92" s="31">
        <f t="shared" si="24"/>
        <v>0.297984</v>
      </c>
      <c r="P92" s="32">
        <f t="shared" si="25"/>
        <v>0.24832</v>
      </c>
    </row>
    <row r="93" customHeight="1" spans="1:18">
      <c r="A93" s="28" t="s">
        <v>133</v>
      </c>
      <c r="B93" s="29">
        <v>0</v>
      </c>
      <c r="C93" s="29">
        <v>0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1">
        <f t="shared" si="24"/>
        <v>0</v>
      </c>
      <c r="P93" s="32">
        <f t="shared" si="25"/>
        <v>0</v>
      </c>
    </row>
    <row r="94" customHeight="1" spans="1:18">
      <c r="A94" s="28" t="s">
        <v>134</v>
      </c>
      <c r="B94" s="29">
        <v>0</v>
      </c>
      <c r="C94" s="29">
        <v>0</v>
      </c>
      <c r="D94" s="29">
        <v>0</v>
      </c>
      <c r="E94" s="29">
        <v>0</v>
      </c>
      <c r="F94" s="29">
        <v>0</v>
      </c>
      <c r="G94" s="29">
        <v>0</v>
      </c>
      <c r="H94" s="29">
        <v>0</v>
      </c>
      <c r="I94" s="29">
        <v>0</v>
      </c>
      <c r="J94" s="30">
        <v>0</v>
      </c>
      <c r="K94" s="30">
        <v>0</v>
      </c>
      <c r="L94" s="30">
        <v>0</v>
      </c>
      <c r="M94" s="30">
        <v>0</v>
      </c>
      <c r="N94" s="30">
        <v>0</v>
      </c>
      <c r="O94" s="31">
        <f t="shared" si="24"/>
        <v>0</v>
      </c>
      <c r="P94" s="32">
        <f t="shared" si="25"/>
        <v>0</v>
      </c>
    </row>
  </sheetData>
  <autoFilter xmlns:etc="http://www.wps.cn/officeDocument/2017/etCustomData" ref="A3:P94" etc:filterBottomFollowUsedRange="0">
    <extLst/>
  </autoFilter>
  <mergeCells count="6">
    <mergeCell ref="A1:P1"/>
    <mergeCell ref="C2:N2"/>
    <mergeCell ref="A2:A3"/>
    <mergeCell ref="B2:B3"/>
    <mergeCell ref="O2:O3"/>
    <mergeCell ref="P2:P3"/>
  </mergeCells>
  <pageMargins left="0.748031496062992" right="0.748031496062992" top="0.984251968503937" bottom="0.984251968503937" header="0.511811023622047" footer="0.511811023622047"/>
  <pageSetup paperSize="9" scale="88" fitToHeight="0" orientation="landscape"/>
  <headerFooter/>
  <ignoredErrors>
    <ignoredError sqref="O3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pane xSplit="2" ySplit="2" topLeftCell="C3" activePane="bottomRight" state="frozen"/>
      <selection/>
      <selection pane="topRight"/>
      <selection pane="bottomLeft"/>
      <selection pane="bottomRight" activeCell="G26" sqref="G26"/>
    </sheetView>
  </sheetViews>
  <sheetFormatPr defaultColWidth="8.90833333333333" defaultRowHeight="16" customHeight="1"/>
  <cols>
    <col min="1" max="2" width="15.4583333333333" customWidth="1"/>
    <col min="3" max="3" width="55" customWidth="1"/>
    <col min="4" max="8" width="15.4583333333333" customWidth="1"/>
  </cols>
  <sheetData>
    <row r="1" s="1" customFormat="1" ht="32.15" customHeight="1" spans="1:16">
      <c r="A1" s="3" t="s">
        <v>135</v>
      </c>
      <c r="B1" s="3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</row>
    <row r="2" customHeight="1" spans="1:16">
      <c r="A2" s="5" t="s">
        <v>136</v>
      </c>
      <c r="B2" s="5" t="s">
        <v>137</v>
      </c>
      <c r="C2" s="5" t="s">
        <v>138</v>
      </c>
      <c r="D2" s="5" t="s">
        <v>139</v>
      </c>
      <c r="E2" s="5" t="s">
        <v>140</v>
      </c>
      <c r="F2" s="5" t="s">
        <v>141</v>
      </c>
      <c r="G2" s="6" t="s">
        <v>3</v>
      </c>
      <c r="H2" s="6" t="s">
        <v>5</v>
      </c>
    </row>
    <row r="3" s="2" customFormat="1" customHeight="1" spans="1:16">
      <c r="A3" s="7" t="s">
        <v>142</v>
      </c>
      <c r="B3" s="7" t="s">
        <v>143</v>
      </c>
      <c r="C3" s="8" t="s">
        <v>144</v>
      </c>
      <c r="D3" s="9">
        <v>1</v>
      </c>
      <c r="E3" s="9">
        <v>0.2</v>
      </c>
      <c r="F3" s="9"/>
      <c r="G3" s="9">
        <v>0.2</v>
      </c>
      <c r="H3" s="9">
        <f>F3</f>
        <v>0</v>
      </c>
    </row>
    <row r="4" s="2" customFormat="1" customHeight="1" spans="1:16">
      <c r="A4" s="7"/>
      <c r="B4" s="7"/>
      <c r="C4" s="8"/>
      <c r="D4" s="9"/>
      <c r="E4" s="9"/>
      <c r="F4" s="9"/>
      <c r="G4" s="9"/>
      <c r="H4" s="9">
        <f t="shared" ref="H4:H12" si="0">F4</f>
        <v>0</v>
      </c>
    </row>
    <row r="5" s="2" customFormat="1" customHeight="1" spans="1:16">
      <c r="A5" s="7"/>
      <c r="B5" s="7"/>
      <c r="C5" s="8"/>
      <c r="D5" s="9"/>
      <c r="E5" s="9"/>
      <c r="F5" s="9"/>
      <c r="G5" s="9"/>
      <c r="H5" s="9">
        <f t="shared" si="0"/>
        <v>0</v>
      </c>
    </row>
    <row r="6" s="2" customFormat="1" customHeight="1" spans="1:16">
      <c r="A6" s="7"/>
      <c r="B6" s="7"/>
      <c r="C6" s="8"/>
      <c r="D6" s="9"/>
      <c r="E6" s="9"/>
      <c r="F6" s="9"/>
      <c r="G6" s="9"/>
      <c r="H6" s="9">
        <f t="shared" si="0"/>
        <v>0</v>
      </c>
    </row>
    <row r="7" s="2" customFormat="1" customHeight="1" spans="1:16">
      <c r="A7" s="7"/>
      <c r="B7" s="7"/>
      <c r="C7" s="8"/>
      <c r="D7" s="9"/>
      <c r="E7" s="9"/>
      <c r="F7" s="9"/>
      <c r="G7" s="9"/>
      <c r="H7" s="9">
        <f t="shared" si="0"/>
        <v>0</v>
      </c>
    </row>
    <row r="8" s="2" customFormat="1" customHeight="1" spans="1:16">
      <c r="A8" s="7"/>
      <c r="B8" s="7"/>
      <c r="C8" s="8"/>
      <c r="D8" s="9"/>
      <c r="E8" s="9"/>
      <c r="F8" s="9"/>
      <c r="G8" s="9"/>
      <c r="H8" s="9">
        <f t="shared" si="0"/>
        <v>0</v>
      </c>
    </row>
    <row r="9" s="2" customFormat="1" customHeight="1" spans="1:16">
      <c r="A9" s="7" t="s">
        <v>145</v>
      </c>
      <c r="B9" s="7" t="s">
        <v>146</v>
      </c>
      <c r="C9" s="8" t="s">
        <v>147</v>
      </c>
      <c r="D9" s="9"/>
      <c r="E9" s="9"/>
      <c r="F9" s="9"/>
      <c r="G9" s="9">
        <v>120</v>
      </c>
      <c r="H9" s="9">
        <f t="shared" si="0"/>
        <v>0</v>
      </c>
    </row>
    <row r="10" s="2" customFormat="1" customHeight="1" spans="1:16">
      <c r="A10" s="7"/>
      <c r="B10" s="7"/>
      <c r="C10" s="8" t="s">
        <v>148</v>
      </c>
      <c r="D10" s="9"/>
      <c r="E10" s="9"/>
      <c r="F10" s="9"/>
      <c r="G10" s="9">
        <v>106.65</v>
      </c>
      <c r="H10" s="9">
        <f t="shared" si="0"/>
        <v>0</v>
      </c>
    </row>
    <row r="11" s="2" customFormat="1" customHeight="1" spans="1:16">
      <c r="A11" s="7"/>
      <c r="B11" s="7"/>
      <c r="C11" s="8"/>
      <c r="D11" s="9"/>
      <c r="E11" s="9"/>
      <c r="F11" s="9"/>
      <c r="G11" s="9"/>
      <c r="H11" s="9">
        <f t="shared" si="0"/>
        <v>0</v>
      </c>
    </row>
    <row r="12" s="2" customFormat="1" customHeight="1" spans="1:16">
      <c r="A12" s="7"/>
      <c r="B12" s="7"/>
      <c r="C12" s="8"/>
      <c r="D12" s="9"/>
      <c r="E12" s="9"/>
      <c r="F12" s="9"/>
      <c r="G12" s="9"/>
      <c r="H12" s="9">
        <f t="shared" si="0"/>
        <v>0</v>
      </c>
    </row>
    <row r="13" s="2" customFormat="1" customHeight="1" spans="1:16">
      <c r="A13" s="7"/>
      <c r="B13" s="7"/>
      <c r="C13" s="9"/>
      <c r="D13" s="9"/>
      <c r="E13" s="9"/>
      <c r="F13" s="9"/>
      <c r="G13" s="9"/>
      <c r="H13" s="9"/>
    </row>
    <row r="14" s="2" customFormat="1" customHeight="1" spans="1:16">
      <c r="A14" s="7"/>
      <c r="B14" s="7"/>
      <c r="C14" s="9"/>
      <c r="D14" s="9"/>
      <c r="E14" s="9"/>
      <c r="F14" s="9"/>
      <c r="G14" s="9"/>
      <c r="H14" s="9"/>
    </row>
    <row r="15" customHeight="1" spans="1:16">
      <c r="A15" s="10" t="s">
        <v>149</v>
      </c>
      <c r="B15" s="10"/>
      <c r="C15" s="10"/>
      <c r="D15" s="10"/>
      <c r="E15" s="10"/>
      <c r="F15" s="10"/>
      <c r="G15" s="11">
        <f>SUM(G3:G14)</f>
        <v>226.85</v>
      </c>
      <c r="H15" s="11">
        <f>SUM(H3:H14)</f>
        <v>0</v>
      </c>
    </row>
    <row r="17" customHeight="1" spans="1:2">
      <c r="A17" s="12" t="s">
        <v>150</v>
      </c>
      <c r="B17" s="13"/>
    </row>
  </sheetData>
  <mergeCells count="6">
    <mergeCell ref="A1:H1"/>
    <mergeCell ref="A15:F15"/>
    <mergeCell ref="A3:A8"/>
    <mergeCell ref="A9:A14"/>
    <mergeCell ref="B3:B8"/>
    <mergeCell ref="B9:B1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指标统计</vt:lpstr>
      <vt:lpstr>预算执行汇总</vt:lpstr>
      <vt:lpstr>费用预算执行明细</vt:lpstr>
      <vt:lpstr>资本性支出计划与执行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youhu</dc:creator>
  <cp:lastModifiedBy>谨言</cp:lastModifiedBy>
  <dcterms:created xsi:type="dcterms:W3CDTF">2023-12-28T04:28:00Z</dcterms:created>
  <cp:lastPrinted>2024-11-06T04:14:00Z</cp:lastPrinted>
  <dcterms:modified xsi:type="dcterms:W3CDTF">2026-05-09T07:15:21Z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9FE9EEDA7ECD40369C2CFD30596A22C8_13</vt:lpwstr>
  </property>
  <property fmtid="{D5CDD505-2E9C-101B-9397-08002B2CF9AE}" pid="3" name="KSOProductBuildVer">
    <vt:lpwstr>2052-12.1.0.26375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