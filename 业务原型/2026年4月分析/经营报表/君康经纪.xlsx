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2280"/>
  </bookViews>
  <sheets>
    <sheet name="指标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林意</author>
  </authors>
  <commentList>
    <comment ref="C9" authorId="0">
      <text>
        <r>
          <rPr>
            <sz val="9"/>
            <rFont val="宋体"/>
            <charset val="134"/>
          </rPr>
          <t xml:space="preserve">剔除事业部人力成本后，剩余人力成本。（事业部人力成本列于经营变动费用）
</t>
        </r>
      </text>
    </comment>
    <comment ref="C10" authorId="0">
      <text>
        <r>
          <rPr>
            <sz val="9"/>
            <rFont val="宋体"/>
            <charset val="134"/>
          </rPr>
          <t>收入-扣非净利润-人力费用-变动费用-财务费用-税金及附加-折旧摊销</t>
        </r>
      </text>
    </comment>
    <comment ref="C12" authorId="0">
      <text>
        <r>
          <rPr>
            <sz val="9"/>
            <rFont val="宋体"/>
            <charset val="134"/>
          </rPr>
          <t xml:space="preserve">事业部人力成本
</t>
        </r>
      </text>
    </comment>
    <comment ref="C13" authorId="0">
      <text>
        <r>
          <rPr>
            <sz val="9"/>
            <rFont val="宋体"/>
            <charset val="134"/>
          </rPr>
          <t xml:space="preserve">基本法、业推、续期佣金等业务直接相关费用
</t>
        </r>
      </text>
    </comment>
  </commentList>
</comments>
</file>

<file path=xl/sharedStrings.xml><?xml version="1.0" encoding="utf-8"?>
<sst xmlns="http://schemas.openxmlformats.org/spreadsheetml/2006/main" count="49" uniqueCount="47">
  <si>
    <t>君康经纪2026年经营指标统计表</t>
  </si>
  <si>
    <t>类别</t>
  </si>
  <si>
    <t>序号</t>
  </si>
  <si>
    <t>指标</t>
  </si>
  <si>
    <t>2026年各月达成</t>
  </si>
  <si>
    <t>指标说明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</si>
  <si>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</si>
  <si>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</si>
  <si>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</si>
  <si>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</si>
  <si>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</si>
  <si>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</si>
  <si>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</si>
  <si>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</si>
  <si>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</si>
  <si>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</si>
  <si>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</si>
  <si>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</si>
  <si>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经营指标</t>
  </si>
  <si>
    <t>营业收入</t>
  </si>
  <si>
    <t>EBITDA/GOP/扣非净利润</t>
  </si>
  <si>
    <t>EBITDA（商写适用）/GOP（酒店适用）/扣非净利润（保险中介适用）</t>
  </si>
  <si>
    <t>经营活动净现金流</t>
  </si>
  <si>
    <t>财务指标</t>
  </si>
  <si>
    <t>经营支出小计</t>
  </si>
  <si>
    <t>固定费用</t>
  </si>
  <si>
    <t>4.1.1</t>
  </si>
  <si>
    <t>人力费用</t>
  </si>
  <si>
    <t>4.1.2</t>
  </si>
  <si>
    <t>日常费用</t>
  </si>
  <si>
    <t>变动费用</t>
  </si>
  <si>
    <t>4.2.1</t>
  </si>
  <si>
    <t>经营变动费用</t>
  </si>
  <si>
    <t>4.2.2</t>
  </si>
  <si>
    <t>营业成本</t>
  </si>
  <si>
    <t>资本性支出</t>
  </si>
  <si>
    <t>业务指标</t>
  </si>
  <si>
    <t>期末出租率/月均入住率</t>
  </si>
  <si>
    <t>期末出租率(商写适用)/月均入住率(酒店适用)</t>
  </si>
  <si>
    <t>回款率</t>
  </si>
  <si>
    <t>商写及酒店适用</t>
  </si>
  <si>
    <t>OTA网络评价</t>
  </si>
  <si>
    <t>酒店适用</t>
  </si>
  <si>
    <t>期交规保</t>
  </si>
  <si>
    <t>保险中介适用</t>
  </si>
  <si>
    <t>13月继续率</t>
  </si>
  <si>
    <t>25月继续率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</si>
</sst>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[$USD]\ #,##0.00;[Red][$USD]\ \-#,##0.00"/>
    <numFmt numFmtId="178" formatCode="_ * #,##0.00_ ;[Red]_ * \-#,##0.00_ ;_ * &quot;-&quot;??_ ;_ @_ "/>
    <numFmt numFmtId="179" formatCode="_ * #,##0.00%_ ;[Red]_ * \-#,##0.00%_ ;_ * &quot;-&quot;??_ ;_ @_ "/>
  </numFmts>
  <fonts count="35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6"/>
      <color theme="1"/>
      <name val="等距更纱黑体 SC"/>
      <charset val="134"/>
    </font>
    <font>
      <b/>
      <sz val="10"/>
      <color theme="0"/>
      <name val="等距更纱黑体 SC"/>
      <charset val="134"/>
    </font>
    <font>
      <b/>
      <sz val="10"/>
      <color rgb="FF000000"/>
      <name val="等距更纱黑体 SC"/>
      <charset val="134"/>
    </font>
    <font>
      <b/>
      <sz val="9"/>
      <color theme="1"/>
      <name val="等距更纱黑体 SC"/>
      <charset val="134"/>
    </font>
    <font>
      <sz val="9"/>
      <color theme="1"/>
      <name val="等距更纱黑体 SC"/>
      <charset val="134"/>
    </font>
    <font>
      <sz val="10"/>
      <color rgb="FF000000"/>
      <name val="等距更纱黑体 SC"/>
      <charset val="134"/>
    </font>
    <font>
      <sz val="9"/>
      <name val="等距更纱黑体 SC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7" borderId="5" applyNumberFormat="0" applyAlignment="0" applyProtection="0">
      <alignment vertical="center"/>
    </xf>
    <xf numFmtId="0" fontId="26" fillId="8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7" fontId="7" fillId="2" borderId="1" xfId="0" applyNumberFormat="1" applyFont="1" applyFill="1" applyBorder="1" applyAlignment="1">
      <alignment horizontal="center" vertical="center" wrapText="1"/>
    </xf>
    <xf numFmtId="10" fontId="7" fillId="2" borderId="1" xfId="3" applyNumberFormat="1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177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NumberFormat="1" applyFont="1" applyFill="1" applyBorder="1" applyAlignment="1">
      <alignment horizontal="left" vertical="center" wrapText="1"/>
    </xf>
    <xf numFmtId="177" fontId="8" fillId="3" borderId="1" xfId="0" applyNumberFormat="1" applyFont="1" applyFill="1" applyBorder="1" applyAlignment="1">
      <alignment horizontal="left" vertical="center" wrapText="1"/>
    </xf>
    <xf numFmtId="178" fontId="9" fillId="0" borderId="1" xfId="0" applyNumberFormat="1" applyFont="1" applyFill="1" applyBorder="1">
      <alignment vertical="center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78" fontId="9" fillId="4" borderId="1" xfId="0" applyNumberFormat="1" applyFont="1" applyFill="1" applyBorder="1">
      <alignment vertical="center"/>
    </xf>
    <xf numFmtId="177" fontId="8" fillId="3" borderId="1" xfId="0" applyNumberFormat="1" applyFont="1" applyFill="1" applyBorder="1" applyAlignment="1">
      <alignment horizontal="left" vertical="center" wrapText="1" indent="1"/>
    </xf>
    <xf numFmtId="177" fontId="11" fillId="3" borderId="1" xfId="0" applyNumberFormat="1" applyFont="1" applyFill="1" applyBorder="1" applyAlignment="1">
      <alignment horizontal="left" vertical="center" wrapText="1" indent="2"/>
    </xf>
    <xf numFmtId="178" fontId="10" fillId="0" borderId="1" xfId="0" applyNumberFormat="1" applyFont="1" applyFill="1" applyBorder="1">
      <alignment vertical="center"/>
    </xf>
    <xf numFmtId="0" fontId="12" fillId="0" borderId="1" xfId="0" applyFont="1" applyBorder="1" applyAlignment="1">
      <alignment vertical="center" wrapText="1"/>
    </xf>
    <xf numFmtId="179" fontId="9" fillId="0" borderId="1" xfId="0" applyNumberFormat="1" applyFont="1" applyFill="1" applyBorder="1">
      <alignment vertical="center"/>
    </xf>
    <xf numFmtId="178" fontId="9" fillId="0" borderId="1" xfId="49" applyNumberFormat="1" applyFont="1" applyFill="1" applyBorder="1">
      <alignment vertical="center"/>
    </xf>
    <xf numFmtId="179" fontId="9" fillId="0" borderId="1" xfId="49" applyNumberFormat="1" applyFont="1" applyFill="1" applyBorder="1">
      <alignment vertical="center"/>
    </xf>
    <xf numFmtId="179" fontId="9" fillId="0" borderId="1" xfId="49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22"/>
  <sheetViews>
    <sheetView tabSelected="1" zoomScale="130" zoomScaleNormal="130" workbookViewId="0">
      <pane xSplit="3" ySplit="3" topLeftCell="D4" activePane="bottomRight" state="frozen"/>
      <selection/>
      <selection pane="topRight"/>
      <selection pane="bottomLeft"/>
      <selection pane="bottomRight" activeCell="D4" sqref="D4"/>
    </sheetView>
  </sheetViews>
  <sheetFormatPr defaultColWidth="8.87272727272727" defaultRowHeight="18" customHeight="1"/>
  <cols>
    <col min="1" max="1" width="6" customWidth="1"/>
    <col min="2" max="2" width="6.87272727272727" customWidth="1"/>
    <col min="3" max="3" width="21.3727272727273" customWidth="1"/>
    <col min="4" max="8" width="8.5" customWidth="1"/>
    <col min="9" max="15" width="8.62727272727273" customWidth="1"/>
    <col min="16" max="16" width="26" customWidth="1"/>
  </cols>
  <sheetData>
    <row r="1" s="1" customFormat="1" ht="27.95" customHeight="1" spans="1:16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="2" customFormat="1" customHeight="1" spans="1:16">
      <c r="A2" s="7" t="s">
        <v>1</v>
      </c>
      <c r="B2" s="7" t="s">
        <v>2</v>
      </c>
      <c r="C2" s="7" t="s">
        <v>3</v>
      </c>
      <c r="D2" s="8" t="s">
        <v>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 t="s">
        <v>5</v>
      </c>
    </row>
    <row r="3" s="2" customFormat="1" customHeight="1" spans="1:16">
      <c r="A3" s="7"/>
      <c r="B3" s="7"/>
      <c r="C3" s="7"/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0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9"/>
    </row>
    <row r="4" s="3" customFormat="1" customHeight="1" spans="1:16">
      <c r="A4" s="11" t="s">
        <v>18</v>
      </c>
      <c r="B4" s="12">
        <v>1</v>
      </c>
      <c r="C4" s="13" t="s">
        <v>19</v>
      </c>
      <c r="D4" s="14">
        <v>21.123507</v>
      </c>
      <c r="E4" s="14">
        <v>5.293431</v>
      </c>
      <c r="F4" s="14">
        <v>8.220388</v>
      </c>
      <c r="G4" s="14">
        <v>8.25769</v>
      </c>
      <c r="H4" s="14"/>
      <c r="I4" s="14"/>
      <c r="J4" s="14"/>
      <c r="K4" s="14"/>
      <c r="L4" s="14"/>
      <c r="M4" s="14"/>
      <c r="N4" s="14"/>
      <c r="O4" s="14"/>
      <c r="P4" s="15"/>
    </row>
    <row r="5" s="3" customFormat="1" ht="22.5" customHeight="1" spans="1:16">
      <c r="A5" s="11"/>
      <c r="B5" s="12">
        <v>2</v>
      </c>
      <c r="C5" s="13" t="s">
        <v>20</v>
      </c>
      <c r="D5" s="14">
        <v>-32.5747</v>
      </c>
      <c r="E5" s="14">
        <v>-39.343258</v>
      </c>
      <c r="F5" s="14">
        <v>-9.372579</v>
      </c>
      <c r="G5" s="14">
        <v>-26.324295</v>
      </c>
      <c r="H5" s="14"/>
      <c r="I5" s="14"/>
      <c r="J5" s="14"/>
      <c r="K5" s="14"/>
      <c r="L5" s="14"/>
      <c r="M5" s="14"/>
      <c r="N5" s="14"/>
      <c r="O5" s="14"/>
      <c r="P5" s="16" t="s">
        <v>21</v>
      </c>
    </row>
    <row r="6" s="3" customFormat="1" customHeight="1" spans="1:16">
      <c r="A6" s="11"/>
      <c r="B6" s="12">
        <v>3</v>
      </c>
      <c r="C6" s="13" t="s">
        <v>22</v>
      </c>
      <c r="D6" s="14">
        <v>-24.505483</v>
      </c>
      <c r="E6" s="14">
        <v>0.032856</v>
      </c>
      <c r="F6" s="14">
        <v>-56.605711</v>
      </c>
      <c r="G6" s="14">
        <v>-21.829094</v>
      </c>
      <c r="H6" s="14"/>
      <c r="I6" s="14"/>
      <c r="J6" s="14"/>
      <c r="K6" s="14"/>
      <c r="L6" s="14"/>
      <c r="M6" s="14"/>
      <c r="N6" s="14"/>
      <c r="O6" s="14"/>
      <c r="P6" s="15"/>
    </row>
    <row r="7" s="3" customFormat="1" customHeight="1" spans="1:16">
      <c r="A7" s="11" t="s">
        <v>23</v>
      </c>
      <c r="B7" s="12">
        <v>4</v>
      </c>
      <c r="C7" s="13" t="s">
        <v>24</v>
      </c>
      <c r="D7" s="17">
        <f>D8+D11</f>
        <v>45.380984</v>
      </c>
      <c r="E7" s="17">
        <f>E8+E11</f>
        <v>36.885018</v>
      </c>
      <c r="F7" s="17">
        <f t="shared" ref="F7:M7" si="0">F8+F11</f>
        <v>32.425914</v>
      </c>
      <c r="G7" s="17">
        <f t="shared" si="0"/>
        <v>34.207451</v>
      </c>
      <c r="H7" s="17">
        <f t="shared" si="0"/>
        <v>0</v>
      </c>
      <c r="I7" s="17">
        <f t="shared" si="0"/>
        <v>0</v>
      </c>
      <c r="J7" s="17">
        <f t="shared" si="0"/>
        <v>0</v>
      </c>
      <c r="K7" s="17">
        <f t="shared" si="0"/>
        <v>0</v>
      </c>
      <c r="L7" s="17">
        <f t="shared" si="0"/>
        <v>0</v>
      </c>
      <c r="M7" s="17">
        <f t="shared" si="0"/>
        <v>0</v>
      </c>
      <c r="N7" s="17">
        <f t="shared" ref="N7:O7" si="1">N8+N11</f>
        <v>0</v>
      </c>
      <c r="O7" s="17">
        <f t="shared" si="1"/>
        <v>0</v>
      </c>
      <c r="P7" s="15"/>
    </row>
    <row r="8" s="3" customFormat="1" customHeight="1" spans="1:16">
      <c r="A8" s="11"/>
      <c r="B8" s="12">
        <v>4.1</v>
      </c>
      <c r="C8" s="18" t="s">
        <v>25</v>
      </c>
      <c r="D8" s="17">
        <f>D9+D10</f>
        <v>27.527153</v>
      </c>
      <c r="E8" s="17">
        <f t="shared" ref="E8:K8" si="2">E9+E10</f>
        <v>23.919152</v>
      </c>
      <c r="F8" s="17">
        <f t="shared" si="2"/>
        <v>25.396004</v>
      </c>
      <c r="G8" s="17">
        <f t="shared" si="2"/>
        <v>25.454185</v>
      </c>
      <c r="H8" s="17">
        <f t="shared" si="2"/>
        <v>0</v>
      </c>
      <c r="I8" s="17">
        <f t="shared" si="2"/>
        <v>0</v>
      </c>
      <c r="J8" s="17">
        <f t="shared" si="2"/>
        <v>0</v>
      </c>
      <c r="K8" s="17">
        <f t="shared" si="2"/>
        <v>0</v>
      </c>
      <c r="L8" s="17">
        <f t="shared" ref="L8" si="3">L9+L10</f>
        <v>0</v>
      </c>
      <c r="M8" s="17">
        <f t="shared" ref="M8" si="4">M9+M10</f>
        <v>0</v>
      </c>
      <c r="N8" s="17">
        <f t="shared" ref="N8" si="5">N9+N10</f>
        <v>0</v>
      </c>
      <c r="O8" s="17">
        <f t="shared" ref="O8" si="6">O9+O10</f>
        <v>0</v>
      </c>
      <c r="P8" s="15"/>
    </row>
    <row r="9" s="4" customFormat="1" customHeight="1" spans="1:16">
      <c r="A9" s="11"/>
      <c r="B9" s="12" t="s">
        <v>26</v>
      </c>
      <c r="C9" s="19" t="s">
        <v>27</v>
      </c>
      <c r="D9" s="20">
        <v>16.043974</v>
      </c>
      <c r="E9" s="20">
        <v>16.218865</v>
      </c>
      <c r="F9" s="20">
        <v>16.063923</v>
      </c>
      <c r="G9" s="20">
        <v>16.102655</v>
      </c>
      <c r="H9" s="20"/>
      <c r="I9" s="20"/>
      <c r="J9" s="20"/>
      <c r="K9" s="20"/>
      <c r="L9" s="20"/>
      <c r="M9" s="20"/>
      <c r="N9" s="20"/>
      <c r="O9" s="20"/>
      <c r="P9" s="16"/>
    </row>
    <row r="10" s="4" customFormat="1" customHeight="1" spans="1:16">
      <c r="A10" s="11"/>
      <c r="B10" s="12" t="s">
        <v>28</v>
      </c>
      <c r="C10" s="19" t="s">
        <v>29</v>
      </c>
      <c r="D10" s="20">
        <v>11.483179</v>
      </c>
      <c r="E10" s="20">
        <v>7.700287</v>
      </c>
      <c r="F10" s="20">
        <v>9.332081</v>
      </c>
      <c r="G10" s="20">
        <v>9.35153</v>
      </c>
      <c r="H10" s="20"/>
      <c r="I10" s="20"/>
      <c r="J10" s="20"/>
      <c r="K10" s="20"/>
      <c r="L10" s="20"/>
      <c r="M10" s="20"/>
      <c r="N10" s="20"/>
      <c r="O10" s="20"/>
      <c r="P10" s="16"/>
    </row>
    <row r="11" s="3" customFormat="1" customHeight="1" spans="1:16">
      <c r="A11" s="11"/>
      <c r="B11" s="12">
        <v>4.2</v>
      </c>
      <c r="C11" s="18" t="s">
        <v>30</v>
      </c>
      <c r="D11" s="17">
        <f>D12+D13</f>
        <v>17.853831</v>
      </c>
      <c r="E11" s="17">
        <f>E12+E13</f>
        <v>12.965866</v>
      </c>
      <c r="F11" s="17">
        <f t="shared" ref="F11:O11" si="7">F12+F13</f>
        <v>7.02991</v>
      </c>
      <c r="G11" s="17">
        <f t="shared" si="7"/>
        <v>8.753266</v>
      </c>
      <c r="H11" s="17">
        <f t="shared" si="7"/>
        <v>0</v>
      </c>
      <c r="I11" s="17">
        <f t="shared" si="7"/>
        <v>0</v>
      </c>
      <c r="J11" s="17">
        <f t="shared" si="7"/>
        <v>0</v>
      </c>
      <c r="K11" s="17">
        <f t="shared" si="7"/>
        <v>0</v>
      </c>
      <c r="L11" s="17">
        <f t="shared" si="7"/>
        <v>0</v>
      </c>
      <c r="M11" s="17">
        <f t="shared" si="7"/>
        <v>0</v>
      </c>
      <c r="N11" s="17">
        <f t="shared" si="7"/>
        <v>0</v>
      </c>
      <c r="O11" s="17">
        <f t="shared" si="7"/>
        <v>0</v>
      </c>
      <c r="P11" s="16"/>
    </row>
    <row r="12" s="4" customFormat="1" customHeight="1" spans="1:16">
      <c r="A12" s="11"/>
      <c r="B12" s="12" t="s">
        <v>31</v>
      </c>
      <c r="C12" s="19" t="s">
        <v>32</v>
      </c>
      <c r="D12" s="20">
        <v>6.187104</v>
      </c>
      <c r="E12" s="20">
        <v>6.257674</v>
      </c>
      <c r="F12" s="20">
        <v>6.187104</v>
      </c>
      <c r="G12" s="20">
        <v>6.187104</v>
      </c>
      <c r="H12" s="20"/>
      <c r="I12" s="20"/>
      <c r="J12" s="20"/>
      <c r="K12" s="20"/>
      <c r="L12" s="20"/>
      <c r="M12" s="20"/>
      <c r="N12" s="20"/>
      <c r="O12" s="20"/>
      <c r="P12" s="16"/>
    </row>
    <row r="13" s="4" customFormat="1" customHeight="1" spans="1:16">
      <c r="A13" s="11"/>
      <c r="B13" s="12" t="s">
        <v>33</v>
      </c>
      <c r="C13" s="19" t="s">
        <v>34</v>
      </c>
      <c r="D13" s="20">
        <v>11.666727</v>
      </c>
      <c r="E13" s="20">
        <v>6.708192</v>
      </c>
      <c r="F13" s="20">
        <v>0.842806</v>
      </c>
      <c r="G13" s="20">
        <v>2.566162</v>
      </c>
      <c r="H13" s="20"/>
      <c r="I13" s="20"/>
      <c r="J13" s="20"/>
      <c r="K13" s="20"/>
      <c r="L13" s="20"/>
      <c r="M13" s="20"/>
      <c r="N13" s="20"/>
      <c r="O13" s="20"/>
      <c r="P13" s="16"/>
    </row>
    <row r="14" s="5" customFormat="1" customHeight="1" spans="1:16">
      <c r="A14" s="11"/>
      <c r="B14" s="12">
        <v>5</v>
      </c>
      <c r="C14" s="13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/>
      <c r="M14" s="14"/>
      <c r="N14" s="14"/>
      <c r="O14" s="14"/>
      <c r="P14" s="21"/>
    </row>
    <row r="15" s="3" customFormat="1" customHeight="1" spans="1:16">
      <c r="A15" s="11" t="s">
        <v>36</v>
      </c>
      <c r="B15" s="12">
        <v>6</v>
      </c>
      <c r="C15" s="13" t="s">
        <v>37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16" t="s">
        <v>38</v>
      </c>
    </row>
    <row r="16" s="3" customFormat="1" customHeight="1" spans="1:16">
      <c r="A16" s="11"/>
      <c r="B16" s="12">
        <v>7</v>
      </c>
      <c r="C16" s="13" t="s">
        <v>39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16" t="s">
        <v>40</v>
      </c>
    </row>
    <row r="17" s="3" customFormat="1" customHeight="1" spans="1:16">
      <c r="A17" s="11"/>
      <c r="B17" s="12">
        <v>8</v>
      </c>
      <c r="C17" s="13" t="s">
        <v>41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6" t="s">
        <v>42</v>
      </c>
    </row>
    <row r="18" s="3" customFormat="1" customHeight="1" spans="1:16">
      <c r="A18" s="11"/>
      <c r="B18" s="12">
        <v>9</v>
      </c>
      <c r="C18" s="13" t="s">
        <v>43</v>
      </c>
      <c r="D18" s="23">
        <v>100</v>
      </c>
      <c r="E18" s="14">
        <v>0.51</v>
      </c>
      <c r="F18" s="14">
        <v>1.34</v>
      </c>
      <c r="G18" s="14">
        <v>0.2</v>
      </c>
      <c r="H18" s="14"/>
      <c r="I18" s="14"/>
      <c r="J18" s="14"/>
      <c r="K18" s="14"/>
      <c r="L18" s="14"/>
      <c r="M18" s="14"/>
      <c r="N18" s="14"/>
      <c r="O18" s="14"/>
      <c r="P18" s="16" t="s">
        <v>44</v>
      </c>
    </row>
    <row r="19" s="3" customFormat="1" customHeight="1" spans="1:16">
      <c r="A19" s="11"/>
      <c r="B19" s="12">
        <v>10</v>
      </c>
      <c r="C19" s="13" t="s">
        <v>45</v>
      </c>
      <c r="D19" s="24">
        <v>1</v>
      </c>
      <c r="E19" s="22">
        <v>1</v>
      </c>
      <c r="F19" s="22">
        <v>1</v>
      </c>
      <c r="G19" s="22">
        <v>1</v>
      </c>
      <c r="H19" s="22"/>
      <c r="I19" s="22"/>
      <c r="J19" s="22"/>
      <c r="K19" s="22"/>
      <c r="L19" s="22"/>
      <c r="M19" s="22"/>
      <c r="N19" s="22"/>
      <c r="O19" s="22"/>
      <c r="P19" s="16" t="s">
        <v>44</v>
      </c>
    </row>
    <row r="20" s="3" customFormat="1" customHeight="1" spans="1:16">
      <c r="A20" s="11"/>
      <c r="B20" s="12">
        <v>11</v>
      </c>
      <c r="C20" s="13" t="s">
        <v>46</v>
      </c>
      <c r="D20" s="25">
        <v>1</v>
      </c>
      <c r="E20" s="22">
        <v>1</v>
      </c>
      <c r="F20" s="22">
        <v>1</v>
      </c>
      <c r="G20" s="22">
        <v>1</v>
      </c>
      <c r="H20" s="22"/>
      <c r="I20" s="22"/>
      <c r="J20" s="22"/>
      <c r="K20" s="22"/>
      <c r="L20" s="22"/>
      <c r="M20" s="22"/>
      <c r="N20" s="22"/>
      <c r="O20" s="22"/>
      <c r="P20" s="16" t="s">
        <v>44</v>
      </c>
    </row>
    <row r="21" s="3" customFormat="1" customHeight="1" spans="1:16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customHeight="1" spans="1:16"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9">
    <mergeCell ref="A1:P1"/>
    <mergeCell ref="D2:O2"/>
    <mergeCell ref="A2:A3"/>
    <mergeCell ref="A4:A6"/>
    <mergeCell ref="A7:A14"/>
    <mergeCell ref="A15:A20"/>
    <mergeCell ref="B2:B3"/>
    <mergeCell ref="C2:C3"/>
    <mergeCell ref="P2:P3"/>
  </mergeCells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刘新军</dc:creator>
  <cp:lastModifiedBy>lxj</cp:lastModifiedBy>
  <dcterms:created xsi:type="dcterms:W3CDTF">2024-11-18T03:31:00Z</dcterms:created>
  <dcterms:modified xsi:type="dcterms:W3CDTF">2026-05-14T08:29:47Z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473021ECC4734B0AAD4E452076CC8B72_11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