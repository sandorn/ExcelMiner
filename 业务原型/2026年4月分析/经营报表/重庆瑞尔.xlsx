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1.专项费用7万
2.利息收入3.6万</t>
        </r>
      </text>
    </comment>
    <comment ref="B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固定费用—专项审计费用7万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钟总赔偿金29.2794万</t>
        </r>
      </text>
    </comment>
    <comment ref="D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福利：
春节红包0.24万；员工鞋袜0.1613.28万
员工制服（前厅大衣）：0.52432万</t>
        </r>
      </text>
    </comment>
    <comment ref="F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员工制服1.52211万</t>
        </r>
      </text>
    </comment>
    <comment ref="B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员工餐：40.08万
宿舍水电费：3.3万</t>
        </r>
      </text>
    </comment>
    <comment ref="C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保安部灭火器0.7254万</t>
        </r>
      </text>
    </comment>
    <comment ref="C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工程部维修1.554545万</t>
        </r>
      </text>
    </comment>
    <comment ref="E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1.千里马维护0.754717万
2.收到保险公司赔偿地毯款8.5万（货未入库）
3.工程部维修费0.750564万</t>
        </r>
      </text>
    </comment>
    <comment ref="F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1、地毯入库8.5万
2、工程部维修1.1万
3、收到前厅玻璃赔偿款0.1265万（未支付费用）</t>
        </r>
      </text>
    </comment>
    <comment ref="D2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华为云服务0.703517万</t>
        </r>
      </text>
    </comment>
    <comment ref="F2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停车系统费0.18万</t>
        </r>
      </text>
    </comment>
    <comment ref="F2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4月重复计提费用1.3万</t>
        </r>
      </text>
    </comment>
    <comment ref="F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人事办公用品0.099822万</t>
        </r>
      </text>
    </comment>
    <comment ref="C2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信中和审计费</t>
        </r>
      </text>
    </comment>
    <comment ref="F3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1、电梯检测0.22万
2、高压电检测1.301887万</t>
        </r>
      </text>
    </comment>
    <comment ref="B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垃圾清理：3.6万/年
四害消杀：1.6万/年
植物租摆：2.45万/年
香氛：2.44万/年
清洁绿化</t>
        </r>
      </text>
    </comment>
    <comment ref="E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香氛0.1794万元</t>
        </r>
      </text>
    </comment>
    <comment ref="F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香氛0.079095万</t>
        </r>
      </text>
    </comment>
    <comment ref="B5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前厅、销售物料领用</t>
        </r>
      </text>
    </comment>
    <comment ref="C5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销售春节装饰0.24296万</t>
        </r>
      </text>
    </comment>
    <comment ref="D5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餐饮桌运费0.040958万</t>
        </r>
      </text>
    </comment>
    <comment ref="F6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未做预算，就破产债权确认纠纷案，向法院缴纳诉讼费</t>
        </r>
      </text>
    </comment>
    <comment ref="B7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销售佣金：6万
部门提成：26.4万</t>
        </r>
      </text>
    </comment>
    <comment ref="D7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佣金：2.285998万
提成：0.806632万</t>
        </r>
      </text>
    </comment>
    <comment ref="E7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佣金：0.084915万
提成：1.6156万</t>
        </r>
      </text>
    </comment>
    <comment ref="F7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佣金：0.12192万
提成：1.273628万</t>
        </r>
      </text>
    </comment>
    <comment ref="B7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中厨房10.2万/月、员工餐厅1.3万/月、洗碗工1.525万/月、劳务费8万/年</t>
        </r>
      </text>
    </comment>
    <comment ref="B8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礼品、报损</t>
        </r>
      </text>
    </comment>
    <comment ref="D8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年货赠送：
人事部0.416万，销售0.536万</t>
        </r>
      </text>
    </comment>
    <comment ref="B8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客房水电费56.2%占比
水费*0.7
电费：0.5
气费：0.6</t>
        </r>
      </text>
    </comment>
    <comment ref="B8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清洁用品：0.3
洗涤成本：6.6</t>
        </r>
      </text>
    </comment>
    <comment ref="B8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物料：1万
低耗：2.3万
布草：6.1万+2.32万</t>
        </r>
      </text>
    </comment>
    <comment ref="C8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布草1.182428万</t>
        </r>
      </text>
    </comment>
    <comment ref="B9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餐饮水电费43.8%占比
</t>
        </r>
      </text>
    </comment>
    <comment ref="B9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考察：0.4万/年（0.2万/半年）
低耗：3万/年（1.5万/半年）
油烟管道清洗：1.6万
物料领用：2.64万/年（0.22万/月）
粽子、月饼：11.5万</t>
        </r>
      </text>
    </comment>
    <comment ref="D9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年货成本1.2万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<sst xmlns="http://schemas.openxmlformats.org/spreadsheetml/2006/main" count="233" uniqueCount="154">
  <si>
    <t>瑞尔酒店公司2026年经营指标统计表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</si>
  <si>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</si>
  <si>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</si>
  <si>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</si>
  <si>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</si>
  <si>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</si>
  <si>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</si>
  <si>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</si>
  <si>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</si>
  <si>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</si>
  <si>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</si>
  <si>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</si>
  <si>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</si>
  <si>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</si>
  <si>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</si>
  <si>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</si>
  <si>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</si>
  <si>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</si>
  <si>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</si>
  <si>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</si>
  <si>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</si>
  <si>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</si>
  <si>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</si>
  <si>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</si>
  <si>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</si>
  <si>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</si>
  <si>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</si>
  <si>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</si>
  <si>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</si>
  <si>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</si>
  <si>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</si>
  <si>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</si>
  <si>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</si>
  <si>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</si>
  <si>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</si>
  <si>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</si>
  <si>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</si>
  <si>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</si>
  <si>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</si>
  <si>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</si>
  <si>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</si>
  <si>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</si>
  <si>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</si>
  <si>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</si>
  <si>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</si>
  <si>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</si>
  <si>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</si>
  <si>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</si>
  <si>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</si>
  <si>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>瑞尔酒店公司2026年预算执行情况汇总表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</si>
  <si>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</si>
  <si>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</si>
  <si>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</si>
  <si>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</si>
  <si>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</si>
  <si>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</si>
  <si>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</si>
  <si>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</si>
  <si>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</si>
  <si>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</si>
  <si>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</si>
  <si>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瑞尔酒店公司2026年预算执行情况明细表</t>
  </si>
  <si>
    <t>2026年预算执行情况</t>
  </si>
  <si>
    <t>人力费用合计</t>
  </si>
  <si>
    <t>固定工资</t>
  </si>
  <si>
    <t>绩效工资</t>
  </si>
  <si>
    <t>奖金</t>
  </si>
  <si>
    <t>福利费</t>
  </si>
  <si>
    <t>五险一金</t>
  </si>
  <si>
    <t>招聘费</t>
  </si>
  <si>
    <t>其他人力费用</t>
  </si>
  <si>
    <t>固定费用支出合计</t>
  </si>
  <si>
    <t>邮寄费</t>
  </si>
  <si>
    <t>差旅费</t>
  </si>
  <si>
    <t>业务招待费</t>
  </si>
  <si>
    <t>汽车费</t>
  </si>
  <si>
    <t>低值易耗品</t>
  </si>
  <si>
    <t>设备修理费</t>
  </si>
  <si>
    <t>信息系统费</t>
  </si>
  <si>
    <t>通讯费</t>
  </si>
  <si>
    <t>交通费</t>
  </si>
  <si>
    <t>办公费</t>
  </si>
  <si>
    <t>会议费</t>
  </si>
  <si>
    <t>水电费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</si>
  <si>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</si>
  <si>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</si>
  <si>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</si>
  <si>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</si>
  <si>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</si>
  <si>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</si>
  <si>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</si>
  <si>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</si>
  <si>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</si>
  <si>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</si>
  <si>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</si>
  <si>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</si>
  <si>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</si>
  <si>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</si>
  <si>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</si>
  <si>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</si>
  <si>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</si>
  <si>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</si>
  <si>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培训费</t>
  </si>
  <si>
    <t>其他</t>
  </si>
  <si>
    <t>变动费用支出合计</t>
  </si>
  <si>
    <t>低值易耗品及修理费</t>
  </si>
  <si>
    <t>临时工及劳务外包</t>
  </si>
  <si>
    <t>宿舍租赁费</t>
  </si>
  <si>
    <t>营业成本支出合计</t>
  </si>
  <si>
    <t>空置房物业费</t>
  </si>
  <si>
    <t>客房成本合计</t>
  </si>
  <si>
    <t>客房用品损耗支出</t>
  </si>
  <si>
    <t>客房水电能源支出</t>
  </si>
  <si>
    <t>客房布草等物品清洁支出</t>
  </si>
  <si>
    <t>客房设备维修支出</t>
  </si>
  <si>
    <t>其他与客房直接相关的支出</t>
  </si>
  <si>
    <t>餐饮成本合计</t>
  </si>
  <si>
    <t>餐饮食材支出</t>
  </si>
  <si>
    <t>餐饮水电燃气支出</t>
  </si>
  <si>
    <t>餐饮设备维修支出</t>
  </si>
  <si>
    <t>其他与餐饮直接相关的支出</t>
  </si>
  <si>
    <t>会议成本合计</t>
  </si>
  <si>
    <t>会议设备支出</t>
  </si>
  <si>
    <t>其他与会议直接相关的支出</t>
  </si>
  <si>
    <t>需填列</t>
  </si>
  <si>
    <t>瑞尔酒店公司2026年资本性支出执行情况明细表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</si>
  <si>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</si>
  <si>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</si>
  <si>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</si>
  <si>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</si>
  <si>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</si>
  <si>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</si>
  <si>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</si>
  <si>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家具用具</t>
  </si>
  <si>
    <t>包房点歌系统（含音响、话筒）</t>
  </si>
  <si>
    <t>包房岩板茶台（含椅子）</t>
  </si>
  <si>
    <t>厨房制冷设备（冰柜）</t>
  </si>
  <si>
    <t>吸尘器</t>
  </si>
  <si>
    <t>惠普打印机</t>
  </si>
  <si>
    <t>电脑</t>
  </si>
  <si>
    <t>其他长期支出</t>
  </si>
  <si>
    <t>长期待摊费用</t>
  </si>
  <si>
    <t>客房6-7楼部份翻新整改</t>
  </si>
  <si>
    <t>31间</t>
  </si>
  <si>
    <t>两江厅</t>
  </si>
  <si>
    <t>530平米</t>
  </si>
  <si>
    <t>3楼护墙板</t>
  </si>
  <si>
    <t>110平米</t>
  </si>
  <si>
    <t>电梯钢绳</t>
  </si>
  <si>
    <t>2200米</t>
  </si>
  <si>
    <t>电梯维修</t>
  </si>
  <si>
    <t>1台</t>
  </si>
  <si>
    <t>草坪婚礼场地</t>
  </si>
  <si>
    <t>资本性支出合计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</si>
</sst>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[$USD]\ #,##0.00;[Red][$USD]\ \-#,##0.00"/>
    <numFmt numFmtId="179" formatCode="0.00_ "/>
    <numFmt numFmtId="180" formatCode="yyyy&quot;年&quot;m&quot;月&quot;;@"/>
    <numFmt numFmtId="181" formatCode="_ * #,##0.00%_ ;[Red]_ * \-#,##0.00%_ ;_ * &quot;-&quot;??_ ;_ @_ "/>
    <numFmt numFmtId="182" formatCode="_ * #,##0.00_ ;[Red]_ * \-#,##0.00_ ;_ * &quot;-&quot;??_ ;_ @_ "/>
  </numFmts>
  <fonts count="5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b/>
      <sz val="10"/>
      <color rgb="FF000000"/>
      <name val="等距更纱黑体 Slab SC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等距更纱黑体 Slab SC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等距更纱黑体 Slab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Arial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name val="宋体"/>
      <charset val="1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1" borderId="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12" applyNumberFormat="0" applyAlignment="0" applyProtection="0">
      <alignment vertical="center"/>
    </xf>
    <xf numFmtId="0" fontId="39" fillId="13" borderId="13" applyNumberFormat="0" applyAlignment="0" applyProtection="0">
      <alignment vertical="center"/>
    </xf>
    <xf numFmtId="0" fontId="40" fillId="13" borderId="12" applyNumberFormat="0" applyAlignment="0" applyProtection="0">
      <alignment vertical="center"/>
    </xf>
    <xf numFmtId="0" fontId="41" fillId="14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176" fontId="49" fillId="0" borderId="0">
      <alignment vertical="center"/>
    </xf>
    <xf numFmtId="0" fontId="50" fillId="0" borderId="0"/>
    <xf numFmtId="176" fontId="49" fillId="0" borderId="0">
      <alignment vertical="center"/>
    </xf>
    <xf numFmtId="176" fontId="5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7" fontId="49" fillId="0" borderId="0" applyFont="0" applyBorder="0" applyAlignment="0" applyProtection="0">
      <alignment vertical="center"/>
    </xf>
    <xf numFmtId="178" fontId="52" fillId="0" borderId="0"/>
    <xf numFmtId="0" fontId="53" fillId="0" borderId="0">
      <alignment vertical="top"/>
      <protection locked="0"/>
    </xf>
    <xf numFmtId="178" fontId="51" fillId="0" borderId="0"/>
    <xf numFmtId="43" fontId="5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left" vertical="center"/>
    </xf>
    <xf numFmtId="43" fontId="5" fillId="3" borderId="1" xfId="53" applyFont="1" applyFill="1" applyBorder="1" applyAlignment="1">
      <alignment horizontal="center" vertical="center"/>
    </xf>
    <xf numFmtId="43" fontId="5" fillId="3" borderId="1" xfId="53" applyFont="1" applyFill="1" applyBorder="1" applyAlignment="1">
      <alignment horizontal="right" vertical="center"/>
    </xf>
    <xf numFmtId="0" fontId="6" fillId="4" borderId="1" xfId="53" applyNumberFormat="1" applyFont="1" applyFill="1" applyBorder="1" applyAlignment="1">
      <alignment horizontal="center"/>
    </xf>
    <xf numFmtId="0" fontId="6" fillId="5" borderId="1" xfId="53" applyNumberFormat="1" applyFont="1" applyFill="1" applyBorder="1" applyAlignment="1"/>
    <xf numFmtId="179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80" fontId="4" fillId="2" borderId="2" xfId="0" applyNumberFormat="1" applyFont="1" applyFill="1" applyBorder="1" applyAlignment="1">
      <alignment horizontal="center" vertical="center"/>
    </xf>
    <xf numFmtId="180" fontId="4" fillId="2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9" fontId="6" fillId="6" borderId="1" xfId="3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9" fontId="11" fillId="5" borderId="1" xfId="3" applyFont="1" applyFill="1" applyBorder="1">
      <alignment vertical="center"/>
    </xf>
    <xf numFmtId="0" fontId="6" fillId="6" borderId="1" xfId="0" applyFont="1" applyFill="1" applyBorder="1">
      <alignment vertical="center"/>
    </xf>
    <xf numFmtId="43" fontId="6" fillId="7" borderId="1" xfId="0" applyNumberFormat="1" applyFont="1" applyFill="1" applyBorder="1">
      <alignment vertical="center"/>
    </xf>
    <xf numFmtId="43" fontId="6" fillId="3" borderId="1" xfId="0" applyNumberFormat="1" applyFont="1" applyFill="1" applyBorder="1">
      <alignment vertical="center"/>
    </xf>
    <xf numFmtId="43" fontId="6" fillId="5" borderId="1" xfId="0" applyNumberFormat="1" applyFont="1" applyFill="1" applyBorder="1">
      <alignment vertical="center"/>
    </xf>
    <xf numFmtId="9" fontId="6" fillId="5" borderId="1" xfId="3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3" applyNumberFormat="1" applyFont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6" fillId="6" borderId="1" xfId="3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0" borderId="1" xfId="3" applyNumberFormat="1" applyFont="1" applyBorder="1">
      <alignment vertical="center"/>
    </xf>
    <xf numFmtId="179" fontId="6" fillId="6" borderId="1" xfId="3" applyNumberFormat="1" applyFont="1" applyFill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0" fontId="21" fillId="2" borderId="1" xfId="3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181" fontId="6" fillId="6" borderId="1" xfId="3" applyNumberFormat="1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6" fillId="8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 wrapText="1" shrinkToFit="1"/>
    </xf>
    <xf numFmtId="0" fontId="6" fillId="8" borderId="8" xfId="0" applyFont="1" applyFill="1" applyBorder="1" applyAlignment="1">
      <alignment horizontal="center" vertical="center"/>
    </xf>
    <xf numFmtId="43" fontId="6" fillId="9" borderId="1" xfId="0" applyNumberFormat="1" applyFont="1" applyFill="1" applyBorder="1">
      <alignment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 indent="1"/>
    </xf>
    <xf numFmtId="0" fontId="25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0" fontId="24" fillId="0" borderId="1" xfId="0" applyFont="1" applyBorder="1" applyAlignment="1">
      <alignment vertical="center" wrapText="1"/>
    </xf>
    <xf numFmtId="43" fontId="6" fillId="8" borderId="1" xfId="0" applyNumberFormat="1" applyFont="1" applyFill="1" applyBorder="1">
      <alignment vertical="center"/>
    </xf>
    <xf numFmtId="0" fontId="6" fillId="6" borderId="8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181" fontId="28" fillId="10" borderId="1" xfId="0" applyNumberFormat="1" applyFont="1" applyFill="1" applyBorder="1">
      <alignment vertical="center"/>
    </xf>
    <xf numFmtId="181" fontId="28" fillId="9" borderId="1" xfId="0" applyNumberFormat="1" applyFont="1" applyFill="1" applyBorder="1">
      <alignment vertical="center"/>
    </xf>
    <xf numFmtId="182" fontId="28" fillId="10" borderId="1" xfId="0" applyNumberFormat="1" applyFont="1" applyFill="1" applyBorder="1">
      <alignment vertical="center"/>
    </xf>
    <xf numFmtId="182" fontId="28" fillId="9" borderId="1" xfId="0" applyNumberFormat="1" applyFont="1" applyFill="1" applyBorder="1">
      <alignment vertical="center"/>
    </xf>
    <xf numFmtId="182" fontId="6" fillId="6" borderId="1" xfId="3" applyNumberFormat="1" applyFont="1" applyFill="1" applyBorder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  <cellStyle name="常规_2007年长沙公司预算（核定稿20070319） (2)" xfId="55"/>
    <cellStyle name="Normal" xfId="56"/>
    <cellStyle name="常规 4 2" xfId="57"/>
    <cellStyle name="千位分隔 4 2" xfId="58"/>
  </cellStyles>
  <tableStyles count="0" defaultTableStyle="TableStyleMedium2" defaultPivotStyle="PivotStyleLight16"/>
  <colors>
    <mruColors>
      <color rgb="00FCE4D6"/>
      <color rgb="00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H18" sqref="H18"/>
    </sheetView>
  </sheetViews>
  <sheetFormatPr defaultColWidth="8.90833333333333" defaultRowHeight="16" customHeight="1"/>
  <cols>
    <col min="1" max="1" width="8.90833333333333" style="14" customWidth="1"/>
    <col min="2" max="2" width="23.6333333333333" style="14" customWidth="1"/>
    <col min="3" max="3" width="16.725" style="14" customWidth="1"/>
    <col min="4" max="5" width="10.6333333333333" style="14" customWidth="1"/>
    <col min="6" max="6" width="10.275" style="14" customWidth="1"/>
    <col min="7" max="7" width="10.6333333333333" style="14" customWidth="1"/>
    <col min="8" max="8" width="10.4583333333333" style="14" customWidth="1"/>
    <col min="9" max="9" width="10.9083333333333" style="14" customWidth="1"/>
    <col min="10" max="11" width="11.275" style="14" customWidth="1"/>
    <col min="12" max="12" width="12.275" style="14" customWidth="1"/>
    <col min="13" max="13" width="11.9083333333333" style="14" customWidth="1"/>
    <col min="14" max="14" width="13.0916666666667" style="14" customWidth="1"/>
    <col min="15" max="15" width="12.0916666666667" style="14" customWidth="1"/>
    <col min="16" max="16" width="12.4583333333333" style="14" customWidth="1"/>
    <col min="17" max="17" width="13.9083333333333" style="54" customWidth="1"/>
    <col min="18" max="18" width="33.275" style="14" customWidth="1"/>
    <col min="19" max="16384" width="8.90833333333333" style="14"/>
  </cols>
  <sheetData>
    <row r="1" s="57" customFormat="1" ht="3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58" customFormat="1" ht="25" customHeight="1" spans="1:18">
      <c r="A2" s="20" t="s">
        <v>1</v>
      </c>
      <c r="B2" s="20" t="s">
        <v>2</v>
      </c>
      <c r="C2" s="20" t="s">
        <v>3</v>
      </c>
      <c r="D2" s="21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0" t="s">
        <v>5</v>
      </c>
      <c r="Q2" s="23" t="s">
        <v>6</v>
      </c>
      <c r="R2" s="62" t="s">
        <v>7</v>
      </c>
    </row>
    <row r="3" s="58" customFormat="1" ht="25" customHeight="1" spans="1:18">
      <c r="A3" s="20"/>
      <c r="B3" s="20"/>
      <c r="C3" s="20"/>
      <c r="D3" s="22" t="s">
        <v>8</v>
      </c>
      <c r="E3" s="22" t="s">
        <v>9</v>
      </c>
      <c r="F3" s="22" t="s">
        <v>10</v>
      </c>
      <c r="G3" s="22" t="s">
        <v>11</v>
      </c>
      <c r="H3" s="22" t="s">
        <v>12</v>
      </c>
      <c r="I3" s="22" t="s">
        <v>13</v>
      </c>
      <c r="J3" s="22" t="s">
        <v>14</v>
      </c>
      <c r="K3" s="22" t="s">
        <v>15</v>
      </c>
      <c r="L3" s="22" t="s">
        <v>16</v>
      </c>
      <c r="M3" s="22" t="s">
        <v>17</v>
      </c>
      <c r="N3" s="22" t="s">
        <v>18</v>
      </c>
      <c r="O3" s="22" t="s">
        <v>19</v>
      </c>
      <c r="P3" s="20"/>
      <c r="Q3" s="23"/>
      <c r="R3" s="62"/>
    </row>
    <row r="4" s="59" customFormat="1" ht="25" customHeight="1" spans="1:18">
      <c r="A4" s="63" t="s">
        <v>20</v>
      </c>
      <c r="B4" s="64" t="s">
        <v>21</v>
      </c>
      <c r="C4" s="27">
        <f>预算执行汇总!B4</f>
        <v>1454.99726287184</v>
      </c>
      <c r="D4" s="27" cm="1">
        <f t="array" ref="D4:O4">预算执行汇总!C4:N4</f>
        <v>78.97726</v>
      </c>
      <c r="E4" s="27">
        <v>63.822824</v>
      </c>
      <c r="F4" s="27">
        <v>80.56083</v>
      </c>
      <c r="G4" s="27">
        <v>96.956248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f>SUM(D4:O4)</f>
        <v>320.317162</v>
      </c>
      <c r="Q4" s="65">
        <f>IFERROR((P4-C4)/ABS(C4)+1,)</f>
        <v>0.22014966637653</v>
      </c>
      <c r="R4" s="66"/>
    </row>
    <row r="5" s="59" customFormat="1" ht="25" customHeight="1" spans="1:18">
      <c r="A5" s="67"/>
      <c r="B5" s="64" t="s">
        <v>22</v>
      </c>
      <c r="C5" s="36">
        <f>预算执行汇总!B19</f>
        <v>-55.5167373786196</v>
      </c>
      <c r="D5" s="36">
        <f>预算执行汇总!C19</f>
        <v>-52.776259</v>
      </c>
      <c r="E5" s="36">
        <f>预算执行汇总!D19</f>
        <v>-38.670642</v>
      </c>
      <c r="F5" s="36">
        <f>预算执行汇总!E19</f>
        <v>-1.72705700000001</v>
      </c>
      <c r="G5" s="36">
        <f>预算执行汇总!F19</f>
        <v>-13.573026</v>
      </c>
      <c r="H5" s="36">
        <f>预算执行汇总!G19</f>
        <v>0</v>
      </c>
      <c r="I5" s="36">
        <f>预算执行汇总!H19</f>
        <v>0</v>
      </c>
      <c r="J5" s="36">
        <f>预算执行汇总!I19</f>
        <v>0</v>
      </c>
      <c r="K5" s="36">
        <f>预算执行汇总!J19</f>
        <v>0</v>
      </c>
      <c r="L5" s="36">
        <f>预算执行汇总!K19</f>
        <v>0</v>
      </c>
      <c r="M5" s="36">
        <f>预算执行汇总!L19</f>
        <v>0</v>
      </c>
      <c r="N5" s="36">
        <f>预算执行汇总!M19</f>
        <v>0</v>
      </c>
      <c r="O5" s="36">
        <f>预算执行汇总!N19</f>
        <v>0</v>
      </c>
      <c r="P5" s="27">
        <f t="shared" ref="P5:P14" si="0">SUM(D5:O5)</f>
        <v>-106.746984</v>
      </c>
      <c r="Q5" s="65">
        <f t="shared" ref="Q5:Q14" si="1">IFERROR(P5/C5,)</f>
        <v>1.92278921709672</v>
      </c>
      <c r="R5" s="68" t="s">
        <v>23</v>
      </c>
    </row>
    <row r="6" s="59" customFormat="1" ht="25" customHeight="1" spans="1:18">
      <c r="A6" s="69"/>
      <c r="B6" s="64" t="s">
        <v>24</v>
      </c>
      <c r="C6" s="36">
        <v>-178.550070598611</v>
      </c>
      <c r="D6" s="36">
        <v>-59.297686</v>
      </c>
      <c r="E6" s="70">
        <v>-47.233397</v>
      </c>
      <c r="F6" s="36">
        <v>-17.259462</v>
      </c>
      <c r="G6" s="36">
        <v>-90.647837</v>
      </c>
      <c r="H6" s="36"/>
      <c r="I6" s="36"/>
      <c r="J6" s="36"/>
      <c r="K6" s="36"/>
      <c r="L6" s="36"/>
      <c r="M6" s="36"/>
      <c r="N6" s="36"/>
      <c r="O6" s="36"/>
      <c r="P6" s="27">
        <f t="shared" si="0"/>
        <v>-214.438382</v>
      </c>
      <c r="Q6" s="65">
        <f t="shared" si="1"/>
        <v>1.20099858421265</v>
      </c>
      <c r="R6" s="66"/>
    </row>
    <row r="7" s="59" customFormat="1" ht="25" customHeight="1" spans="1:18">
      <c r="A7" s="71" t="s">
        <v>25</v>
      </c>
      <c r="B7" s="64" t="s">
        <v>26</v>
      </c>
      <c r="C7" s="27" cm="1">
        <f t="array" ref="C7:C14">预算执行汇总!B5:B12</f>
        <v>1518.43400025046</v>
      </c>
      <c r="D7" s="27" cm="1">
        <f t="array" ref="D7:O14">预算执行汇总!C5:N12</f>
        <v>131.622547</v>
      </c>
      <c r="E7" s="27">
        <v>102.388778</v>
      </c>
      <c r="F7" s="27">
        <v>82.703909</v>
      </c>
      <c r="G7" s="27">
        <v>110.36911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f t="shared" si="0"/>
        <v>427.084344</v>
      </c>
      <c r="Q7" s="65">
        <f t="shared" si="1"/>
        <v>0.281266320386368</v>
      </c>
      <c r="R7" s="66"/>
    </row>
    <row r="8" s="59" customFormat="1" ht="25" customHeight="1" spans="1:18">
      <c r="A8" s="72"/>
      <c r="B8" s="73" t="s">
        <v>27</v>
      </c>
      <c r="C8" s="27">
        <v>793.4447</v>
      </c>
      <c r="D8" s="27">
        <v>82.740795</v>
      </c>
      <c r="E8" s="27">
        <v>54.661567</v>
      </c>
      <c r="F8" s="27">
        <v>41.604384</v>
      </c>
      <c r="G8" s="27">
        <v>62.007687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f t="shared" si="0"/>
        <v>241.014433</v>
      </c>
      <c r="Q8" s="65">
        <f t="shared" si="1"/>
        <v>0.303757064607023</v>
      </c>
      <c r="R8" s="66"/>
    </row>
    <row r="9" s="60" customFormat="1" ht="25" customHeight="1" spans="1:18">
      <c r="A9" s="72"/>
      <c r="B9" s="74" t="s">
        <v>28</v>
      </c>
      <c r="C9" s="75">
        <v>693.56</v>
      </c>
      <c r="D9" s="75">
        <v>77.910641</v>
      </c>
      <c r="E9" s="75">
        <v>52.070162</v>
      </c>
      <c r="F9" s="75">
        <v>46.482044</v>
      </c>
      <c r="G9" s="75">
        <v>47.60297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27">
        <f t="shared" si="0"/>
        <v>224.065817</v>
      </c>
      <c r="Q9" s="65">
        <f t="shared" si="1"/>
        <v>0.323066233635158</v>
      </c>
      <c r="R9" s="76"/>
    </row>
    <row r="10" s="60" customFormat="1" ht="25" customHeight="1" spans="1:18">
      <c r="A10" s="72"/>
      <c r="B10" s="74" t="s">
        <v>29</v>
      </c>
      <c r="C10" s="75">
        <v>99.8847</v>
      </c>
      <c r="D10" s="75">
        <v>4.830154</v>
      </c>
      <c r="E10" s="75">
        <v>2.591405</v>
      </c>
      <c r="F10" s="75">
        <v>-4.87766</v>
      </c>
      <c r="G10" s="75">
        <v>14.404717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27">
        <f t="shared" si="0"/>
        <v>16.948616</v>
      </c>
      <c r="Q10" s="65">
        <f t="shared" si="1"/>
        <v>0.169681803118996</v>
      </c>
      <c r="R10" s="76"/>
    </row>
    <row r="11" s="59" customFormat="1" ht="25" customHeight="1" spans="1:18">
      <c r="A11" s="72"/>
      <c r="B11" s="73" t="s">
        <v>30</v>
      </c>
      <c r="C11" s="27">
        <v>724.989300250459</v>
      </c>
      <c r="D11" s="27">
        <v>48.881752</v>
      </c>
      <c r="E11" s="27">
        <v>47.727211</v>
      </c>
      <c r="F11" s="27">
        <v>41.099525</v>
      </c>
      <c r="G11" s="27">
        <v>48.361423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f t="shared" si="0"/>
        <v>186.069911</v>
      </c>
      <c r="Q11" s="65">
        <f t="shared" si="1"/>
        <v>0.256651940843429</v>
      </c>
      <c r="R11" s="76"/>
    </row>
    <row r="12" s="60" customFormat="1" ht="25" customHeight="1" spans="1:18">
      <c r="A12" s="72"/>
      <c r="B12" s="74" t="s">
        <v>31</v>
      </c>
      <c r="C12" s="75">
        <v>225.42</v>
      </c>
      <c r="D12" s="75">
        <v>14.661237</v>
      </c>
      <c r="E12" s="75">
        <v>17.69237</v>
      </c>
      <c r="F12" s="75">
        <v>15.084433</v>
      </c>
      <c r="G12" s="75">
        <v>20.184048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7">
        <f t="shared" si="0"/>
        <v>67.622088</v>
      </c>
      <c r="Q12" s="65">
        <f t="shared" si="1"/>
        <v>0.299982645727975</v>
      </c>
      <c r="R12" s="76"/>
    </row>
    <row r="13" s="60" customFormat="1" ht="25" customHeight="1" spans="1:18">
      <c r="A13" s="72"/>
      <c r="B13" s="74" t="s">
        <v>32</v>
      </c>
      <c r="C13" s="75">
        <v>499.569300250459</v>
      </c>
      <c r="D13" s="75">
        <v>34.220515</v>
      </c>
      <c r="E13" s="75">
        <v>30.034841</v>
      </c>
      <c r="F13" s="75">
        <v>26.015092</v>
      </c>
      <c r="G13" s="75">
        <v>28.177375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7">
        <f t="shared" si="0"/>
        <v>118.447823</v>
      </c>
      <c r="Q13" s="65">
        <f t="shared" si="1"/>
        <v>0.23709988372107</v>
      </c>
      <c r="R13" s="76"/>
    </row>
    <row r="14" s="61" customFormat="1" ht="25" customHeight="1" spans="1:18">
      <c r="A14" s="78"/>
      <c r="B14" s="64" t="s">
        <v>33</v>
      </c>
      <c r="C14" s="27">
        <v>153.94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f t="shared" si="0"/>
        <v>0</v>
      </c>
      <c r="Q14" s="65">
        <f t="shared" si="1"/>
        <v>0</v>
      </c>
      <c r="R14" s="79"/>
    </row>
    <row r="15" s="61" customFormat="1" ht="25" customHeight="1" spans="1:18">
      <c r="A15" s="80" t="s">
        <v>34</v>
      </c>
      <c r="B15" s="64" t="s">
        <v>35</v>
      </c>
      <c r="C15" s="81">
        <v>0.71</v>
      </c>
      <c r="D15" s="82">
        <v>0.412863886703383</v>
      </c>
      <c r="E15" s="82">
        <v>0.319468641114983</v>
      </c>
      <c r="F15" s="82">
        <v>0.593430369787569</v>
      </c>
      <c r="G15" s="82">
        <v>0.745121951219512</v>
      </c>
      <c r="H15" s="82"/>
      <c r="I15" s="82"/>
      <c r="J15" s="82"/>
      <c r="K15" s="82"/>
      <c r="L15" s="82"/>
      <c r="M15" s="82"/>
      <c r="N15" s="82"/>
      <c r="O15" s="82"/>
      <c r="P15" s="65">
        <f>IFERROR(AVERAGE(D15:O15),)</f>
        <v>0.517721212206362</v>
      </c>
      <c r="Q15" s="65">
        <f t="shared" ref="Q15:Q20" si="2">IFERROR(P15/C15,)</f>
        <v>0.729184805924453</v>
      </c>
      <c r="R15" s="76" t="s">
        <v>36</v>
      </c>
    </row>
    <row r="16" s="61" customFormat="1" ht="25" customHeight="1" spans="1:18">
      <c r="A16" s="80"/>
      <c r="B16" s="64" t="s">
        <v>37</v>
      </c>
      <c r="C16" s="81">
        <v>0.98</v>
      </c>
      <c r="D16" s="82">
        <v>0.978242349082098</v>
      </c>
      <c r="E16" s="82">
        <v>0.946512030036687</v>
      </c>
      <c r="F16" s="82">
        <v>0.896002472364109</v>
      </c>
      <c r="G16" s="82">
        <v>0.916665988723585</v>
      </c>
      <c r="H16" s="82"/>
      <c r="I16" s="82"/>
      <c r="J16" s="82"/>
      <c r="K16" s="82"/>
      <c r="L16" s="82"/>
      <c r="M16" s="82"/>
      <c r="N16" s="82"/>
      <c r="O16" s="82"/>
      <c r="P16" s="65">
        <f>IFERROR(AVERAGE(D16:O16),)</f>
        <v>0.93435571005162</v>
      </c>
      <c r="Q16" s="65">
        <f t="shared" si="2"/>
        <v>0.953424193930224</v>
      </c>
      <c r="R16" s="76" t="s">
        <v>38</v>
      </c>
    </row>
    <row r="17" s="61" customFormat="1" ht="25" customHeight="1" spans="1:18">
      <c r="A17" s="80"/>
      <c r="B17" s="64" t="s">
        <v>39</v>
      </c>
      <c r="C17" s="83">
        <v>4.7</v>
      </c>
      <c r="D17" s="84">
        <v>4.7</v>
      </c>
      <c r="E17" s="84">
        <v>4.7</v>
      </c>
      <c r="F17" s="84">
        <v>4.7</v>
      </c>
      <c r="G17" s="84">
        <v>4.7</v>
      </c>
      <c r="H17" s="84"/>
      <c r="I17" s="84"/>
      <c r="J17" s="84"/>
      <c r="K17" s="84"/>
      <c r="L17" s="84"/>
      <c r="M17" s="84"/>
      <c r="N17" s="84"/>
      <c r="O17" s="84"/>
      <c r="P17" s="85" cm="1">
        <f t="array" ref="P17">IFERROR(INDEX(D17:O17,0,MATCH(9.99999999999999E+307,D17:O17)),)</f>
        <v>4.7</v>
      </c>
      <c r="Q17" s="65">
        <f t="shared" si="2"/>
        <v>1</v>
      </c>
      <c r="R17" s="76" t="s">
        <v>40</v>
      </c>
    </row>
    <row r="18" s="61" customFormat="1" ht="25" customHeight="1" spans="1:18">
      <c r="A18" s="80"/>
      <c r="B18" s="64" t="s">
        <v>41</v>
      </c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5" cm="1">
        <f t="array" ref="P18">IFERROR(INDEX(D18:O18,0,MATCH(9.99999999999999E+307,D18:O18)),)</f>
        <v>0</v>
      </c>
      <c r="Q18" s="65">
        <f t="shared" si="2"/>
        <v>0</v>
      </c>
      <c r="R18" s="76" t="s">
        <v>42</v>
      </c>
    </row>
    <row r="19" s="61" customFormat="1" ht="25" customHeight="1" spans="1:18">
      <c r="A19" s="80"/>
      <c r="B19" s="64" t="s">
        <v>43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5" cm="1">
        <f t="array" ref="P19">IFERROR(INDEX(D19:O19,0,MATCH(9.99999999999999E+307,D19:O19)),)</f>
        <v>0</v>
      </c>
      <c r="Q19" s="65">
        <f t="shared" si="2"/>
        <v>0</v>
      </c>
      <c r="R19" s="76" t="s">
        <v>42</v>
      </c>
    </row>
    <row r="20" ht="25" customHeight="1" spans="1:18">
      <c r="A20" s="80"/>
      <c r="B20" s="64" t="s">
        <v>44</v>
      </c>
      <c r="C20" s="81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5" cm="1">
        <f t="array" ref="P20">IFERROR(INDEX(D20:O20,0,MATCH(9.99999999999999E+307,D20:O20)),)</f>
        <v>0</v>
      </c>
      <c r="Q20" s="65">
        <f t="shared" si="2"/>
        <v>0</v>
      </c>
      <c r="R20" s="76" t="s">
        <v>42</v>
      </c>
    </row>
    <row r="21" customHeight="1" spans="1:18">
      <c r="A21" s="55" t="s">
        <v>45</v>
      </c>
      <c r="B21" s="56" t="s">
        <v>46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Q21" s="14"/>
    </row>
    <row r="22" customHeight="1" spans="1:18">
      <c r="A22" s="55"/>
      <c r="B22" s="56" t="s">
        <v>47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Q22" s="14"/>
    </row>
    <row r="23" customHeight="1" spans="1:18">
      <c r="A23" s="55"/>
      <c r="B23" s="56" t="s">
        <v>48</v>
      </c>
      <c r="C23" s="15"/>
    </row>
  </sheetData>
  <mergeCells count="14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</mergeCells>
  <pageMargins left="0.75" right="0.75" top="1" bottom="1" header="0.5" footer="0.5"/>
  <headerFooter/>
  <ignoredErrors>
    <ignoredError sqref="P15:P16 P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K24" sqref="K24"/>
    </sheetView>
  </sheetViews>
  <sheetFormatPr defaultColWidth="8.90833333333333" defaultRowHeight="16" customHeight="1"/>
  <cols>
    <col min="1" max="1" width="17.725" customWidth="1"/>
    <col min="2" max="2" width="13.6333333333333" customWidth="1"/>
    <col min="3" max="3" width="13.125" customWidth="1"/>
    <col min="4" max="4" width="13.3666666666667" customWidth="1"/>
    <col min="5" max="5" width="10.725" customWidth="1"/>
    <col min="6" max="6" width="9.725" customWidth="1"/>
    <col min="7" max="7" width="9.275" customWidth="1"/>
    <col min="8" max="8" width="10.275" customWidth="1"/>
    <col min="9" max="9" width="10.4583333333333" customWidth="1"/>
    <col min="10" max="10" width="9.725" customWidth="1"/>
    <col min="11" max="11" width="10.0916666666667" customWidth="1"/>
    <col min="12" max="14" width="7.63333333333333" customWidth="1"/>
    <col min="15" max="15" width="12.4583333333333" customWidth="1"/>
    <col min="16" max="16" width="11.275" style="43" customWidth="1"/>
  </cols>
  <sheetData>
    <row r="1" s="1" customFormat="1" ht="32.15" customHeight="1" spans="1:16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39" customFormat="1" ht="18" customHeight="1" spans="1:16">
      <c r="A2" s="20" t="s">
        <v>2</v>
      </c>
      <c r="B2" s="20" t="s">
        <v>3</v>
      </c>
      <c r="C2" s="21" t="s">
        <v>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0" t="s">
        <v>5</v>
      </c>
      <c r="P2" s="23" t="s">
        <v>6</v>
      </c>
    </row>
    <row r="3" s="39" customFormat="1" ht="18" customHeight="1" spans="1:16">
      <c r="A3" s="20"/>
      <c r="B3" s="20"/>
      <c r="C3" s="22" t="s">
        <v>8</v>
      </c>
      <c r="D3" s="22" t="s">
        <v>9</v>
      </c>
      <c r="E3" s="22" t="s">
        <v>10</v>
      </c>
      <c r="F3" s="22" t="s">
        <v>11</v>
      </c>
      <c r="G3" s="22" t="s">
        <v>12</v>
      </c>
      <c r="H3" s="22" t="s">
        <v>13</v>
      </c>
      <c r="I3" s="22" t="s">
        <v>14</v>
      </c>
      <c r="J3" s="22" t="s">
        <v>15</v>
      </c>
      <c r="K3" s="22" t="s">
        <v>16</v>
      </c>
      <c r="L3" s="22" t="s">
        <v>17</v>
      </c>
      <c r="M3" s="22" t="s">
        <v>18</v>
      </c>
      <c r="N3" s="22" t="s">
        <v>19</v>
      </c>
      <c r="O3" s="20"/>
      <c r="P3" s="23"/>
    </row>
    <row r="4" s="40" customFormat="1" ht="18" customHeight="1" spans="1:16">
      <c r="A4" s="34" t="s">
        <v>21</v>
      </c>
      <c r="B4" s="36">
        <v>1454.99726287184</v>
      </c>
      <c r="C4" s="36">
        <v>78.97726</v>
      </c>
      <c r="D4" s="36">
        <v>63.822824</v>
      </c>
      <c r="E4" s="36">
        <v>80.56083</v>
      </c>
      <c r="F4" s="36">
        <v>96.956248</v>
      </c>
      <c r="G4" s="36"/>
      <c r="H4" s="36"/>
      <c r="I4" s="36"/>
      <c r="J4" s="36"/>
      <c r="K4" s="36"/>
      <c r="L4" s="36"/>
      <c r="M4" s="36"/>
      <c r="N4" s="36"/>
      <c r="O4" s="27">
        <f>SUM(C4:N4)</f>
        <v>320.317162</v>
      </c>
      <c r="P4" s="28">
        <f t="shared" ref="P4:P9" si="0">IFERROR(O4/B4,)</f>
        <v>0.22014966637653</v>
      </c>
    </row>
    <row r="5" s="40" customFormat="1" ht="18" customHeight="1" spans="1:16">
      <c r="A5" s="34" t="s">
        <v>26</v>
      </c>
      <c r="B5" s="27">
        <f>B6+B9</f>
        <v>1518.43400025046</v>
      </c>
      <c r="C5" s="27">
        <f t="shared" ref="C5:N5" si="1">C6+C9</f>
        <v>131.622547</v>
      </c>
      <c r="D5" s="27">
        <f t="shared" si="1"/>
        <v>102.388778</v>
      </c>
      <c r="E5" s="27">
        <f t="shared" si="1"/>
        <v>82.703909</v>
      </c>
      <c r="F5" s="27">
        <f t="shared" si="1"/>
        <v>110.36911</v>
      </c>
      <c r="G5" s="27">
        <f t="shared" si="1"/>
        <v>0</v>
      </c>
      <c r="H5" s="27">
        <f t="shared" si="1"/>
        <v>0</v>
      </c>
      <c r="I5" s="27">
        <f t="shared" si="1"/>
        <v>0</v>
      </c>
      <c r="J5" s="27">
        <f t="shared" si="1"/>
        <v>0</v>
      </c>
      <c r="K5" s="27">
        <f t="shared" si="1"/>
        <v>0</v>
      </c>
      <c r="L5" s="27">
        <f t="shared" si="1"/>
        <v>0</v>
      </c>
      <c r="M5" s="27">
        <f t="shared" si="1"/>
        <v>0</v>
      </c>
      <c r="N5" s="27">
        <f t="shared" si="1"/>
        <v>0</v>
      </c>
      <c r="O5" s="27">
        <f t="shared" ref="O5:O15" si="2">SUM(C5:N5)</f>
        <v>427.084344</v>
      </c>
      <c r="P5" s="28">
        <f t="shared" si="0"/>
        <v>0.281266320386368</v>
      </c>
    </row>
    <row r="6" s="40" customFormat="1" ht="18" customHeight="1" spans="1:16">
      <c r="A6" s="34" t="s">
        <v>50</v>
      </c>
      <c r="B6" s="27">
        <f>费用预算执行明细!B4</f>
        <v>793.4447</v>
      </c>
      <c r="C6" s="27">
        <f>费用预算执行明细!C4</f>
        <v>82.740795</v>
      </c>
      <c r="D6" s="27">
        <f>费用预算执行明细!D4</f>
        <v>54.661567</v>
      </c>
      <c r="E6" s="27">
        <f>费用预算执行明细!E4</f>
        <v>41.604384</v>
      </c>
      <c r="F6" s="27">
        <f>费用预算执行明细!F4</f>
        <v>62.007687</v>
      </c>
      <c r="G6" s="27">
        <f>费用预算执行明细!G4</f>
        <v>0</v>
      </c>
      <c r="H6" s="27">
        <f>费用预算执行明细!H4</f>
        <v>0</v>
      </c>
      <c r="I6" s="27">
        <f>费用预算执行明细!I4</f>
        <v>0</v>
      </c>
      <c r="J6" s="27">
        <f>费用预算执行明细!J4</f>
        <v>0</v>
      </c>
      <c r="K6" s="27">
        <f>费用预算执行明细!K4</f>
        <v>0</v>
      </c>
      <c r="L6" s="27">
        <f>费用预算执行明细!L4</f>
        <v>0</v>
      </c>
      <c r="M6" s="27">
        <f>费用预算执行明细!M4</f>
        <v>0</v>
      </c>
      <c r="N6" s="27">
        <f>费用预算执行明细!N4</f>
        <v>0</v>
      </c>
      <c r="O6" s="27">
        <f t="shared" si="2"/>
        <v>241.014433</v>
      </c>
      <c r="P6" s="28">
        <f t="shared" si="0"/>
        <v>0.303757064607023</v>
      </c>
    </row>
    <row r="7" s="41" customFormat="1" ht="18" customHeight="1" spans="1:16">
      <c r="A7" s="44" t="s">
        <v>51</v>
      </c>
      <c r="B7" s="32">
        <f>费用预算执行明细!B5</f>
        <v>693.56</v>
      </c>
      <c r="C7" s="32">
        <f>费用预算执行明细!C5</f>
        <v>77.910641</v>
      </c>
      <c r="D7" s="32">
        <f>费用预算执行明细!D5</f>
        <v>52.070162</v>
      </c>
      <c r="E7" s="32">
        <f>费用预算执行明细!E5</f>
        <v>46.482044</v>
      </c>
      <c r="F7" s="32">
        <f>费用预算执行明细!F5</f>
        <v>47.60297</v>
      </c>
      <c r="G7" s="32">
        <f>费用预算执行明细!G5</f>
        <v>0</v>
      </c>
      <c r="H7" s="32">
        <f>费用预算执行明细!H5</f>
        <v>0</v>
      </c>
      <c r="I7" s="32">
        <f>费用预算执行明细!I5</f>
        <v>0</v>
      </c>
      <c r="J7" s="32">
        <f>费用预算执行明细!J5</f>
        <v>0</v>
      </c>
      <c r="K7" s="32">
        <f>费用预算执行明细!K5</f>
        <v>0</v>
      </c>
      <c r="L7" s="32">
        <f>费用预算执行明细!L5</f>
        <v>0</v>
      </c>
      <c r="M7" s="32">
        <f>费用预算执行明细!M5</f>
        <v>0</v>
      </c>
      <c r="N7" s="32">
        <f>费用预算执行明细!N5</f>
        <v>0</v>
      </c>
      <c r="O7" s="32">
        <f t="shared" si="2"/>
        <v>224.065817</v>
      </c>
      <c r="P7" s="33">
        <f t="shared" si="0"/>
        <v>0.323066233635158</v>
      </c>
    </row>
    <row r="8" s="41" customFormat="1" ht="18" customHeight="1" spans="1:16">
      <c r="A8" s="44" t="s">
        <v>52</v>
      </c>
      <c r="B8" s="32">
        <f>费用预算执行明细!B13</f>
        <v>99.8847</v>
      </c>
      <c r="C8" s="32">
        <f>费用预算执行明细!C13</f>
        <v>4.830154</v>
      </c>
      <c r="D8" s="32">
        <f>费用预算执行明细!D13</f>
        <v>2.591405</v>
      </c>
      <c r="E8" s="32">
        <f>费用预算执行明细!E13</f>
        <v>-4.87766</v>
      </c>
      <c r="F8" s="32">
        <f>费用预算执行明细!F13</f>
        <v>14.404717</v>
      </c>
      <c r="G8" s="32">
        <f>费用预算执行明细!G13</f>
        <v>0</v>
      </c>
      <c r="H8" s="32">
        <f>费用预算执行明细!H13</f>
        <v>0</v>
      </c>
      <c r="I8" s="32">
        <f>费用预算执行明细!I13</f>
        <v>0</v>
      </c>
      <c r="J8" s="32">
        <f>费用预算执行明细!J13</f>
        <v>0</v>
      </c>
      <c r="K8" s="32">
        <f>费用预算执行明细!K13</f>
        <v>0</v>
      </c>
      <c r="L8" s="32">
        <f>费用预算执行明细!L13</f>
        <v>0</v>
      </c>
      <c r="M8" s="32">
        <f>费用预算执行明细!M13</f>
        <v>0</v>
      </c>
      <c r="N8" s="32">
        <f>费用预算执行明细!N13</f>
        <v>0</v>
      </c>
      <c r="O8" s="32">
        <f t="shared" si="2"/>
        <v>16.948616</v>
      </c>
      <c r="P8" s="33">
        <f t="shared" si="0"/>
        <v>0.169681803118996</v>
      </c>
    </row>
    <row r="9" s="40" customFormat="1" ht="18" customHeight="1" spans="1:16">
      <c r="A9" s="34" t="s">
        <v>30</v>
      </c>
      <c r="B9" s="27">
        <f>费用预算执行明细!B46</f>
        <v>724.989300250459</v>
      </c>
      <c r="C9" s="27">
        <f>费用预算执行明细!C46</f>
        <v>48.881752</v>
      </c>
      <c r="D9" s="27">
        <f>费用预算执行明细!D46</f>
        <v>47.727211</v>
      </c>
      <c r="E9" s="27">
        <f>费用预算执行明细!E46</f>
        <v>41.099525</v>
      </c>
      <c r="F9" s="27">
        <f>费用预算执行明细!F46</f>
        <v>48.361423</v>
      </c>
      <c r="G9" s="27">
        <f>费用预算执行明细!G46</f>
        <v>0</v>
      </c>
      <c r="H9" s="27">
        <f>费用预算执行明细!H46</f>
        <v>0</v>
      </c>
      <c r="I9" s="27">
        <f>费用预算执行明细!I46</f>
        <v>0</v>
      </c>
      <c r="J9" s="27">
        <f>费用预算执行明细!J46</f>
        <v>0</v>
      </c>
      <c r="K9" s="27">
        <f>费用预算执行明细!K46</f>
        <v>0</v>
      </c>
      <c r="L9" s="27">
        <f>费用预算执行明细!L46</f>
        <v>0</v>
      </c>
      <c r="M9" s="27">
        <f>费用预算执行明细!M46</f>
        <v>0</v>
      </c>
      <c r="N9" s="27">
        <f>费用预算执行明细!N46</f>
        <v>0</v>
      </c>
      <c r="O9" s="27">
        <f t="shared" si="2"/>
        <v>186.069911</v>
      </c>
      <c r="P9" s="28">
        <f t="shared" si="0"/>
        <v>0.256651940843429</v>
      </c>
    </row>
    <row r="10" s="41" customFormat="1" ht="18" customHeight="1" spans="1:16">
      <c r="A10" s="44" t="s">
        <v>53</v>
      </c>
      <c r="B10" s="32">
        <f>费用预算执行明细!B47</f>
        <v>225.42</v>
      </c>
      <c r="C10" s="32">
        <f>费用预算执行明细!C47</f>
        <v>14.661237</v>
      </c>
      <c r="D10" s="32">
        <f>费用预算执行明细!D47</f>
        <v>17.69237</v>
      </c>
      <c r="E10" s="32">
        <f>费用预算执行明细!E47</f>
        <v>15.084433</v>
      </c>
      <c r="F10" s="32">
        <f>费用预算执行明细!F47</f>
        <v>20.184048</v>
      </c>
      <c r="G10" s="32">
        <f>费用预算执行明细!G47</f>
        <v>0</v>
      </c>
      <c r="H10" s="32">
        <f>费用预算执行明细!H47</f>
        <v>0</v>
      </c>
      <c r="I10" s="32">
        <f>费用预算执行明细!I47</f>
        <v>0</v>
      </c>
      <c r="J10" s="32">
        <f>费用预算执行明细!J47</f>
        <v>0</v>
      </c>
      <c r="K10" s="32">
        <f>费用预算执行明细!K47</f>
        <v>0</v>
      </c>
      <c r="L10" s="32">
        <f>费用预算执行明细!L47</f>
        <v>0</v>
      </c>
      <c r="M10" s="32">
        <f>费用预算执行明细!M47</f>
        <v>0</v>
      </c>
      <c r="N10" s="32">
        <f>费用预算执行明细!N47</f>
        <v>0</v>
      </c>
      <c r="O10" s="32">
        <f t="shared" si="2"/>
        <v>67.622088</v>
      </c>
      <c r="P10" s="33">
        <f t="shared" ref="P10:P15" si="3">IFERROR(O10/B10,)</f>
        <v>0.299982645727975</v>
      </c>
    </row>
    <row r="11" s="41" customFormat="1" ht="18" customHeight="1" spans="1:16">
      <c r="A11" s="44" t="s">
        <v>54</v>
      </c>
      <c r="B11" s="32">
        <f>费用预算执行明细!B82</f>
        <v>499.569300250459</v>
      </c>
      <c r="C11" s="32">
        <f>费用预算执行明细!C82</f>
        <v>34.220515</v>
      </c>
      <c r="D11" s="32">
        <f>费用预算执行明细!D82</f>
        <v>30.034841</v>
      </c>
      <c r="E11" s="32">
        <f>费用预算执行明细!E82</f>
        <v>26.015092</v>
      </c>
      <c r="F11" s="32">
        <f>费用预算执行明细!F82</f>
        <v>28.177375</v>
      </c>
      <c r="G11" s="32">
        <f>费用预算执行明细!G82</f>
        <v>0</v>
      </c>
      <c r="H11" s="32">
        <f>费用预算执行明细!H82</f>
        <v>0</v>
      </c>
      <c r="I11" s="32">
        <f>费用预算执行明细!I82</f>
        <v>0</v>
      </c>
      <c r="J11" s="32">
        <f>费用预算执行明细!J82</f>
        <v>0</v>
      </c>
      <c r="K11" s="32">
        <f>费用预算执行明细!K82</f>
        <v>0</v>
      </c>
      <c r="L11" s="32">
        <f>费用预算执行明细!L82</f>
        <v>0</v>
      </c>
      <c r="M11" s="32">
        <f>费用预算执行明细!M82</f>
        <v>0</v>
      </c>
      <c r="N11" s="32">
        <f>费用预算执行明细!N82</f>
        <v>0</v>
      </c>
      <c r="O11" s="32">
        <f t="shared" si="2"/>
        <v>118.447823</v>
      </c>
      <c r="P11" s="33">
        <f t="shared" si="3"/>
        <v>0.23709988372107</v>
      </c>
    </row>
    <row r="12" s="42" customFormat="1" ht="18" customHeight="1" spans="1:16">
      <c r="A12" s="45" t="s">
        <v>33</v>
      </c>
      <c r="B12" s="46">
        <v>153.94</v>
      </c>
      <c r="C12" s="47">
        <v>0</v>
      </c>
      <c r="D12" s="47">
        <v>0</v>
      </c>
      <c r="E12" s="47">
        <v>0</v>
      </c>
      <c r="F12" s="47">
        <v>0</v>
      </c>
      <c r="G12" s="47"/>
      <c r="H12" s="47"/>
      <c r="I12" s="47"/>
      <c r="J12" s="47"/>
      <c r="K12" s="47"/>
      <c r="L12" s="47"/>
      <c r="M12" s="47"/>
      <c r="N12" s="47"/>
      <c r="O12" s="46">
        <f t="shared" si="2"/>
        <v>0</v>
      </c>
      <c r="P12" s="28">
        <f t="shared" si="3"/>
        <v>0</v>
      </c>
    </row>
    <row r="13" s="40" customFormat="1" ht="18" customHeight="1" spans="1:16">
      <c r="A13" s="34" t="s">
        <v>55</v>
      </c>
      <c r="B13" s="36">
        <v>774.79</v>
      </c>
      <c r="C13" s="36">
        <v>64.720281</v>
      </c>
      <c r="D13" s="36">
        <v>64.716896</v>
      </c>
      <c r="E13" s="36">
        <v>64.716896</v>
      </c>
      <c r="F13" s="36">
        <v>64.716896</v>
      </c>
      <c r="G13" s="36"/>
      <c r="H13" s="36"/>
      <c r="I13" s="36"/>
      <c r="J13" s="36"/>
      <c r="K13" s="36"/>
      <c r="L13" s="36"/>
      <c r="M13" s="36"/>
      <c r="N13" s="36"/>
      <c r="O13" s="27">
        <f t="shared" si="2"/>
        <v>258.870969</v>
      </c>
      <c r="P13" s="28">
        <f t="shared" si="3"/>
        <v>0.334117591863602</v>
      </c>
    </row>
    <row r="14" s="40" customFormat="1" ht="18" customHeight="1" spans="1:16">
      <c r="A14" s="34" t="s">
        <v>56</v>
      </c>
      <c r="B14" s="27">
        <v>-0.92</v>
      </c>
      <c r="C14" s="36">
        <v>0.130972</v>
      </c>
      <c r="D14" s="36">
        <v>0.104688</v>
      </c>
      <c r="E14" s="36">
        <v>-0.416022</v>
      </c>
      <c r="F14" s="36">
        <v>0.160164</v>
      </c>
      <c r="G14" s="36"/>
      <c r="H14" s="36"/>
      <c r="I14" s="36"/>
      <c r="J14" s="36"/>
      <c r="K14" s="36"/>
      <c r="L14" s="36"/>
      <c r="M14" s="36"/>
      <c r="N14" s="36"/>
      <c r="O14" s="27">
        <f t="shared" si="2"/>
        <v>-0.020198</v>
      </c>
      <c r="P14" s="28">
        <f t="shared" si="3"/>
        <v>0.0219543478260869</v>
      </c>
    </row>
    <row r="15" s="40" customFormat="1" ht="18" customHeight="1" spans="1:16">
      <c r="A15" s="34" t="s">
        <v>57</v>
      </c>
      <c r="B15" s="36">
        <v>179.762895788615</v>
      </c>
      <c r="C15" s="36">
        <v>0.10334</v>
      </c>
      <c r="D15" s="36">
        <v>0</v>
      </c>
      <c r="E15" s="36">
        <v>0.27608</v>
      </c>
      <c r="F15" s="36">
        <v>87.951979</v>
      </c>
      <c r="G15" s="36"/>
      <c r="H15" s="36"/>
      <c r="I15" s="36"/>
      <c r="J15" s="36"/>
      <c r="K15" s="36"/>
      <c r="L15" s="36"/>
      <c r="M15" s="36"/>
      <c r="N15" s="36"/>
      <c r="O15" s="27">
        <f t="shared" si="2"/>
        <v>88.331399</v>
      </c>
      <c r="P15" s="28">
        <f t="shared" si="3"/>
        <v>0.491377258986024</v>
      </c>
    </row>
    <row r="16" s="40" customFormat="1" ht="18" customHeight="1" spans="1:16">
      <c r="A16" s="34" t="s">
        <v>58</v>
      </c>
      <c r="B16" s="28">
        <f>IFERROR(B9/B4,)</f>
        <v>0.498275370511345</v>
      </c>
      <c r="C16" s="28">
        <f>IFERROR(C9/C4,)</f>
        <v>0.618934513554914</v>
      </c>
      <c r="D16" s="28">
        <f t="shared" ref="D16:O16" si="4">IFERROR(D9/D4,)</f>
        <v>0.747807884527328</v>
      </c>
      <c r="E16" s="28">
        <f t="shared" si="4"/>
        <v>0.51016759633683</v>
      </c>
      <c r="F16" s="28">
        <f t="shared" si="4"/>
        <v>0.498796354000827</v>
      </c>
      <c r="G16" s="28">
        <f t="shared" si="4"/>
        <v>0</v>
      </c>
      <c r="H16" s="28">
        <f t="shared" si="4"/>
        <v>0</v>
      </c>
      <c r="I16" s="28">
        <f t="shared" si="4"/>
        <v>0</v>
      </c>
      <c r="J16" s="28">
        <f t="shared" si="4"/>
        <v>0</v>
      </c>
      <c r="K16" s="28">
        <f t="shared" si="4"/>
        <v>0</v>
      </c>
      <c r="L16" s="28">
        <f t="shared" si="4"/>
        <v>0</v>
      </c>
      <c r="M16" s="28">
        <f t="shared" si="4"/>
        <v>0</v>
      </c>
      <c r="N16" s="28">
        <f t="shared" si="4"/>
        <v>0</v>
      </c>
      <c r="O16" s="28">
        <f t="shared" si="4"/>
        <v>0.580892730936471</v>
      </c>
      <c r="P16" s="48"/>
    </row>
    <row r="17" ht="32.15" customHeight="1" spans="1:16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/>
    </row>
    <row r="18" s="40" customFormat="1" ht="18" customHeight="1" spans="1:16">
      <c r="A18" s="34" t="s">
        <v>59</v>
      </c>
      <c r="B18" s="27">
        <f>B4-B6-B9-B15+3.6+7</f>
        <v>-232.599633167235</v>
      </c>
      <c r="C18" s="27">
        <f>C4-C6-C9-C15</f>
        <v>-52.748627</v>
      </c>
      <c r="D18" s="27">
        <f>D4-D6-D9-D15</f>
        <v>-38.565954</v>
      </c>
      <c r="E18" s="27">
        <f>E4-E6-E9-E15</f>
        <v>-2.41915900000001</v>
      </c>
      <c r="F18" s="27">
        <f>F4-F6-F9-F15</f>
        <v>-101.364841</v>
      </c>
      <c r="G18" s="27">
        <f t="shared" ref="G18:O18" si="5">G4-G6-G9-G15</f>
        <v>0</v>
      </c>
      <c r="H18" s="27">
        <f t="shared" si="5"/>
        <v>0</v>
      </c>
      <c r="I18" s="27">
        <f t="shared" si="5"/>
        <v>0</v>
      </c>
      <c r="J18" s="27">
        <f t="shared" si="5"/>
        <v>0</v>
      </c>
      <c r="K18" s="27">
        <f t="shared" si="5"/>
        <v>0</v>
      </c>
      <c r="L18" s="27">
        <f t="shared" si="5"/>
        <v>0</v>
      </c>
      <c r="M18" s="27">
        <f t="shared" si="5"/>
        <v>0</v>
      </c>
      <c r="N18" s="27">
        <f t="shared" si="5"/>
        <v>0</v>
      </c>
      <c r="O18" s="27">
        <f t="shared" si="5"/>
        <v>-195.098581</v>
      </c>
      <c r="P18" s="51">
        <f>IFERROR(O18/B18,)</f>
        <v>0.8387742420029</v>
      </c>
    </row>
    <row r="19" ht="18" customHeight="1" spans="1:16">
      <c r="A19" s="52" t="s">
        <v>60</v>
      </c>
      <c r="B19" s="53">
        <f>B4-B6-B9-B14+7</f>
        <v>-55.5167373786196</v>
      </c>
      <c r="C19" s="53">
        <f>C4-C6-C9-C14</f>
        <v>-52.776259</v>
      </c>
      <c r="D19" s="53">
        <f t="shared" ref="C19:O19" si="6">D4-D6-D9-D14</f>
        <v>-38.670642</v>
      </c>
      <c r="E19" s="53">
        <f t="shared" si="6"/>
        <v>-1.72705700000001</v>
      </c>
      <c r="F19" s="53">
        <f t="shared" si="6"/>
        <v>-13.573026</v>
      </c>
      <c r="G19" s="53">
        <f t="shared" si="6"/>
        <v>0</v>
      </c>
      <c r="H19" s="53">
        <f t="shared" si="6"/>
        <v>0</v>
      </c>
      <c r="I19" s="53">
        <f t="shared" si="6"/>
        <v>0</v>
      </c>
      <c r="J19" s="53">
        <f t="shared" si="6"/>
        <v>0</v>
      </c>
      <c r="K19" s="53">
        <f t="shared" si="6"/>
        <v>0</v>
      </c>
      <c r="L19" s="53">
        <f t="shared" si="6"/>
        <v>0</v>
      </c>
      <c r="M19" s="53">
        <f t="shared" si="6"/>
        <v>0</v>
      </c>
      <c r="N19" s="53">
        <f t="shared" si="6"/>
        <v>0</v>
      </c>
      <c r="O19" s="53">
        <f t="shared" si="6"/>
        <v>-106.746984</v>
      </c>
      <c r="P19" s="28">
        <f>IFERROR(O19/B19,)</f>
        <v>1.92278921709672</v>
      </c>
    </row>
    <row r="20" ht="32.15" customHeight="1" spans="1:1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54"/>
    </row>
    <row r="21" ht="18" customHeight="1" spans="1:16">
      <c r="A21" s="55" t="s">
        <v>45</v>
      </c>
      <c r="B21" s="56" t="s">
        <v>46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4"/>
    </row>
    <row r="22" ht="18" customHeight="1" spans="1:16">
      <c r="A22" s="55"/>
      <c r="B22" s="56" t="s">
        <v>47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4"/>
    </row>
    <row r="23" ht="18" customHeight="1" spans="1:16">
      <c r="A23" s="55"/>
      <c r="B23" s="56" t="s">
        <v>48</v>
      </c>
      <c r="C23" s="15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ageMargins left="0.75" right="0.75" top="1" bottom="1" header="0.5" footer="0.5"/>
  <headerFooter/>
  <ignoredErrors>
    <ignoredError sqref="O12:O15 O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0"/>
  <sheetViews>
    <sheetView tabSelected="1" workbookViewId="0">
      <pane xSplit="2" ySplit="3" topLeftCell="C55" activePane="bottomRight" state="frozen"/>
      <selection/>
      <selection pane="topRight"/>
      <selection pane="bottomLeft"/>
      <selection pane="bottomRight" activeCell="I64" sqref="I64"/>
    </sheetView>
  </sheetViews>
  <sheetFormatPr defaultColWidth="8.90833333333333" defaultRowHeight="16" customHeight="1"/>
  <cols>
    <col min="1" max="1" width="23.25" style="18" customWidth="1"/>
    <col min="2" max="2" width="12.4583333333333" style="18" customWidth="1"/>
    <col min="3" max="14" width="9.125" customWidth="1"/>
    <col min="15" max="15" width="12.4583333333333" style="18" customWidth="1"/>
    <col min="16" max="16" width="9.09166666666667" style="19" customWidth="1"/>
    <col min="17" max="16384" width="8.90833333333333" style="18"/>
  </cols>
  <sheetData>
    <row r="1" s="1" customFormat="1" ht="32.15" customHeight="1" spans="1:16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6" customFormat="1" customHeight="1" spans="1:16">
      <c r="A2" s="20" t="s">
        <v>2</v>
      </c>
      <c r="B2" s="20" t="s">
        <v>3</v>
      </c>
      <c r="C2" s="21" t="s">
        <v>62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 t="s">
        <v>5</v>
      </c>
      <c r="P2" s="23" t="s">
        <v>6</v>
      </c>
    </row>
    <row r="3" s="17" customFormat="1" customHeight="1" spans="1:16">
      <c r="A3" s="20"/>
      <c r="B3" s="20"/>
      <c r="C3" s="24" t="s">
        <v>8</v>
      </c>
      <c r="D3" s="22" t="s">
        <v>9</v>
      </c>
      <c r="E3" s="24" t="s">
        <v>10</v>
      </c>
      <c r="F3" s="22" t="s">
        <v>11</v>
      </c>
      <c r="G3" s="24" t="s">
        <v>12</v>
      </c>
      <c r="H3" s="22" t="s">
        <v>13</v>
      </c>
      <c r="I3" s="24" t="s">
        <v>14</v>
      </c>
      <c r="J3" s="22" t="s">
        <v>15</v>
      </c>
      <c r="K3" s="24" t="s">
        <v>16</v>
      </c>
      <c r="L3" s="22" t="s">
        <v>17</v>
      </c>
      <c r="M3" s="24" t="s">
        <v>18</v>
      </c>
      <c r="N3" s="25" t="s">
        <v>19</v>
      </c>
      <c r="O3" s="22"/>
      <c r="P3" s="23"/>
    </row>
    <row r="4" customHeight="1" spans="1:16">
      <c r="A4" s="26" t="s">
        <v>27</v>
      </c>
      <c r="B4" s="27">
        <f>B5+B13</f>
        <v>793.4447</v>
      </c>
      <c r="C4" s="27">
        <f t="shared" ref="C4:N4" si="0">C5+C13</f>
        <v>82.740795</v>
      </c>
      <c r="D4" s="27">
        <f t="shared" si="0"/>
        <v>54.661567</v>
      </c>
      <c r="E4" s="27">
        <f t="shared" si="0"/>
        <v>41.604384</v>
      </c>
      <c r="F4" s="27">
        <f t="shared" si="0"/>
        <v>62.007687</v>
      </c>
      <c r="G4" s="27">
        <f t="shared" si="0"/>
        <v>0</v>
      </c>
      <c r="H4" s="27">
        <f t="shared" si="0"/>
        <v>0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>SUM(C4:N4)</f>
        <v>241.014433</v>
      </c>
      <c r="P4" s="28">
        <f>IFERROR(O4/B4,)</f>
        <v>0.303757064607023</v>
      </c>
    </row>
    <row r="5" customHeight="1" spans="1:16">
      <c r="A5" s="27" t="s">
        <v>63</v>
      </c>
      <c r="B5" s="27">
        <f>SUM(B6:B12)</f>
        <v>693.56</v>
      </c>
      <c r="C5" s="27">
        <f t="shared" ref="C5:N5" si="1">SUM(C6:C12)</f>
        <v>77.910641</v>
      </c>
      <c r="D5" s="27">
        <f t="shared" si="1"/>
        <v>52.070162</v>
      </c>
      <c r="E5" s="27">
        <f t="shared" si="1"/>
        <v>46.482044</v>
      </c>
      <c r="F5" s="27">
        <f t="shared" si="1"/>
        <v>47.60297</v>
      </c>
      <c r="G5" s="27">
        <f t="shared" si="1"/>
        <v>0</v>
      </c>
      <c r="H5" s="27">
        <f t="shared" si="1"/>
        <v>0</v>
      </c>
      <c r="I5" s="27">
        <f t="shared" si="1"/>
        <v>0</v>
      </c>
      <c r="J5" s="27">
        <f t="shared" si="1"/>
        <v>0</v>
      </c>
      <c r="K5" s="27">
        <f t="shared" si="1"/>
        <v>0</v>
      </c>
      <c r="L5" s="27">
        <f t="shared" si="1"/>
        <v>0</v>
      </c>
      <c r="M5" s="27">
        <f t="shared" si="1"/>
        <v>0</v>
      </c>
      <c r="N5" s="27">
        <f t="shared" si="1"/>
        <v>0</v>
      </c>
      <c r="O5" s="27">
        <f>SUM(C5:N5)</f>
        <v>224.065817</v>
      </c>
      <c r="P5" s="28">
        <f>IFERROR(O5/B5,)</f>
        <v>0.323066233635158</v>
      </c>
    </row>
    <row r="6" customHeight="1" spans="1:16">
      <c r="A6" s="29" t="s">
        <v>64</v>
      </c>
      <c r="B6" s="30">
        <v>465.96</v>
      </c>
      <c r="C6" s="30">
        <f>66.785925-0.89-1.4448</f>
        <v>64.451125</v>
      </c>
      <c r="D6" s="30">
        <f>40.420825-0.806632-1.4468</f>
        <v>38.167393</v>
      </c>
      <c r="E6" s="30">
        <f>36.487796-1.6156-1.4468</f>
        <v>33.425396</v>
      </c>
      <c r="F6" s="30">
        <f>36.251258-1.273628-1.4858</f>
        <v>33.49183</v>
      </c>
      <c r="G6" s="30"/>
      <c r="H6" s="30"/>
      <c r="I6" s="30"/>
      <c r="J6" s="31"/>
      <c r="K6" s="30"/>
      <c r="L6" s="31"/>
      <c r="M6" s="30"/>
      <c r="N6" s="30"/>
      <c r="O6" s="32">
        <f>SUM(C6:N6)</f>
        <v>169.535744</v>
      </c>
      <c r="P6" s="33">
        <f>IFERROR(O6/B6,)</f>
        <v>0.363841840501331</v>
      </c>
    </row>
    <row r="7" customHeight="1" spans="1:16">
      <c r="A7" s="29" t="s">
        <v>65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2">
        <f t="shared" ref="O7:O19" si="2">SUM(C7:N7)</f>
        <v>0</v>
      </c>
      <c r="P7" s="33">
        <f t="shared" ref="P7:P19" si="3">IFERROR(O7/B7,)</f>
        <v>0</v>
      </c>
    </row>
    <row r="8" customHeight="1" spans="1:16">
      <c r="A8" s="29" t="s">
        <v>66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2">
        <f t="shared" si="2"/>
        <v>0</v>
      </c>
      <c r="P8" s="33">
        <f t="shared" si="3"/>
        <v>0</v>
      </c>
    </row>
    <row r="9" customHeight="1" spans="1:16">
      <c r="A9" s="29" t="s">
        <v>67</v>
      </c>
      <c r="B9" s="30">
        <v>29.24</v>
      </c>
      <c r="C9" s="30">
        <f>0.121742+1.4448</f>
        <v>1.566542</v>
      </c>
      <c r="D9" s="30">
        <f>0.451528+1.4468+0.52432</f>
        <v>2.422648</v>
      </c>
      <c r="E9" s="30">
        <f>0.18266+1.4468</f>
        <v>1.62946</v>
      </c>
      <c r="F9" s="30">
        <f>0.143183+1.4858+1.52211</f>
        <v>3.151093</v>
      </c>
      <c r="G9" s="30"/>
      <c r="H9" s="30"/>
      <c r="I9" s="30"/>
      <c r="J9" s="30"/>
      <c r="K9" s="30"/>
      <c r="L9" s="30"/>
      <c r="M9" s="30"/>
      <c r="N9" s="30"/>
      <c r="O9" s="32">
        <f t="shared" si="2"/>
        <v>8.769743</v>
      </c>
      <c r="P9" s="33">
        <f t="shared" si="3"/>
        <v>0.29992281121751</v>
      </c>
    </row>
    <row r="10" customHeight="1" spans="1:16">
      <c r="A10" s="29" t="s">
        <v>68</v>
      </c>
      <c r="B10" s="30">
        <v>154.52</v>
      </c>
      <c r="C10" s="30">
        <f>8.664917+0.6186</f>
        <v>9.283517</v>
      </c>
      <c r="D10" s="30">
        <f>8.386482+0.5686</f>
        <v>8.955082</v>
      </c>
      <c r="E10" s="30">
        <f>8.275993+0.5686</f>
        <v>8.844593</v>
      </c>
      <c r="F10" s="30">
        <f>8.281991+0.5786</f>
        <v>8.860591</v>
      </c>
      <c r="G10" s="30"/>
      <c r="H10" s="30"/>
      <c r="I10" s="30"/>
      <c r="J10" s="30"/>
      <c r="K10" s="30"/>
      <c r="L10" s="30"/>
      <c r="M10" s="30"/>
      <c r="N10" s="30"/>
      <c r="O10" s="32">
        <f t="shared" si="2"/>
        <v>35.943783</v>
      </c>
      <c r="P10" s="33">
        <f t="shared" si="3"/>
        <v>0.23261573259125</v>
      </c>
    </row>
    <row r="11" customHeight="1" spans="1:16">
      <c r="A11" s="29" t="s">
        <v>69</v>
      </c>
      <c r="B11" s="30">
        <v>0.4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2">
        <f t="shared" si="2"/>
        <v>0</v>
      </c>
      <c r="P11" s="33">
        <f t="shared" si="3"/>
        <v>0</v>
      </c>
    </row>
    <row r="12" customHeight="1" spans="1:16">
      <c r="A12" s="29" t="s">
        <v>70</v>
      </c>
      <c r="B12" s="30">
        <v>43.44</v>
      </c>
      <c r="C12" s="30">
        <f>0.110609+2.498848</f>
        <v>2.609457</v>
      </c>
      <c r="D12" s="30">
        <f>0.111046+2.413993</f>
        <v>2.525039</v>
      </c>
      <c r="E12" s="30">
        <f>0.086346+2.496249</f>
        <v>2.582595</v>
      </c>
      <c r="F12" s="30">
        <f>0.093912+2.005544</f>
        <v>2.099456</v>
      </c>
      <c r="G12" s="30"/>
      <c r="H12" s="30"/>
      <c r="I12" s="30"/>
      <c r="J12" s="31"/>
      <c r="K12" s="30"/>
      <c r="L12" s="31"/>
      <c r="M12" s="30"/>
      <c r="N12" s="30"/>
      <c r="O12" s="32">
        <f t="shared" si="2"/>
        <v>9.816547</v>
      </c>
      <c r="P12" s="33">
        <f t="shared" si="3"/>
        <v>0.225979442909761</v>
      </c>
    </row>
    <row r="13" customHeight="1" spans="1:16">
      <c r="A13" s="27" t="s">
        <v>71</v>
      </c>
      <c r="B13" s="27">
        <f>SUM(B14:B45)</f>
        <v>99.8847</v>
      </c>
      <c r="C13" s="27">
        <f>SUM(C14:C45)</f>
        <v>4.830154</v>
      </c>
      <c r="D13" s="27">
        <f t="shared" ref="C13:N13" si="4">SUM(D14:D45)</f>
        <v>2.591405</v>
      </c>
      <c r="E13" s="27">
        <f t="shared" si="4"/>
        <v>-4.87766</v>
      </c>
      <c r="F13" s="27">
        <f t="shared" si="4"/>
        <v>14.404717</v>
      </c>
      <c r="G13" s="27">
        <f t="shared" si="4"/>
        <v>0</v>
      </c>
      <c r="H13" s="27">
        <f t="shared" si="4"/>
        <v>0</v>
      </c>
      <c r="I13" s="27">
        <f t="shared" si="4"/>
        <v>0</v>
      </c>
      <c r="J13" s="27">
        <f t="shared" si="4"/>
        <v>0</v>
      </c>
      <c r="K13" s="27">
        <f t="shared" si="4"/>
        <v>0</v>
      </c>
      <c r="L13" s="27">
        <f t="shared" si="4"/>
        <v>0</v>
      </c>
      <c r="M13" s="27">
        <f t="shared" si="4"/>
        <v>0</v>
      </c>
      <c r="N13" s="27">
        <f t="shared" si="4"/>
        <v>0</v>
      </c>
      <c r="O13" s="27">
        <f t="shared" si="2"/>
        <v>16.948616</v>
      </c>
      <c r="P13" s="28">
        <f t="shared" si="3"/>
        <v>0.169681803118996</v>
      </c>
    </row>
    <row r="14" customHeight="1" spans="1:16">
      <c r="A14" s="29" t="s">
        <v>72</v>
      </c>
      <c r="B14" s="30">
        <v>0.12</v>
      </c>
      <c r="C14" s="30"/>
      <c r="D14" s="30">
        <v>0.0056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2">
        <f t="shared" si="2"/>
        <v>0.0056</v>
      </c>
      <c r="P14" s="33">
        <f t="shared" si="3"/>
        <v>0.0466666666666667</v>
      </c>
    </row>
    <row r="15" customHeight="1" spans="1:16">
      <c r="A15" s="29" t="s">
        <v>73</v>
      </c>
      <c r="B15" s="30">
        <v>5.6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2">
        <f t="shared" si="2"/>
        <v>0</v>
      </c>
      <c r="P15" s="33">
        <f t="shared" si="3"/>
        <v>0</v>
      </c>
    </row>
    <row r="16" customHeight="1" spans="1:16">
      <c r="A16" s="29" t="s">
        <v>74</v>
      </c>
      <c r="B16" s="30">
        <v>3.4</v>
      </c>
      <c r="C16" s="30"/>
      <c r="D16" s="30"/>
      <c r="E16" s="30">
        <v>0.0478</v>
      </c>
      <c r="F16" s="30"/>
      <c r="G16" s="30"/>
      <c r="H16" s="30"/>
      <c r="I16" s="30"/>
      <c r="J16" s="30"/>
      <c r="K16" s="30"/>
      <c r="L16" s="30"/>
      <c r="M16" s="30"/>
      <c r="N16" s="30"/>
      <c r="O16" s="32">
        <f t="shared" si="2"/>
        <v>0.0478</v>
      </c>
      <c r="P16" s="33">
        <f t="shared" si="3"/>
        <v>0.0140588235294118</v>
      </c>
    </row>
    <row r="17" customHeight="1" spans="1:16">
      <c r="A17" s="29" t="s">
        <v>75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2">
        <f t="shared" si="2"/>
        <v>0</v>
      </c>
      <c r="P17" s="33">
        <f t="shared" si="3"/>
        <v>0</v>
      </c>
    </row>
    <row r="18" customHeight="1" spans="1:16">
      <c r="A18" s="29" t="s">
        <v>76</v>
      </c>
      <c r="B18" s="30">
        <v>7.54</v>
      </c>
      <c r="C18" s="30">
        <v>0.7254</v>
      </c>
      <c r="D18" s="30">
        <v>-0.083453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2">
        <f t="shared" si="2"/>
        <v>0.641947</v>
      </c>
      <c r="P18" s="33">
        <f t="shared" si="3"/>
        <v>0.0851388594164456</v>
      </c>
    </row>
    <row r="19" customHeight="1" spans="1:16">
      <c r="A19" s="29" t="s">
        <v>77</v>
      </c>
      <c r="B19" s="30">
        <v>20.5487</v>
      </c>
      <c r="C19" s="30">
        <f>1.554545-0.078322</f>
        <v>1.476223</v>
      </c>
      <c r="D19" s="30">
        <v>0.030165</v>
      </c>
      <c r="E19" s="30">
        <f>0.754717-7.749436</f>
        <v>-6.994719</v>
      </c>
      <c r="F19" s="30">
        <f>9.639696-0.1265-0.038208</f>
        <v>9.474988</v>
      </c>
      <c r="G19" s="30"/>
      <c r="H19" s="30"/>
      <c r="I19" s="30"/>
      <c r="J19" s="30"/>
      <c r="K19" s="30"/>
      <c r="L19" s="30"/>
      <c r="M19" s="30"/>
      <c r="N19" s="30"/>
      <c r="O19" s="32">
        <f t="shared" si="2"/>
        <v>3.986657</v>
      </c>
      <c r="P19" s="33">
        <f t="shared" si="3"/>
        <v>0.194010180692696</v>
      </c>
    </row>
    <row r="20" customHeight="1" spans="1:16">
      <c r="A20" s="29" t="s">
        <v>78</v>
      </c>
      <c r="B20" s="30">
        <v>1.256</v>
      </c>
      <c r="C20" s="30"/>
      <c r="D20" s="30">
        <v>0.703517</v>
      </c>
      <c r="E20" s="30"/>
      <c r="F20" s="30">
        <v>0.18</v>
      </c>
      <c r="G20" s="30"/>
      <c r="H20" s="30"/>
      <c r="I20" s="30"/>
      <c r="J20" s="30"/>
      <c r="K20" s="30"/>
      <c r="L20" s="30"/>
      <c r="M20" s="30"/>
      <c r="N20" s="30"/>
      <c r="O20" s="32">
        <f t="shared" ref="O20:O48" si="5">SUM(C20:N20)</f>
        <v>0.883517</v>
      </c>
      <c r="P20" s="33">
        <f t="shared" ref="P20:P48" si="6">IFERROR(O20/B20,)</f>
        <v>0.703437101910828</v>
      </c>
    </row>
    <row r="21" customHeight="1" spans="1:16">
      <c r="A21" s="29" t="s">
        <v>79</v>
      </c>
      <c r="B21" s="30">
        <v>15.6</v>
      </c>
      <c r="C21" s="30">
        <v>1.213084</v>
      </c>
      <c r="D21" s="30">
        <v>1.3</v>
      </c>
      <c r="E21" s="30">
        <v>1.1933</v>
      </c>
      <c r="F21" s="30">
        <v>2.387377</v>
      </c>
      <c r="G21" s="30"/>
      <c r="H21" s="30"/>
      <c r="I21" s="30"/>
      <c r="J21" s="30"/>
      <c r="K21" s="30"/>
      <c r="L21" s="30"/>
      <c r="M21" s="30"/>
      <c r="N21" s="30"/>
      <c r="O21" s="32">
        <f t="shared" si="5"/>
        <v>6.093761</v>
      </c>
      <c r="P21" s="33">
        <f t="shared" si="6"/>
        <v>0.390625705128205</v>
      </c>
    </row>
    <row r="22" customHeight="1" spans="1:16">
      <c r="A22" s="29" t="s">
        <v>80</v>
      </c>
      <c r="B22" s="30">
        <v>0.05</v>
      </c>
      <c r="C22" s="30"/>
      <c r="D22" s="30">
        <v>0.003937</v>
      </c>
      <c r="E22" s="30"/>
      <c r="F22" s="30">
        <v>0.008292</v>
      </c>
      <c r="G22" s="30"/>
      <c r="H22" s="30"/>
      <c r="I22" s="30"/>
      <c r="J22" s="30"/>
      <c r="K22" s="30"/>
      <c r="L22" s="30"/>
      <c r="M22" s="30"/>
      <c r="N22" s="30"/>
      <c r="O22" s="32">
        <f t="shared" si="5"/>
        <v>0.012229</v>
      </c>
      <c r="P22" s="33">
        <f t="shared" si="6"/>
        <v>0.24458</v>
      </c>
    </row>
    <row r="23" customHeight="1" spans="1:16">
      <c r="A23" s="29" t="s">
        <v>81</v>
      </c>
      <c r="B23" s="30">
        <v>4.5</v>
      </c>
      <c r="C23" s="30">
        <f>0.049505+0.288968</f>
        <v>0.338473</v>
      </c>
      <c r="D23" s="30">
        <v>0.028843</v>
      </c>
      <c r="E23" s="30">
        <f>0.012583+0.112866</f>
        <v>0.125449</v>
      </c>
      <c r="F23" s="30">
        <f>0.099822+0.038069</f>
        <v>0.137891</v>
      </c>
      <c r="G23" s="30"/>
      <c r="H23" s="30"/>
      <c r="I23" s="30"/>
      <c r="J23" s="30"/>
      <c r="K23" s="30"/>
      <c r="L23" s="30"/>
      <c r="M23" s="30"/>
      <c r="N23" s="30"/>
      <c r="O23" s="32">
        <f t="shared" si="5"/>
        <v>0.630656</v>
      </c>
      <c r="P23" s="33">
        <f t="shared" si="6"/>
        <v>0.140145777777778</v>
      </c>
    </row>
    <row r="24" customHeight="1" spans="1:16">
      <c r="A24" s="29" t="s">
        <v>82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2">
        <f t="shared" si="5"/>
        <v>0</v>
      </c>
      <c r="P24" s="33">
        <f t="shared" si="6"/>
        <v>0</v>
      </c>
    </row>
    <row r="25" customHeight="1" spans="1:16">
      <c r="A25" s="29" t="s">
        <v>83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2">
        <f t="shared" si="5"/>
        <v>0</v>
      </c>
      <c r="P25" s="33">
        <f t="shared" si="6"/>
        <v>0</v>
      </c>
    </row>
    <row r="26" customHeight="1" spans="1:16">
      <c r="A26" s="29" t="s">
        <v>84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2">
        <f t="shared" si="5"/>
        <v>0</v>
      </c>
      <c r="P26" s="33">
        <f t="shared" si="6"/>
        <v>0</v>
      </c>
    </row>
    <row r="27" customHeight="1" spans="1:16">
      <c r="A27" s="29" t="s">
        <v>85</v>
      </c>
      <c r="B27" s="30">
        <v>1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2">
        <f t="shared" si="5"/>
        <v>0</v>
      </c>
      <c r="P27" s="33">
        <f t="shared" si="6"/>
        <v>0</v>
      </c>
    </row>
    <row r="28" customHeight="1" spans="1:16">
      <c r="A28" s="29" t="s">
        <v>86</v>
      </c>
      <c r="B28" s="30">
        <v>7</v>
      </c>
      <c r="C28" s="30">
        <v>0.315313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2">
        <f t="shared" si="5"/>
        <v>0.315313</v>
      </c>
      <c r="P28" s="33">
        <f t="shared" si="6"/>
        <v>0.0450447142857143</v>
      </c>
    </row>
    <row r="29" customHeight="1" spans="1:16">
      <c r="A29" s="29" t="s">
        <v>87</v>
      </c>
      <c r="B29" s="30">
        <v>1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2">
        <f t="shared" si="5"/>
        <v>0</v>
      </c>
      <c r="P29" s="33">
        <f t="shared" si="6"/>
        <v>0</v>
      </c>
    </row>
    <row r="30" customHeight="1" spans="1:16">
      <c r="A30" s="29" t="s">
        <v>88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2">
        <f t="shared" si="5"/>
        <v>0</v>
      </c>
      <c r="P30" s="33">
        <f t="shared" si="6"/>
        <v>0</v>
      </c>
    </row>
    <row r="31" customHeight="1" spans="1:16">
      <c r="A31" s="29" t="s">
        <v>89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2">
        <f t="shared" si="5"/>
        <v>0</v>
      </c>
      <c r="P31" s="33">
        <f t="shared" si="6"/>
        <v>0</v>
      </c>
    </row>
    <row r="32" customHeight="1" spans="1:16">
      <c r="A32" s="29" t="s">
        <v>90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>
        <f t="shared" si="5"/>
        <v>0</v>
      </c>
      <c r="P32" s="33">
        <f t="shared" si="6"/>
        <v>0</v>
      </c>
    </row>
    <row r="33" customHeight="1" spans="1:16">
      <c r="A33" s="29" t="s">
        <v>91</v>
      </c>
      <c r="B33" s="30">
        <v>7.63</v>
      </c>
      <c r="C33" s="30"/>
      <c r="D33" s="30"/>
      <c r="E33" s="30"/>
      <c r="F33" s="30">
        <v>1.521887</v>
      </c>
      <c r="G33" s="30"/>
      <c r="H33" s="30"/>
      <c r="I33" s="30"/>
      <c r="J33" s="30"/>
      <c r="K33" s="30"/>
      <c r="L33" s="30"/>
      <c r="M33" s="30"/>
      <c r="N33" s="30"/>
      <c r="O33" s="32">
        <f t="shared" si="5"/>
        <v>1.521887</v>
      </c>
      <c r="P33" s="33">
        <f t="shared" si="6"/>
        <v>0.199460943643512</v>
      </c>
    </row>
    <row r="34" customHeight="1" spans="1:16">
      <c r="A34" s="29" t="s">
        <v>92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2">
        <f t="shared" si="5"/>
        <v>0</v>
      </c>
      <c r="P34" s="33">
        <f t="shared" si="6"/>
        <v>0</v>
      </c>
    </row>
    <row r="35" customHeight="1" spans="1:16">
      <c r="A35" s="29" t="s">
        <v>93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2">
        <f t="shared" si="5"/>
        <v>0</v>
      </c>
      <c r="P35" s="33">
        <f t="shared" si="6"/>
        <v>0</v>
      </c>
    </row>
    <row r="36" customHeight="1" spans="1:16">
      <c r="A36" s="29" t="s">
        <v>94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2">
        <f t="shared" si="5"/>
        <v>0</v>
      </c>
      <c r="P36" s="33">
        <f t="shared" si="6"/>
        <v>0</v>
      </c>
    </row>
    <row r="37" customHeight="1" spans="1:16">
      <c r="A37" s="29" t="s">
        <v>95</v>
      </c>
      <c r="B37" s="30">
        <v>7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2">
        <f t="shared" si="5"/>
        <v>0</v>
      </c>
      <c r="P37" s="33">
        <f t="shared" si="6"/>
        <v>0</v>
      </c>
    </row>
    <row r="38" customHeight="1" spans="1:16">
      <c r="A38" s="29" t="s">
        <v>96</v>
      </c>
      <c r="B38" s="30">
        <v>6.55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2">
        <f t="shared" si="5"/>
        <v>0</v>
      </c>
      <c r="P38" s="33">
        <f t="shared" si="6"/>
        <v>0</v>
      </c>
    </row>
    <row r="39" customHeight="1" spans="1:16">
      <c r="A39" s="29" t="s">
        <v>97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2">
        <f t="shared" si="5"/>
        <v>0</v>
      </c>
      <c r="P39" s="33">
        <f t="shared" si="6"/>
        <v>0</v>
      </c>
    </row>
    <row r="40" customHeight="1" spans="1:16">
      <c r="A40" s="29" t="s">
        <v>98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2">
        <f t="shared" si="5"/>
        <v>0</v>
      </c>
      <c r="P40" s="33">
        <f t="shared" si="6"/>
        <v>0</v>
      </c>
    </row>
    <row r="41" customHeight="1" spans="1:16">
      <c r="A41" s="29" t="s">
        <v>99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f t="shared" si="5"/>
        <v>0</v>
      </c>
      <c r="P41" s="33">
        <f t="shared" si="6"/>
        <v>0</v>
      </c>
    </row>
    <row r="42" customHeight="1" spans="1:16">
      <c r="A42" s="29" t="s">
        <v>100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2">
        <f t="shared" si="5"/>
        <v>0</v>
      </c>
      <c r="P42" s="33">
        <f t="shared" si="6"/>
        <v>0</v>
      </c>
    </row>
    <row r="43" customHeight="1" spans="1:16">
      <c r="A43" s="29" t="s">
        <v>101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2">
        <f t="shared" si="5"/>
        <v>0</v>
      </c>
      <c r="P43" s="33">
        <f t="shared" si="6"/>
        <v>0</v>
      </c>
    </row>
    <row r="44" customHeight="1" spans="1:16">
      <c r="A44" s="29" t="s">
        <v>102</v>
      </c>
      <c r="B44" s="30">
        <v>1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2">
        <f t="shared" si="5"/>
        <v>0</v>
      </c>
      <c r="P44" s="33">
        <f t="shared" si="6"/>
        <v>0</v>
      </c>
    </row>
    <row r="45" customHeight="1" spans="1:16">
      <c r="A45" s="29" t="s">
        <v>103</v>
      </c>
      <c r="B45" s="30">
        <v>10.09</v>
      </c>
      <c r="C45" s="30">
        <f>0.738534+0.021929+0.001198</f>
        <v>0.761661</v>
      </c>
      <c r="D45" s="30">
        <f>0.568639+0.034157</f>
        <v>0.602796</v>
      </c>
      <c r="E45" s="30">
        <f>0.549404+0.020509+0.001197+0.1794</f>
        <v>0.75051</v>
      </c>
      <c r="F45" s="30">
        <f>0.582768+0.0317+0.000719+0.079095</f>
        <v>0.694282</v>
      </c>
      <c r="G45" s="30"/>
      <c r="H45" s="30"/>
      <c r="I45" s="30"/>
      <c r="J45" s="30"/>
      <c r="K45" s="30"/>
      <c r="L45" s="30"/>
      <c r="M45" s="30"/>
      <c r="N45" s="30"/>
      <c r="O45" s="32">
        <f t="shared" si="5"/>
        <v>2.809249</v>
      </c>
      <c r="P45" s="33">
        <f t="shared" si="6"/>
        <v>0.278419127849356</v>
      </c>
    </row>
    <row r="46" customHeight="1" spans="1:16">
      <c r="A46" s="34" t="s">
        <v>30</v>
      </c>
      <c r="B46" s="27">
        <f>B47+B82</f>
        <v>724.989300250459</v>
      </c>
      <c r="C46" s="27">
        <f t="shared" ref="C46:N46" si="7">C47+C82</f>
        <v>48.881752</v>
      </c>
      <c r="D46" s="27">
        <f t="shared" si="7"/>
        <v>47.727211</v>
      </c>
      <c r="E46" s="27">
        <f t="shared" si="7"/>
        <v>41.099525</v>
      </c>
      <c r="F46" s="27">
        <f t="shared" si="7"/>
        <v>48.361423</v>
      </c>
      <c r="G46" s="27">
        <f t="shared" si="7"/>
        <v>0</v>
      </c>
      <c r="H46" s="27">
        <f t="shared" si="7"/>
        <v>0</v>
      </c>
      <c r="I46" s="27">
        <f t="shared" si="7"/>
        <v>0</v>
      </c>
      <c r="J46" s="27">
        <f t="shared" si="7"/>
        <v>0</v>
      </c>
      <c r="K46" s="27">
        <f t="shared" si="7"/>
        <v>0</v>
      </c>
      <c r="L46" s="27">
        <f t="shared" si="7"/>
        <v>0</v>
      </c>
      <c r="M46" s="27">
        <f t="shared" si="7"/>
        <v>0</v>
      </c>
      <c r="N46" s="27">
        <f t="shared" si="7"/>
        <v>0</v>
      </c>
      <c r="O46" s="27">
        <f t="shared" si="5"/>
        <v>186.069911</v>
      </c>
      <c r="P46" s="28">
        <f t="shared" si="6"/>
        <v>0.256651940843429</v>
      </c>
    </row>
    <row r="47" customHeight="1" spans="1:16">
      <c r="A47" s="27" t="s">
        <v>104</v>
      </c>
      <c r="B47" s="27">
        <f>SUM(B48:B81)</f>
        <v>225.42</v>
      </c>
      <c r="C47" s="27">
        <f t="shared" ref="C47:N47" si="8">SUM(C48:C81)</f>
        <v>14.661237</v>
      </c>
      <c r="D47" s="27">
        <f t="shared" si="8"/>
        <v>17.69237</v>
      </c>
      <c r="E47" s="27">
        <f t="shared" si="8"/>
        <v>15.084433</v>
      </c>
      <c r="F47" s="27">
        <f t="shared" si="8"/>
        <v>20.184048</v>
      </c>
      <c r="G47" s="27">
        <f t="shared" si="8"/>
        <v>0</v>
      </c>
      <c r="H47" s="27">
        <f t="shared" si="8"/>
        <v>0</v>
      </c>
      <c r="I47" s="27">
        <f t="shared" si="8"/>
        <v>0</v>
      </c>
      <c r="J47" s="27">
        <f t="shared" si="8"/>
        <v>0</v>
      </c>
      <c r="K47" s="27">
        <f t="shared" si="8"/>
        <v>0</v>
      </c>
      <c r="L47" s="27">
        <f t="shared" si="8"/>
        <v>0</v>
      </c>
      <c r="M47" s="27">
        <f t="shared" si="8"/>
        <v>0</v>
      </c>
      <c r="N47" s="27">
        <f t="shared" si="8"/>
        <v>0</v>
      </c>
      <c r="O47" s="27">
        <f t="shared" si="5"/>
        <v>67.622088</v>
      </c>
      <c r="P47" s="28">
        <f t="shared" si="6"/>
        <v>0.299982645727975</v>
      </c>
    </row>
    <row r="48" customHeight="1" spans="1:16">
      <c r="A48" s="29" t="s">
        <v>72</v>
      </c>
      <c r="B48" s="30">
        <v>0.18</v>
      </c>
      <c r="C48" s="30">
        <v>0.018773</v>
      </c>
      <c r="D48" s="30"/>
      <c r="E48" s="30">
        <v>0.0034</v>
      </c>
      <c r="F48" s="30"/>
      <c r="G48" s="30"/>
      <c r="H48" s="30"/>
      <c r="I48" s="30"/>
      <c r="J48" s="30"/>
      <c r="K48" s="30"/>
      <c r="L48" s="30"/>
      <c r="M48" s="30"/>
      <c r="N48" s="30"/>
      <c r="O48" s="32">
        <f t="shared" si="5"/>
        <v>0.022173</v>
      </c>
      <c r="P48" s="33">
        <f t="shared" si="6"/>
        <v>0.123183333333333</v>
      </c>
    </row>
    <row r="49" customHeight="1" spans="1:16">
      <c r="A49" s="29" t="s">
        <v>73</v>
      </c>
      <c r="B49" s="30">
        <v>0.6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2">
        <f t="shared" ref="O49:O83" si="9">SUM(C49:N49)</f>
        <v>0</v>
      </c>
      <c r="P49" s="33">
        <f t="shared" ref="P49:P83" si="10">IFERROR(O49/B49,)</f>
        <v>0</v>
      </c>
    </row>
    <row r="50" customHeight="1" spans="1:16">
      <c r="A50" s="29" t="s">
        <v>74</v>
      </c>
      <c r="B50" s="30">
        <v>5.3</v>
      </c>
      <c r="C50" s="30">
        <v>0.165</v>
      </c>
      <c r="D50" s="30">
        <v>0.5788</v>
      </c>
      <c r="E50" s="30">
        <v>0.0597</v>
      </c>
      <c r="F50" s="30">
        <v>0.3401</v>
      </c>
      <c r="G50" s="30"/>
      <c r="H50" s="30"/>
      <c r="I50" s="30"/>
      <c r="J50" s="30"/>
      <c r="K50" s="30"/>
      <c r="L50" s="30"/>
      <c r="M50" s="30"/>
      <c r="N50" s="30"/>
      <c r="O50" s="32">
        <f t="shared" si="9"/>
        <v>1.1436</v>
      </c>
      <c r="P50" s="33">
        <f t="shared" si="10"/>
        <v>0.21577358490566</v>
      </c>
    </row>
    <row r="51" customHeight="1" spans="1:16">
      <c r="A51" s="29" t="s">
        <v>75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2">
        <f t="shared" si="9"/>
        <v>0</v>
      </c>
      <c r="P51" s="33">
        <f t="shared" si="10"/>
        <v>0</v>
      </c>
    </row>
    <row r="52" customHeight="1" spans="1:16">
      <c r="A52" s="29" t="s">
        <v>105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2">
        <f t="shared" si="9"/>
        <v>0</v>
      </c>
      <c r="P52" s="33">
        <f t="shared" si="10"/>
        <v>0</v>
      </c>
    </row>
    <row r="53" customHeight="1" spans="1:16">
      <c r="A53" s="29" t="s">
        <v>78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2">
        <f t="shared" si="9"/>
        <v>0</v>
      </c>
      <c r="P53" s="33">
        <f t="shared" si="10"/>
        <v>0</v>
      </c>
    </row>
    <row r="54" customHeight="1" spans="1:16">
      <c r="A54" s="29" t="s">
        <v>79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2">
        <f t="shared" si="9"/>
        <v>0</v>
      </c>
      <c r="P54" s="33">
        <f t="shared" si="10"/>
        <v>0</v>
      </c>
    </row>
    <row r="55" customHeight="1" spans="1:16">
      <c r="A55" s="29" t="s">
        <v>80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2">
        <f t="shared" si="9"/>
        <v>0</v>
      </c>
      <c r="P55" s="33">
        <f t="shared" si="10"/>
        <v>0</v>
      </c>
    </row>
    <row r="56" customHeight="1" spans="1:16">
      <c r="A56" s="29" t="s">
        <v>81</v>
      </c>
      <c r="B56" s="30">
        <v>3.4</v>
      </c>
      <c r="C56" s="30">
        <v>0.321597</v>
      </c>
      <c r="D56" s="30">
        <f>0.085465+0.040958</f>
        <v>0.126423</v>
      </c>
      <c r="E56" s="30">
        <v>0.112389</v>
      </c>
      <c r="F56" s="30">
        <v>0.121877</v>
      </c>
      <c r="G56" s="30"/>
      <c r="H56" s="30"/>
      <c r="I56" s="30"/>
      <c r="J56" s="30"/>
      <c r="K56" s="30"/>
      <c r="L56" s="30"/>
      <c r="M56" s="30"/>
      <c r="N56" s="30"/>
      <c r="O56" s="32">
        <f t="shared" si="9"/>
        <v>0.682286</v>
      </c>
      <c r="P56" s="33">
        <f t="shared" si="10"/>
        <v>0.200672352941176</v>
      </c>
    </row>
    <row r="57" customHeight="1" spans="1:16">
      <c r="A57" s="29" t="s">
        <v>82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2">
        <f t="shared" si="9"/>
        <v>0</v>
      </c>
      <c r="P57" s="33">
        <f t="shared" si="10"/>
        <v>0</v>
      </c>
    </row>
    <row r="58" customHeight="1" spans="1:16">
      <c r="A58" s="29" t="s">
        <v>83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2">
        <f t="shared" si="9"/>
        <v>0</v>
      </c>
      <c r="P58" s="33">
        <f t="shared" si="10"/>
        <v>0</v>
      </c>
    </row>
    <row r="59" customHeight="1" spans="1:16">
      <c r="A59" s="29" t="s">
        <v>69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2">
        <f t="shared" si="9"/>
        <v>0</v>
      </c>
      <c r="P59" s="33">
        <f t="shared" si="10"/>
        <v>0</v>
      </c>
    </row>
    <row r="60" customHeight="1" spans="1:16">
      <c r="A60" s="29" t="s">
        <v>84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2">
        <f t="shared" si="9"/>
        <v>0</v>
      </c>
      <c r="P60" s="33">
        <f t="shared" si="10"/>
        <v>0</v>
      </c>
    </row>
    <row r="61" customHeight="1" spans="1:16">
      <c r="A61" s="29" t="s">
        <v>85</v>
      </c>
      <c r="B61" s="30">
        <v>3.6</v>
      </c>
      <c r="C61" s="30">
        <v>0.028</v>
      </c>
      <c r="D61" s="30"/>
      <c r="E61" s="30">
        <v>0.1605</v>
      </c>
      <c r="F61" s="30"/>
      <c r="G61" s="30"/>
      <c r="H61" s="30"/>
      <c r="I61" s="30"/>
      <c r="J61" s="30"/>
      <c r="K61" s="30"/>
      <c r="L61" s="30"/>
      <c r="M61" s="30"/>
      <c r="N61" s="30"/>
      <c r="O61" s="32">
        <f t="shared" si="9"/>
        <v>0.1885</v>
      </c>
      <c r="P61" s="33">
        <f t="shared" si="10"/>
        <v>0.0523611111111111</v>
      </c>
    </row>
    <row r="62" customHeight="1" spans="1:16">
      <c r="A62" s="29" t="s">
        <v>86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2">
        <f t="shared" si="9"/>
        <v>0</v>
      </c>
      <c r="P62" s="33">
        <f t="shared" si="10"/>
        <v>0</v>
      </c>
    </row>
    <row r="63" customHeight="1" spans="1:16">
      <c r="A63" s="29" t="s">
        <v>87</v>
      </c>
      <c r="B63" s="30"/>
      <c r="C63" s="30"/>
      <c r="D63" s="30"/>
      <c r="E63" s="30"/>
      <c r="F63" s="30">
        <v>5.3692</v>
      </c>
      <c r="G63" s="30"/>
      <c r="H63" s="30"/>
      <c r="I63" s="30"/>
      <c r="J63" s="30"/>
      <c r="K63" s="30"/>
      <c r="L63" s="30"/>
      <c r="M63" s="30"/>
      <c r="N63" s="30"/>
      <c r="O63" s="32">
        <f t="shared" si="9"/>
        <v>5.3692</v>
      </c>
      <c r="P63" s="33">
        <f t="shared" si="10"/>
        <v>0</v>
      </c>
    </row>
    <row r="64" customHeight="1" spans="1:16">
      <c r="A64" s="29" t="s">
        <v>88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2">
        <f t="shared" si="9"/>
        <v>0</v>
      </c>
      <c r="P64" s="33">
        <f t="shared" si="10"/>
        <v>0</v>
      </c>
    </row>
    <row r="65" customHeight="1" spans="1:16">
      <c r="A65" s="29" t="s">
        <v>89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2">
        <f t="shared" si="9"/>
        <v>0</v>
      </c>
      <c r="P65" s="33">
        <f t="shared" si="10"/>
        <v>0</v>
      </c>
    </row>
    <row r="66" customHeight="1" spans="1:16">
      <c r="A66" s="29" t="s">
        <v>90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2">
        <f t="shared" si="9"/>
        <v>0</v>
      </c>
      <c r="P66" s="33">
        <f t="shared" si="10"/>
        <v>0</v>
      </c>
    </row>
    <row r="67" customHeight="1" spans="1:16">
      <c r="A67" s="29" t="s">
        <v>91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2">
        <f t="shared" si="9"/>
        <v>0</v>
      </c>
      <c r="P67" s="33">
        <f t="shared" si="10"/>
        <v>0</v>
      </c>
    </row>
    <row r="68" customHeight="1" spans="1:16">
      <c r="A68" s="29" t="s">
        <v>67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2">
        <f t="shared" si="9"/>
        <v>0</v>
      </c>
      <c r="P68" s="33">
        <f t="shared" si="10"/>
        <v>0</v>
      </c>
    </row>
    <row r="69" customHeight="1" spans="1:16">
      <c r="A69" s="29" t="s">
        <v>92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2">
        <f t="shared" si="9"/>
        <v>0</v>
      </c>
      <c r="P69" s="33">
        <f t="shared" si="10"/>
        <v>0</v>
      </c>
    </row>
    <row r="70" customHeight="1" spans="1:16">
      <c r="A70" s="29" t="s">
        <v>93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2">
        <f t="shared" si="9"/>
        <v>0</v>
      </c>
      <c r="P70" s="33">
        <f t="shared" si="10"/>
        <v>0</v>
      </c>
    </row>
    <row r="71" customHeight="1" spans="1:16">
      <c r="A71" s="29" t="s">
        <v>94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2">
        <f t="shared" si="9"/>
        <v>0</v>
      </c>
      <c r="P71" s="33">
        <f t="shared" si="10"/>
        <v>0</v>
      </c>
    </row>
    <row r="72" customHeight="1" spans="1:16">
      <c r="A72" s="29" t="s">
        <v>95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2">
        <f t="shared" si="9"/>
        <v>0</v>
      </c>
      <c r="P72" s="33">
        <f t="shared" si="10"/>
        <v>0</v>
      </c>
    </row>
    <row r="73" customHeight="1" spans="1:16">
      <c r="A73" s="29" t="s">
        <v>96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2">
        <f t="shared" si="9"/>
        <v>0</v>
      </c>
      <c r="P73" s="33">
        <f t="shared" si="10"/>
        <v>0</v>
      </c>
    </row>
    <row r="74" customHeight="1" spans="1:16">
      <c r="A74" s="29" t="s">
        <v>97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2">
        <f t="shared" si="9"/>
        <v>0</v>
      </c>
      <c r="P74" s="33">
        <f t="shared" si="10"/>
        <v>0</v>
      </c>
    </row>
    <row r="75" customHeight="1" spans="1:16">
      <c r="A75" s="29" t="s">
        <v>98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2">
        <f t="shared" si="9"/>
        <v>0</v>
      </c>
      <c r="P75" s="33">
        <f t="shared" si="10"/>
        <v>0</v>
      </c>
    </row>
    <row r="76" customHeight="1" spans="1:16">
      <c r="A76" s="29" t="s">
        <v>99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2">
        <f t="shared" si="9"/>
        <v>0</v>
      </c>
      <c r="P76" s="33">
        <f t="shared" si="10"/>
        <v>0</v>
      </c>
    </row>
    <row r="77" customHeight="1" spans="1:16">
      <c r="A77" s="29" t="s">
        <v>100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2">
        <f t="shared" si="9"/>
        <v>0</v>
      </c>
      <c r="P77" s="33">
        <f t="shared" si="10"/>
        <v>0</v>
      </c>
    </row>
    <row r="78" customHeight="1" spans="1:16">
      <c r="A78" s="29" t="s">
        <v>101</v>
      </c>
      <c r="B78" s="30">
        <v>32.4</v>
      </c>
      <c r="C78" s="30">
        <f>0.240509+0.89</f>
        <v>1.130509</v>
      </c>
      <c r="D78" s="30">
        <f>2.285998+0.806632</f>
        <v>3.09263</v>
      </c>
      <c r="E78" s="30">
        <f>0.084915+1.6156</f>
        <v>1.700515</v>
      </c>
      <c r="F78" s="30">
        <f>0.12192+1.273628</f>
        <v>1.395548</v>
      </c>
      <c r="G78" s="30"/>
      <c r="H78" s="30"/>
      <c r="I78" s="30"/>
      <c r="J78" s="30"/>
      <c r="K78" s="30"/>
      <c r="L78" s="31"/>
      <c r="M78" s="30"/>
      <c r="N78" s="30"/>
      <c r="O78" s="32">
        <f t="shared" si="9"/>
        <v>7.319202</v>
      </c>
      <c r="P78" s="33">
        <f t="shared" si="10"/>
        <v>0.225901296296296</v>
      </c>
    </row>
    <row r="79" customHeight="1" spans="1:16">
      <c r="A79" s="29" t="s">
        <v>106</v>
      </c>
      <c r="B79" s="30">
        <v>164.36</v>
      </c>
      <c r="C79" s="30">
        <f>10.091715+1.287129+1.534653</f>
        <v>12.913497</v>
      </c>
      <c r="D79" s="30">
        <f>10.089962+1.287129+1.534653</f>
        <v>12.911744</v>
      </c>
      <c r="E79" s="30">
        <f>10.089163+1.287129+0.125038+1.534653</f>
        <v>13.035983</v>
      </c>
      <c r="F79" s="30">
        <f>10.088385+1.287129+1.534653</f>
        <v>12.910167</v>
      </c>
      <c r="G79" s="30"/>
      <c r="H79" s="30"/>
      <c r="I79" s="30"/>
      <c r="J79" s="30"/>
      <c r="K79" s="30"/>
      <c r="L79" s="31"/>
      <c r="M79" s="30"/>
      <c r="N79" s="30"/>
      <c r="O79" s="32">
        <f t="shared" si="9"/>
        <v>51.771391</v>
      </c>
      <c r="P79" s="33">
        <f t="shared" si="10"/>
        <v>0.314987776831346</v>
      </c>
    </row>
    <row r="80" customHeight="1" spans="1:16">
      <c r="A80" s="29" t="s">
        <v>107</v>
      </c>
      <c r="B80" s="30">
        <v>12.48</v>
      </c>
      <c r="C80" s="30"/>
      <c r="D80" s="30"/>
      <c r="E80" s="30"/>
      <c r="F80" s="30"/>
      <c r="G80" s="30"/>
      <c r="H80" s="30"/>
      <c r="I80" s="30"/>
      <c r="J80" s="30"/>
      <c r="K80" s="30"/>
      <c r="L80" s="31"/>
      <c r="M80" s="30"/>
      <c r="N80" s="30"/>
      <c r="O80" s="32">
        <f t="shared" si="9"/>
        <v>0</v>
      </c>
      <c r="P80" s="33">
        <f t="shared" si="10"/>
        <v>0</v>
      </c>
    </row>
    <row r="81" customHeight="1" spans="1:16">
      <c r="A81" s="29" t="s">
        <v>103</v>
      </c>
      <c r="B81" s="30">
        <v>3.1</v>
      </c>
      <c r="C81" s="30">
        <v>0.083861</v>
      </c>
      <c r="D81" s="30">
        <f>0.416+0.536+0.030773</f>
        <v>0.982773</v>
      </c>
      <c r="E81" s="30">
        <v>0.011946</v>
      </c>
      <c r="F81" s="30">
        <v>0.047156</v>
      </c>
      <c r="G81" s="30"/>
      <c r="H81" s="30"/>
      <c r="I81" s="30"/>
      <c r="J81" s="30"/>
      <c r="K81" s="30"/>
      <c r="L81" s="30"/>
      <c r="M81" s="30"/>
      <c r="N81" s="30"/>
      <c r="O81" s="32">
        <f t="shared" si="9"/>
        <v>1.125736</v>
      </c>
      <c r="P81" s="33">
        <f t="shared" si="10"/>
        <v>0.36314064516129</v>
      </c>
    </row>
    <row r="82" customHeight="1" spans="1:16">
      <c r="A82" s="27" t="s">
        <v>108</v>
      </c>
      <c r="B82" s="27">
        <f>B83+B84+B90+B95+B98</f>
        <v>499.569300250459</v>
      </c>
      <c r="C82" s="27">
        <f t="shared" ref="C82:N82" si="11">C83+C84+C90+C95+C98</f>
        <v>34.220515</v>
      </c>
      <c r="D82" s="27">
        <f t="shared" si="11"/>
        <v>30.034841</v>
      </c>
      <c r="E82" s="27">
        <f t="shared" si="11"/>
        <v>26.015092</v>
      </c>
      <c r="F82" s="27">
        <f t="shared" si="11"/>
        <v>28.177375</v>
      </c>
      <c r="G82" s="27">
        <f t="shared" si="11"/>
        <v>0</v>
      </c>
      <c r="H82" s="27">
        <f t="shared" si="11"/>
        <v>0</v>
      </c>
      <c r="I82" s="27">
        <f t="shared" si="11"/>
        <v>0</v>
      </c>
      <c r="J82" s="27">
        <f t="shared" si="11"/>
        <v>0</v>
      </c>
      <c r="K82" s="27">
        <f t="shared" si="11"/>
        <v>0</v>
      </c>
      <c r="L82" s="27">
        <f t="shared" si="11"/>
        <v>0</v>
      </c>
      <c r="M82" s="27">
        <f t="shared" si="11"/>
        <v>0</v>
      </c>
      <c r="N82" s="27">
        <f t="shared" si="11"/>
        <v>0</v>
      </c>
      <c r="O82" s="27">
        <f t="shared" si="9"/>
        <v>118.447823</v>
      </c>
      <c r="P82" s="28">
        <f t="shared" si="10"/>
        <v>0.23709988372107</v>
      </c>
    </row>
    <row r="83" customHeight="1" spans="1:16">
      <c r="A83" s="29" t="s">
        <v>109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  <c r="M83" s="30"/>
      <c r="N83" s="30"/>
      <c r="O83" s="32">
        <f t="shared" si="9"/>
        <v>0</v>
      </c>
      <c r="P83" s="33">
        <f t="shared" si="10"/>
        <v>0</v>
      </c>
    </row>
    <row r="84" s="1" customFormat="1" customHeight="1" spans="1:16">
      <c r="A84" s="35" t="s">
        <v>110</v>
      </c>
      <c r="B84" s="36">
        <f>SUM(B85:B89)</f>
        <v>156.63761509434</v>
      </c>
      <c r="C84" s="36">
        <f t="shared" ref="C84:N84" si="12">SUM(C85:C89)</f>
        <v>11.27096504</v>
      </c>
      <c r="D84" s="36">
        <f t="shared" si="12"/>
        <v>7.181822</v>
      </c>
      <c r="E84" s="36">
        <f t="shared" si="12"/>
        <v>8.9015641</v>
      </c>
      <c r="F84" s="36">
        <f t="shared" si="12"/>
        <v>8.7966956</v>
      </c>
      <c r="G84" s="36">
        <f t="shared" si="12"/>
        <v>0</v>
      </c>
      <c r="H84" s="36">
        <f t="shared" si="12"/>
        <v>0</v>
      </c>
      <c r="I84" s="36">
        <f t="shared" si="12"/>
        <v>0</v>
      </c>
      <c r="J84" s="36">
        <f t="shared" si="12"/>
        <v>0</v>
      </c>
      <c r="K84" s="36">
        <f t="shared" si="12"/>
        <v>0</v>
      </c>
      <c r="L84" s="36">
        <f t="shared" si="12"/>
        <v>0</v>
      </c>
      <c r="M84" s="36">
        <f t="shared" si="12"/>
        <v>0</v>
      </c>
      <c r="N84" s="36">
        <f t="shared" si="12"/>
        <v>0</v>
      </c>
      <c r="O84" s="37">
        <f t="shared" ref="O84:O98" si="13">SUM(C84:N84)</f>
        <v>36.15104674</v>
      </c>
      <c r="P84" s="38">
        <f t="shared" ref="P84:P98" si="14">IFERROR(O84/B84,)</f>
        <v>0.230794159616302</v>
      </c>
    </row>
    <row r="85" customHeight="1" spans="1:16">
      <c r="A85" s="29" t="s">
        <v>111</v>
      </c>
      <c r="B85" s="30">
        <v>23.0936150943396</v>
      </c>
      <c r="C85" s="30">
        <v>0.59457</v>
      </c>
      <c r="D85" s="30">
        <v>0.772455</v>
      </c>
      <c r="E85" s="30">
        <v>1.282029</v>
      </c>
      <c r="F85" s="30">
        <v>1.702963</v>
      </c>
      <c r="G85" s="30"/>
      <c r="H85" s="30"/>
      <c r="I85" s="30"/>
      <c r="J85" s="30"/>
      <c r="K85" s="30"/>
      <c r="L85" s="30"/>
      <c r="M85" s="30"/>
      <c r="N85" s="30"/>
      <c r="O85" s="32">
        <f t="shared" si="13"/>
        <v>4.352017</v>
      </c>
      <c r="P85" s="33">
        <f t="shared" si="14"/>
        <v>0.188451092746701</v>
      </c>
    </row>
    <row r="86" customHeight="1" spans="1:16">
      <c r="A86" s="29" t="s">
        <v>112</v>
      </c>
      <c r="B86" s="30">
        <v>112.32</v>
      </c>
      <c r="C86" s="30">
        <v>8.83993404</v>
      </c>
      <c r="D86" s="30">
        <v>6.04189</v>
      </c>
      <c r="E86" s="30">
        <v>6.9550631</v>
      </c>
      <c r="F86" s="30">
        <v>6.3899416</v>
      </c>
      <c r="G86" s="30"/>
      <c r="H86" s="30"/>
      <c r="I86" s="30"/>
      <c r="J86" s="30"/>
      <c r="K86" s="30"/>
      <c r="L86" s="30"/>
      <c r="M86" s="30"/>
      <c r="N86" s="30"/>
      <c r="O86" s="32">
        <f t="shared" si="13"/>
        <v>28.22682874</v>
      </c>
      <c r="P86" s="33">
        <f t="shared" si="14"/>
        <v>0.251307235933048</v>
      </c>
    </row>
    <row r="87" customHeight="1" spans="1:16">
      <c r="A87" s="29" t="s">
        <v>113</v>
      </c>
      <c r="B87" s="30">
        <v>6.96</v>
      </c>
      <c r="C87" s="30">
        <f>0.092132+0.192217</f>
        <v>0.284349</v>
      </c>
      <c r="D87" s="30">
        <f>0.152741+0.208007</f>
        <v>0.360748</v>
      </c>
      <c r="E87" s="30">
        <f>0.20684+0.303715</f>
        <v>0.510555</v>
      </c>
      <c r="F87" s="30">
        <f>0.371572+0.169458</f>
        <v>0.54103</v>
      </c>
      <c r="G87" s="30"/>
      <c r="H87" s="30"/>
      <c r="I87" s="30"/>
      <c r="J87" s="30"/>
      <c r="K87" s="30"/>
      <c r="L87" s="30"/>
      <c r="M87" s="30"/>
      <c r="N87" s="30"/>
      <c r="O87" s="32">
        <f t="shared" si="13"/>
        <v>1.696682</v>
      </c>
      <c r="P87" s="33">
        <f t="shared" si="14"/>
        <v>0.243776149425287</v>
      </c>
    </row>
    <row r="88" customHeight="1" spans="1:16">
      <c r="A88" s="29" t="s">
        <v>114</v>
      </c>
      <c r="B88" s="30">
        <v>2.52</v>
      </c>
      <c r="C88" s="30">
        <v>0.09</v>
      </c>
      <c r="D88" s="30">
        <v>0</v>
      </c>
      <c r="E88" s="30">
        <v>0</v>
      </c>
      <c r="F88" s="30">
        <v>0.098</v>
      </c>
      <c r="G88" s="30"/>
      <c r="H88" s="30"/>
      <c r="I88" s="30"/>
      <c r="J88" s="30"/>
      <c r="K88" s="30"/>
      <c r="L88" s="30"/>
      <c r="M88" s="30"/>
      <c r="N88" s="30"/>
      <c r="O88" s="32">
        <f t="shared" si="13"/>
        <v>0.188</v>
      </c>
      <c r="P88" s="33">
        <f t="shared" si="14"/>
        <v>0.0746031746031746</v>
      </c>
    </row>
    <row r="89" customHeight="1" spans="1:16">
      <c r="A89" s="29" t="s">
        <v>115</v>
      </c>
      <c r="B89" s="30">
        <v>11.744</v>
      </c>
      <c r="C89" s="30">
        <f>0.272105+1.182428+0.007579</f>
        <v>1.462112</v>
      </c>
      <c r="D89" s="30">
        <f>0.0056+0.001129</f>
        <v>0.006729</v>
      </c>
      <c r="E89" s="30">
        <f>0.146035+0.007882</f>
        <v>0.153917</v>
      </c>
      <c r="F89" s="30">
        <f>0.051771+0.01299</f>
        <v>0.064761</v>
      </c>
      <c r="G89" s="30"/>
      <c r="H89" s="30"/>
      <c r="I89" s="30"/>
      <c r="J89" s="30"/>
      <c r="K89" s="30"/>
      <c r="L89" s="30"/>
      <c r="M89" s="30"/>
      <c r="N89" s="30"/>
      <c r="O89" s="32">
        <f t="shared" si="13"/>
        <v>1.687519</v>
      </c>
      <c r="P89" s="33">
        <f t="shared" si="14"/>
        <v>0.143692012942779</v>
      </c>
    </row>
    <row r="90" s="1" customFormat="1" customHeight="1" spans="1:16">
      <c r="A90" s="35" t="s">
        <v>116</v>
      </c>
      <c r="B90" s="36">
        <f>SUM(B91:B94)</f>
        <v>339.855081382535</v>
      </c>
      <c r="C90" s="36">
        <f t="shared" ref="C90:N90" si="15">SUM(C91:C94)</f>
        <v>22.89638196</v>
      </c>
      <c r="D90" s="36">
        <f t="shared" si="15"/>
        <v>22.774167</v>
      </c>
      <c r="E90" s="36">
        <f t="shared" si="15"/>
        <v>17.0431519</v>
      </c>
      <c r="F90" s="36">
        <f t="shared" si="15"/>
        <v>19.1588324</v>
      </c>
      <c r="G90" s="36">
        <f t="shared" si="15"/>
        <v>0</v>
      </c>
      <c r="H90" s="36">
        <f t="shared" si="15"/>
        <v>0</v>
      </c>
      <c r="I90" s="36">
        <f t="shared" si="15"/>
        <v>0</v>
      </c>
      <c r="J90" s="36">
        <f t="shared" si="15"/>
        <v>0</v>
      </c>
      <c r="K90" s="36">
        <f t="shared" si="15"/>
        <v>0</v>
      </c>
      <c r="L90" s="36">
        <f t="shared" si="15"/>
        <v>0</v>
      </c>
      <c r="M90" s="36">
        <f t="shared" si="15"/>
        <v>0</v>
      </c>
      <c r="N90" s="36">
        <f t="shared" si="15"/>
        <v>0</v>
      </c>
      <c r="O90" s="37">
        <f t="shared" si="13"/>
        <v>81.87253326</v>
      </c>
      <c r="P90" s="38">
        <f t="shared" si="14"/>
        <v>0.240904249325746</v>
      </c>
    </row>
    <row r="91" customHeight="1" spans="1:16">
      <c r="A91" s="29" t="s">
        <v>117</v>
      </c>
      <c r="B91" s="30">
        <v>230.710656603774</v>
      </c>
      <c r="C91" s="30">
        <v>15.461741</v>
      </c>
      <c r="D91" s="30">
        <v>16.29828</v>
      </c>
      <c r="E91" s="30">
        <v>11.372569</v>
      </c>
      <c r="F91" s="30">
        <v>13.792438</v>
      </c>
      <c r="G91" s="30"/>
      <c r="H91" s="30"/>
      <c r="I91" s="30"/>
      <c r="J91" s="30"/>
      <c r="K91" s="30"/>
      <c r="L91" s="30"/>
      <c r="M91" s="30"/>
      <c r="N91" s="30"/>
      <c r="O91" s="32">
        <f t="shared" si="13"/>
        <v>56.925028</v>
      </c>
      <c r="P91" s="33">
        <f t="shared" si="14"/>
        <v>0.246737748650093</v>
      </c>
    </row>
    <row r="92" customHeight="1" spans="1:16">
      <c r="A92" s="29" t="s">
        <v>118</v>
      </c>
      <c r="B92" s="30">
        <v>87.6</v>
      </c>
      <c r="C92" s="30">
        <v>6.88948596</v>
      </c>
      <c r="D92" s="30">
        <v>4.728012</v>
      </c>
      <c r="E92" s="30">
        <v>5.3383599</v>
      </c>
      <c r="F92" s="30">
        <v>5.0616924</v>
      </c>
      <c r="G92" s="30"/>
      <c r="H92" s="30"/>
      <c r="I92" s="30"/>
      <c r="J92" s="30"/>
      <c r="K92" s="30"/>
      <c r="L92" s="30"/>
      <c r="M92" s="30"/>
      <c r="N92" s="30"/>
      <c r="O92" s="32">
        <f t="shared" si="13"/>
        <v>22.01755026</v>
      </c>
      <c r="P92" s="33">
        <f t="shared" si="14"/>
        <v>0.251341897945206</v>
      </c>
    </row>
    <row r="93" customHeight="1" spans="1:16">
      <c r="A93" s="29" t="s">
        <v>119</v>
      </c>
      <c r="B93" s="30">
        <v>2.4</v>
      </c>
      <c r="C93" s="30">
        <v>0</v>
      </c>
      <c r="D93" s="30">
        <v>0</v>
      </c>
      <c r="E93" s="30">
        <v>0</v>
      </c>
      <c r="F93" s="30">
        <v>0.004</v>
      </c>
      <c r="G93" s="30"/>
      <c r="H93" s="30"/>
      <c r="I93" s="30"/>
      <c r="J93" s="30"/>
      <c r="K93" s="30"/>
      <c r="L93" s="30"/>
      <c r="M93" s="30"/>
      <c r="N93" s="30"/>
      <c r="O93" s="32">
        <f t="shared" si="13"/>
        <v>0.004</v>
      </c>
      <c r="P93" s="33">
        <f t="shared" si="14"/>
        <v>0.00166666666666667</v>
      </c>
    </row>
    <row r="94" customHeight="1" spans="1:16">
      <c r="A94" s="29" t="s">
        <v>120</v>
      </c>
      <c r="B94" s="30">
        <v>19.1444247787611</v>
      </c>
      <c r="C94" s="30">
        <f>0.317824+0.069531+0.1578</f>
        <v>0.545155</v>
      </c>
      <c r="D94" s="30">
        <f>0.42837+0.119505+1.2</f>
        <v>1.747875</v>
      </c>
      <c r="E94" s="30">
        <f>0.23697+0.095253</f>
        <v>0.332223</v>
      </c>
      <c r="F94" s="30">
        <f>0.212908+0.087794</f>
        <v>0.300702</v>
      </c>
      <c r="G94" s="30"/>
      <c r="H94" s="30"/>
      <c r="I94" s="30"/>
      <c r="J94" s="30"/>
      <c r="K94" s="30"/>
      <c r="L94" s="30"/>
      <c r="M94" s="30"/>
      <c r="N94" s="30"/>
      <c r="O94" s="32">
        <f t="shared" si="13"/>
        <v>2.925955</v>
      </c>
      <c r="P94" s="33">
        <f t="shared" si="14"/>
        <v>0.152835879573988</v>
      </c>
    </row>
    <row r="95" s="1" customFormat="1" customHeight="1" spans="1:16">
      <c r="A95" s="35" t="s">
        <v>121</v>
      </c>
      <c r="B95" s="36">
        <f>B96+B97</f>
        <v>3.0766037735849</v>
      </c>
      <c r="C95" s="36">
        <f t="shared" ref="C95:N95" si="16">C96+C97</f>
        <v>0.053168</v>
      </c>
      <c r="D95" s="36">
        <f t="shared" si="16"/>
        <v>0.078852</v>
      </c>
      <c r="E95" s="36">
        <f t="shared" si="16"/>
        <v>0.070376</v>
      </c>
      <c r="F95" s="36">
        <f t="shared" si="16"/>
        <v>0.221847</v>
      </c>
      <c r="G95" s="36">
        <f t="shared" si="16"/>
        <v>0</v>
      </c>
      <c r="H95" s="36">
        <f t="shared" si="16"/>
        <v>0</v>
      </c>
      <c r="I95" s="36">
        <f t="shared" si="16"/>
        <v>0</v>
      </c>
      <c r="J95" s="36">
        <f t="shared" si="16"/>
        <v>0</v>
      </c>
      <c r="K95" s="36">
        <f t="shared" si="16"/>
        <v>0</v>
      </c>
      <c r="L95" s="36">
        <f t="shared" si="16"/>
        <v>0</v>
      </c>
      <c r="M95" s="36">
        <f t="shared" si="16"/>
        <v>0</v>
      </c>
      <c r="N95" s="36">
        <f t="shared" si="16"/>
        <v>0</v>
      </c>
      <c r="O95" s="37">
        <f t="shared" si="13"/>
        <v>0.424243</v>
      </c>
      <c r="P95" s="38">
        <f t="shared" si="14"/>
        <v>0.137893284680486</v>
      </c>
    </row>
    <row r="96" customHeight="1" spans="1:16">
      <c r="A96" s="29" t="s">
        <v>122</v>
      </c>
      <c r="B96" s="30">
        <v>0.5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2">
        <f t="shared" si="13"/>
        <v>0</v>
      </c>
      <c r="P96" s="33">
        <f t="shared" si="14"/>
        <v>0</v>
      </c>
    </row>
    <row r="97" customHeight="1" spans="1:16">
      <c r="A97" s="29" t="s">
        <v>123</v>
      </c>
      <c r="B97" s="30">
        <v>2.5766037735849</v>
      </c>
      <c r="C97" s="30">
        <v>0.053168</v>
      </c>
      <c r="D97" s="30">
        <v>0.078852</v>
      </c>
      <c r="E97" s="30">
        <v>0.070376</v>
      </c>
      <c r="F97" s="30">
        <v>0.221847</v>
      </c>
      <c r="G97" s="30"/>
      <c r="H97" s="30"/>
      <c r="I97" s="30"/>
      <c r="J97" s="30"/>
      <c r="K97" s="30"/>
      <c r="L97" s="30"/>
      <c r="M97" s="30"/>
      <c r="N97" s="30"/>
      <c r="O97" s="32">
        <f t="shared" si="13"/>
        <v>0.424243</v>
      </c>
      <c r="P97" s="33">
        <f t="shared" si="14"/>
        <v>0.164652013766843</v>
      </c>
    </row>
    <row r="98" customHeight="1" spans="1:16">
      <c r="A98" s="29"/>
      <c r="B98" s="36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2">
        <f t="shared" si="13"/>
        <v>0</v>
      </c>
      <c r="P98" s="33">
        <f t="shared" si="14"/>
        <v>0</v>
      </c>
    </row>
    <row r="100" customHeight="1" spans="1:16">
      <c r="A100" s="14" t="s">
        <v>124</v>
      </c>
      <c r="B100" s="15"/>
    </row>
  </sheetData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91" fitToHeight="0" orientation="landscape"/>
  <headerFooter/>
  <ignoredErrors>
    <ignoredError sqref="O20:O98 O14:O17 O6:O12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E24" sqref="E24"/>
    </sheetView>
  </sheetViews>
  <sheetFormatPr defaultColWidth="8.90833333333333" defaultRowHeight="16" customHeight="1"/>
  <cols>
    <col min="1" max="2" width="15.4583333333333" customWidth="1"/>
    <col min="3" max="3" width="55" customWidth="1"/>
    <col min="4" max="8" width="15.4583333333333" customWidth="1"/>
  </cols>
  <sheetData>
    <row r="1" s="1" customFormat="1" ht="32.15" customHeight="1" spans="1:16">
      <c r="A1" s="3" t="s">
        <v>125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126</v>
      </c>
      <c r="B2" s="5" t="s">
        <v>127</v>
      </c>
      <c r="C2" s="5" t="s">
        <v>128</v>
      </c>
      <c r="D2" s="5" t="s">
        <v>129</v>
      </c>
      <c r="E2" s="5" t="s">
        <v>130</v>
      </c>
      <c r="F2" s="5" t="s">
        <v>131</v>
      </c>
      <c r="G2" s="6" t="s">
        <v>3</v>
      </c>
      <c r="H2" s="6" t="s">
        <v>5</v>
      </c>
    </row>
    <row r="3" s="2" customFormat="1" customHeight="1" spans="1:16">
      <c r="A3" s="7" t="s">
        <v>132</v>
      </c>
      <c r="B3" s="7" t="s">
        <v>133</v>
      </c>
      <c r="C3" s="8" t="s">
        <v>134</v>
      </c>
      <c r="D3" s="9">
        <v>2</v>
      </c>
      <c r="E3" s="9">
        <v>0.8</v>
      </c>
      <c r="F3" s="9">
        <f t="shared" ref="F3:F8" si="0">D3*E3</f>
        <v>1.6</v>
      </c>
      <c r="G3" s="9">
        <v>1.6</v>
      </c>
      <c r="H3" s="9"/>
    </row>
    <row r="4" s="2" customFormat="1" customHeight="1" spans="1:16">
      <c r="A4" s="7"/>
      <c r="B4" s="7"/>
      <c r="C4" s="8" t="s">
        <v>135</v>
      </c>
      <c r="D4" s="9">
        <v>2</v>
      </c>
      <c r="E4" s="9">
        <v>0.25</v>
      </c>
      <c r="F4" s="9">
        <f t="shared" si="0"/>
        <v>0.5</v>
      </c>
      <c r="G4" s="9">
        <v>0.5</v>
      </c>
      <c r="H4" s="9"/>
    </row>
    <row r="5" s="2" customFormat="1" customHeight="1" spans="1:16">
      <c r="A5" s="7"/>
      <c r="B5" s="7"/>
      <c r="C5" s="8" t="s">
        <v>136</v>
      </c>
      <c r="D5" s="9">
        <v>6</v>
      </c>
      <c r="E5" s="9">
        <v>0.25</v>
      </c>
      <c r="F5" s="9">
        <f t="shared" si="0"/>
        <v>1.5</v>
      </c>
      <c r="G5" s="9">
        <v>1.5</v>
      </c>
      <c r="H5" s="9"/>
    </row>
    <row r="6" s="2" customFormat="1" customHeight="1" spans="1:16">
      <c r="A6" s="7"/>
      <c r="B6" s="7"/>
      <c r="C6" s="8" t="s">
        <v>137</v>
      </c>
      <c r="D6" s="9">
        <v>3</v>
      </c>
      <c r="E6" s="9">
        <v>0.15</v>
      </c>
      <c r="F6" s="9">
        <f t="shared" si="0"/>
        <v>0.45</v>
      </c>
      <c r="G6" s="9">
        <v>0.45</v>
      </c>
      <c r="H6" s="9"/>
    </row>
    <row r="7" s="2" customFormat="1" customHeight="1" spans="1:16">
      <c r="A7" s="7"/>
      <c r="B7" s="7"/>
      <c r="C7" s="8" t="s">
        <v>138</v>
      </c>
      <c r="D7" s="9">
        <v>2</v>
      </c>
      <c r="E7" s="9">
        <v>0.25</v>
      </c>
      <c r="F7" s="9">
        <f t="shared" si="0"/>
        <v>0.5</v>
      </c>
      <c r="G7" s="9">
        <v>0.25</v>
      </c>
      <c r="H7" s="9"/>
    </row>
    <row r="8" s="2" customFormat="1" customHeight="1" spans="1:16">
      <c r="A8" s="7"/>
      <c r="B8" s="7"/>
      <c r="C8" s="8" t="s">
        <v>139</v>
      </c>
      <c r="D8" s="9">
        <v>1</v>
      </c>
      <c r="E8" s="9">
        <v>0.2</v>
      </c>
      <c r="F8" s="9">
        <f t="shared" si="0"/>
        <v>0.2</v>
      </c>
      <c r="G8" s="9">
        <v>0.2</v>
      </c>
      <c r="H8" s="9"/>
    </row>
    <row r="9" customFormat="1" customHeight="1" spans="1:16">
      <c r="A9" s="7" t="s">
        <v>140</v>
      </c>
      <c r="B9" s="7" t="s">
        <v>141</v>
      </c>
      <c r="C9" s="8" t="s">
        <v>142</v>
      </c>
      <c r="D9" s="10" t="s">
        <v>143</v>
      </c>
      <c r="E9" s="10">
        <v>2.8</v>
      </c>
      <c r="F9" s="10">
        <v>95</v>
      </c>
      <c r="G9" s="9">
        <v>95</v>
      </c>
      <c r="H9" s="9"/>
    </row>
    <row r="10" customFormat="1" customHeight="1" spans="1:16">
      <c r="A10" s="7"/>
      <c r="B10" s="7"/>
      <c r="C10" s="8" t="s">
        <v>144</v>
      </c>
      <c r="D10" s="10" t="s">
        <v>145</v>
      </c>
      <c r="E10" s="10">
        <v>0.0755</v>
      </c>
      <c r="F10" s="10">
        <v>40</v>
      </c>
      <c r="G10" s="9">
        <v>40</v>
      </c>
      <c r="H10" s="9"/>
    </row>
    <row r="11" customFormat="1" customHeight="1" spans="1:16">
      <c r="A11" s="7"/>
      <c r="B11" s="7"/>
      <c r="C11" s="8" t="s">
        <v>146</v>
      </c>
      <c r="D11" s="10" t="s">
        <v>147</v>
      </c>
      <c r="E11" s="10">
        <v>0.028</v>
      </c>
      <c r="F11" s="10">
        <v>3</v>
      </c>
      <c r="G11" s="9">
        <v>3</v>
      </c>
      <c r="H11" s="9"/>
    </row>
    <row r="12" customFormat="1" customHeight="1" spans="1:16">
      <c r="A12" s="7"/>
      <c r="B12" s="7"/>
      <c r="C12" s="8" t="s">
        <v>148</v>
      </c>
      <c r="D12" s="10" t="s">
        <v>149</v>
      </c>
      <c r="E12" s="10">
        <v>0.0011</v>
      </c>
      <c r="F12" s="10">
        <v>3.2</v>
      </c>
      <c r="G12" s="9">
        <v>3.2</v>
      </c>
      <c r="H12" s="9"/>
    </row>
    <row r="13" customFormat="1" customHeight="1" spans="1:16">
      <c r="A13" s="7"/>
      <c r="B13" s="7"/>
      <c r="C13" s="8" t="s">
        <v>150</v>
      </c>
      <c r="D13" s="10" t="s">
        <v>151</v>
      </c>
      <c r="E13" s="10">
        <v>3.74</v>
      </c>
      <c r="F13" s="10">
        <v>3.74</v>
      </c>
      <c r="G13" s="9">
        <v>3.74</v>
      </c>
      <c r="H13" s="9"/>
    </row>
    <row r="14" customFormat="1" customHeight="1" spans="1:16">
      <c r="A14" s="7"/>
      <c r="B14" s="7"/>
      <c r="C14" s="8" t="s">
        <v>152</v>
      </c>
      <c r="D14" s="10">
        <v>1</v>
      </c>
      <c r="E14" s="10">
        <v>4.5</v>
      </c>
      <c r="F14" s="10">
        <v>4.5</v>
      </c>
      <c r="G14" s="9">
        <v>4.5</v>
      </c>
      <c r="H14" s="9"/>
    </row>
    <row r="15" customHeight="1" spans="1:16">
      <c r="A15" s="11" t="s">
        <v>153</v>
      </c>
      <c r="B15" s="11"/>
      <c r="C15" s="11"/>
      <c r="D15" s="11"/>
      <c r="E15" s="11"/>
      <c r="F15" s="11"/>
      <c r="G15" s="12">
        <f>SUM(G3:G14)</f>
        <v>153.94</v>
      </c>
      <c r="H15" s="13">
        <f>SUM(H3:H8)</f>
        <v>0</v>
      </c>
    </row>
    <row r="17" customHeight="1" spans="1:2">
      <c r="A17" s="14" t="s">
        <v>124</v>
      </c>
      <c r="B17" s="15"/>
    </row>
  </sheetData>
  <mergeCells count="6">
    <mergeCell ref="A1:H1"/>
    <mergeCell ref="A15:F15"/>
    <mergeCell ref="A3:A8"/>
    <mergeCell ref="A9:A14"/>
    <mergeCell ref="B3:B8"/>
    <mergeCell ref="B9:B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luochengyue</cp:lastModifiedBy>
  <dcterms:created xsi:type="dcterms:W3CDTF">2023-12-28T04:28:00Z</dcterms:created>
  <cp:lastPrinted>2024-11-06T04:14:00Z</cp:lastPrinted>
  <dcterms:modified xsi:type="dcterms:W3CDTF">2026-05-09T01:53:37Z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697557E6EFBC483794EECF3718F609E5_13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