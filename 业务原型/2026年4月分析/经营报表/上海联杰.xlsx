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tabRatio="744"/>
  </bookViews>
  <sheets>
    <sheet name="指标统计" sheetId="5" r:id="rId1"/>
    <sheet name="预算执行汇总" sheetId="3" r:id="rId2"/>
    <sheet name="费用预算执行明细" sheetId="2" r:id="rId3"/>
    <sheet name="开发支出预算执行明细" sheetId="6" r:id="rId4"/>
    <sheet name="资本性支出计划与执行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<sst xmlns="http://schemas.openxmlformats.org/spreadsheetml/2006/main" count="224" uniqueCount="123">
  <si>
    <t>上海君康联杰企业管理有限公司2026年经营指标统计表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</si>
  <si>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</si>
  <si>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</si>
  <si>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</si>
  <si>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</si>
  <si>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</si>
  <si>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</si>
  <si>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</si>
  <si>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</si>
  <si>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</si>
  <si>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</si>
  <si>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</si>
  <si>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</si>
  <si>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</si>
  <si>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</si>
  <si>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</si>
  <si>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</si>
  <si>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</si>
  <si>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</si>
  <si>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</si>
  <si>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</si>
  <si>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</si>
  <si>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</si>
  <si>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</si>
  <si>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</si>
  <si>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</si>
  <si>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</si>
  <si>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</si>
  <si>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</si>
  <si>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</si>
  <si>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</si>
  <si>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</si>
  <si>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</si>
  <si>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</si>
  <si>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</si>
  <si>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</si>
  <si>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</si>
  <si>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</si>
  <si>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</si>
  <si>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</si>
  <si>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</si>
  <si>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</si>
  <si>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</si>
  <si>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</si>
  <si>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</si>
  <si>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</si>
  <si>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</si>
  <si>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</si>
  <si>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</si>
  <si>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>上海君康联杰企业管理有限公司2026年预算执行情况汇总表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</si>
  <si>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</si>
  <si>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</si>
  <si>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</si>
  <si>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</si>
  <si>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</si>
  <si>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</si>
  <si>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</si>
  <si>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</si>
  <si>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</si>
  <si>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</si>
  <si>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</si>
  <si>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上海君康联杰企业管理有限公司2026年预算执行情况明细表</t>
  </si>
  <si>
    <t>2026年预算执行情况</t>
  </si>
  <si>
    <t>人力费用合计</t>
  </si>
  <si>
    <t>固定工资</t>
  </si>
  <si>
    <t>绩效工资</t>
  </si>
  <si>
    <t>奖金</t>
  </si>
  <si>
    <t>福利费</t>
  </si>
  <si>
    <t>社会保险费</t>
  </si>
  <si>
    <t>住房公积金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</si>
  <si>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</si>
  <si>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</si>
  <si>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</si>
  <si>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</si>
  <si>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</si>
  <si>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</si>
  <si>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</si>
  <si>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</si>
  <si>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</si>
  <si>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</si>
  <si>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</si>
  <si>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</si>
  <si>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</si>
  <si>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</si>
  <si>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</si>
  <si>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</si>
  <si>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</si>
  <si>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</si>
  <si>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</si>
  <si>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</si>
  <si>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</si>
  <si>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</si>
  <si>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</si>
  <si>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</si>
  <si>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</si>
  <si>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</si>
  <si>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</si>
  <si>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</si>
  <si>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</si>
  <si>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</si>
  <si>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</si>
  <si>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</si>
  <si>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</si>
  <si>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</si>
  <si>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</si>
  <si>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</si>
  <si>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</si>
  <si>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</si>
  <si>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</si>
  <si>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</si>
  <si>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安保费用</t>
  </si>
  <si>
    <t>维护清理费用</t>
  </si>
  <si>
    <t>以前年度合同支出</t>
  </si>
  <si>
    <t>上海君康联杰企业管理有限公司2026年资本性支出执行情况明细表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</si>
  <si>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</si>
  <si>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</si>
  <si>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</si>
  <si>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</si>
  <si>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</si>
  <si>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</si>
  <si>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</si>
  <si>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家具用具</t>
  </si>
  <si>
    <t>资本性支出合计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</si>
</sst>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</numFmts>
  <fonts count="5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仿宋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b/>
      <sz val="10"/>
      <color rgb="FF000000"/>
      <name val="等距更纱黑体 Slab SC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等距更纱黑体 Slab SC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等距更纱黑体 Slab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Arial"/>
      <charset val="134"/>
    </font>
    <font>
      <sz val="12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5" borderId="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6" borderId="12" applyNumberFormat="0" applyAlignment="0" applyProtection="0">
      <alignment vertical="center"/>
    </xf>
    <xf numFmtId="0" fontId="42" fillId="17" borderId="13" applyNumberFormat="0" applyAlignment="0" applyProtection="0">
      <alignment vertical="center"/>
    </xf>
    <xf numFmtId="0" fontId="43" fillId="17" borderId="12" applyNumberFormat="0" applyAlignment="0" applyProtection="0">
      <alignment vertical="center"/>
    </xf>
    <xf numFmtId="0" fontId="44" fillId="18" borderId="14" applyNumberForma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76" fontId="52" fillId="0" borderId="0">
      <alignment vertical="center"/>
    </xf>
    <xf numFmtId="0" fontId="53" fillId="0" borderId="0"/>
    <xf numFmtId="176" fontId="52" fillId="0" borderId="0">
      <alignment vertical="center"/>
    </xf>
    <xf numFmtId="176" fontId="54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7" fontId="52" fillId="0" borderId="0" applyFon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left" vertical="center"/>
    </xf>
    <xf numFmtId="43" fontId="5" fillId="3" borderId="1" xfId="53" applyFont="1" applyFill="1" applyBorder="1" applyAlignment="1">
      <alignment horizontal="center" vertical="center"/>
    </xf>
    <xf numFmtId="0" fontId="6" fillId="4" borderId="1" xfId="53" applyNumberFormat="1" applyFont="1" applyFill="1" applyBorder="1" applyAlignment="1">
      <alignment horizontal="center"/>
    </xf>
    <xf numFmtId="0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1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 wrapText="1"/>
    </xf>
    <xf numFmtId="178" fontId="8" fillId="2" borderId="1" xfId="0" applyNumberFormat="1" applyFont="1" applyFill="1" applyBorder="1" applyAlignment="1">
      <alignment horizontal="center" vertical="center"/>
    </xf>
    <xf numFmtId="10" fontId="8" fillId="2" borderId="1" xfId="3" applyNumberFormat="1" applyFont="1" applyFill="1" applyBorder="1" applyAlignment="1">
      <alignment horizontal="center" vertical="center"/>
    </xf>
    <xf numFmtId="43" fontId="1" fillId="6" borderId="1" xfId="0" applyNumberFormat="1" applyFont="1" applyFill="1" applyBorder="1" applyAlignment="1">
      <alignment horizontal="left" vertical="center"/>
    </xf>
    <xf numFmtId="43" fontId="1" fillId="6" borderId="1" xfId="0" applyNumberFormat="1" applyFont="1" applyFill="1" applyBorder="1">
      <alignment vertical="center"/>
    </xf>
    <xf numFmtId="10" fontId="1" fillId="6" borderId="1" xfId="3" applyNumberFormat="1" applyFont="1" applyFill="1" applyBorder="1">
      <alignment vertical="center"/>
    </xf>
    <xf numFmtId="43" fontId="10" fillId="7" borderId="1" xfId="0" applyNumberFormat="1" applyFont="1" applyFill="1" applyBorder="1">
      <alignment vertical="center"/>
    </xf>
    <xf numFmtId="43" fontId="13" fillId="8" borderId="1" xfId="0" applyNumberFormat="1" applyFont="1" applyFill="1" applyBorder="1">
      <alignment vertical="center"/>
    </xf>
    <xf numFmtId="43" fontId="10" fillId="9" borderId="1" xfId="0" applyNumberFormat="1" applyFont="1" applyFill="1" applyBorder="1">
      <alignment vertical="center"/>
    </xf>
    <xf numFmtId="10" fontId="10" fillId="9" borderId="1" xfId="3" applyNumberFormat="1" applyFont="1" applyFill="1" applyBorder="1">
      <alignment vertical="center"/>
    </xf>
    <xf numFmtId="0" fontId="10" fillId="8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0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43" fontId="6" fillId="10" borderId="1" xfId="0" applyNumberFormat="1" applyFont="1" applyFill="1" applyBorder="1">
      <alignment vertical="center"/>
    </xf>
    <xf numFmtId="10" fontId="6" fillId="10" borderId="1" xfId="3" applyNumberFormat="1" applyFont="1" applyFill="1" applyBorder="1">
      <alignment vertical="center"/>
    </xf>
    <xf numFmtId="43" fontId="14" fillId="11" borderId="1" xfId="0" applyNumberFormat="1" applyFont="1" applyFill="1" applyBorder="1">
      <alignment vertical="center"/>
    </xf>
    <xf numFmtId="43" fontId="14" fillId="3" borderId="1" xfId="0" applyNumberFormat="1" applyFont="1" applyFill="1" applyBorder="1">
      <alignment vertical="center"/>
    </xf>
    <xf numFmtId="43" fontId="15" fillId="3" borderId="1" xfId="0" applyNumberFormat="1" applyFont="1" applyFill="1" applyBorder="1">
      <alignment vertical="center"/>
    </xf>
    <xf numFmtId="43" fontId="14" fillId="5" borderId="1" xfId="0" applyNumberFormat="1" applyFont="1" applyFill="1" applyBorder="1">
      <alignment vertical="center"/>
    </xf>
    <xf numFmtId="10" fontId="14" fillId="5" borderId="1" xfId="3" applyNumberFormat="1" applyFont="1" applyFill="1" applyBorder="1">
      <alignment vertical="center"/>
    </xf>
    <xf numFmtId="0" fontId="6" fillId="10" borderId="1" xfId="0" applyFont="1" applyFill="1" applyBorder="1">
      <alignment vertical="center"/>
    </xf>
    <xf numFmtId="43" fontId="16" fillId="3" borderId="1" xfId="0" applyNumberFormat="1" applyFont="1" applyFill="1" applyBorder="1">
      <alignment vertical="center"/>
    </xf>
    <xf numFmtId="0" fontId="17" fillId="0" borderId="0" xfId="0" applyFont="1">
      <alignment vertical="center"/>
    </xf>
    <xf numFmtId="0" fontId="11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0" fontId="0" fillId="0" borderId="0" xfId="3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4" fillId="5" borderId="1" xfId="0" applyFont="1" applyFill="1" applyBorder="1">
      <alignment vertical="center"/>
    </xf>
    <xf numFmtId="0" fontId="5" fillId="10" borderId="1" xfId="0" applyFont="1" applyFill="1" applyBorder="1">
      <alignment vertical="center"/>
    </xf>
    <xf numFmtId="43" fontId="5" fillId="10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6" fillId="10" borderId="1" xfId="3" applyNumberFormat="1" applyFont="1" applyFill="1" applyBorder="1">
      <alignment vertical="center"/>
    </xf>
    <xf numFmtId="0" fontId="14" fillId="0" borderId="1" xfId="0" applyFont="1" applyBorder="1">
      <alignment vertical="center"/>
    </xf>
    <xf numFmtId="10" fontId="6" fillId="0" borderId="1" xfId="3" applyNumberFormat="1" applyFont="1" applyBorder="1">
      <alignment vertical="center"/>
    </xf>
    <xf numFmtId="0" fontId="6" fillId="10" borderId="4" xfId="0" applyFont="1" applyFill="1" applyBorder="1">
      <alignment vertical="center"/>
    </xf>
    <xf numFmtId="43" fontId="6" fillId="10" borderId="5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0" fontId="24" fillId="2" borderId="1" xfId="3" applyNumberFormat="1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 wrapText="1"/>
    </xf>
    <xf numFmtId="179" fontId="6" fillId="10" borderId="1" xfId="3" applyNumberFormat="1" applyFont="1" applyFill="1" applyBorder="1">
      <alignment vertical="center"/>
    </xf>
    <xf numFmtId="0" fontId="26" fillId="0" borderId="1" xfId="0" applyFont="1" applyBorder="1" applyAlignment="1">
      <alignment vertical="center" wrapText="1"/>
    </xf>
    <xf numFmtId="0" fontId="6" fillId="12" borderId="7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 wrapText="1" shrinkToFit="1"/>
    </xf>
    <xf numFmtId="0" fontId="6" fillId="12" borderId="8" xfId="0" applyFont="1" applyFill="1" applyBorder="1" applyAlignment="1">
      <alignment horizontal="center" vertical="center"/>
    </xf>
    <xf numFmtId="43" fontId="6" fillId="13" borderId="1" xfId="0" applyNumberFormat="1" applyFont="1" applyFill="1" applyBorder="1">
      <alignment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 wrapText="1" indent="1"/>
    </xf>
    <xf numFmtId="0" fontId="28" fillId="12" borderId="1" xfId="0" applyFont="1" applyFill="1" applyBorder="1" applyAlignment="1">
      <alignment horizontal="left" vertical="center" wrapText="1" indent="2"/>
    </xf>
    <xf numFmtId="43" fontId="14" fillId="12" borderId="1" xfId="0" applyNumberFormat="1" applyFont="1" applyFill="1" applyBorder="1">
      <alignment vertical="center"/>
    </xf>
    <xf numFmtId="0" fontId="27" fillId="0" borderId="1" xfId="0" applyFont="1" applyBorder="1" applyAlignment="1">
      <alignment vertical="center" wrapText="1"/>
    </xf>
    <xf numFmtId="43" fontId="6" fillId="12" borderId="1" xfId="0" applyNumberFormat="1" applyFont="1" applyFill="1" applyBorder="1">
      <alignment vertical="center"/>
    </xf>
    <xf numFmtId="0" fontId="6" fillId="10" borderId="8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179" fontId="31" fillId="14" borderId="1" xfId="0" applyNumberFormat="1" applyFont="1" applyFill="1" applyBorder="1">
      <alignment vertical="center"/>
    </xf>
    <xf numFmtId="179" fontId="31" fillId="13" borderId="1" xfId="0" applyNumberFormat="1" applyFont="1" applyFill="1" applyBorder="1">
      <alignment vertical="center"/>
    </xf>
    <xf numFmtId="180" fontId="31" fillId="14" borderId="1" xfId="0" applyNumberFormat="1" applyFont="1" applyFill="1" applyBorder="1">
      <alignment vertical="center"/>
    </xf>
    <xf numFmtId="180" fontId="31" fillId="13" borderId="1" xfId="0" applyNumberFormat="1" applyFont="1" applyFill="1" applyBorder="1">
      <alignment vertical="center"/>
    </xf>
    <xf numFmtId="180" fontId="6" fillId="10" borderId="1" xfId="3" applyNumberFormat="1" applyFont="1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</cellStyles>
  <tableStyles count="0" defaultTableStyle="TableStyleMedium2" defaultPivotStyle="PivotStyleLight16"/>
  <colors>
    <mruColors>
      <color rgb="00FCE4D6"/>
      <color rgb="00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J6" sqref="J6"/>
    </sheetView>
  </sheetViews>
  <sheetFormatPr defaultColWidth="8.90909090909091" defaultRowHeight="16" customHeight="1"/>
  <cols>
    <col min="1" max="1" width="8.90909090909091" style="12" customWidth="1"/>
    <col min="2" max="2" width="23.6363636363636" style="12" customWidth="1"/>
    <col min="3" max="3" width="16.7272727272727" style="12" customWidth="1"/>
    <col min="4" max="5" width="10.6363636363636" style="12" customWidth="1"/>
    <col min="6" max="6" width="10.2727272727273" style="12" customWidth="1"/>
    <col min="7" max="7" width="10.6363636363636" style="12" customWidth="1"/>
    <col min="8" max="8" width="10.4545454545455" style="12" customWidth="1"/>
    <col min="9" max="9" width="10.9090909090909" style="12" customWidth="1"/>
    <col min="10" max="11" width="11.2727272727273" style="12" customWidth="1"/>
    <col min="12" max="12" width="12.2727272727273" style="12" customWidth="1"/>
    <col min="13" max="13" width="11.9090909090909" style="12" customWidth="1"/>
    <col min="14" max="14" width="13.0909090909091" style="12" customWidth="1"/>
    <col min="15" max="15" width="12.0909090909091" style="12" customWidth="1"/>
    <col min="16" max="16" width="12.4545454545455" style="12" customWidth="1"/>
    <col min="17" max="17" width="13.9090909090909" style="68" customWidth="1"/>
    <col min="18" max="18" width="33.2727272727273" style="12" customWidth="1"/>
    <col min="19" max="16384" width="8.90909090909091" style="12"/>
  </cols>
  <sheetData>
    <row r="1" s="71" customFormat="1" ht="3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72" customFormat="1" ht="25" customHeight="1" spans="1:18">
      <c r="A2" s="37" t="s">
        <v>1</v>
      </c>
      <c r="B2" s="37" t="s">
        <v>2</v>
      </c>
      <c r="C2" s="37" t="s">
        <v>3</v>
      </c>
      <c r="D2" s="38" t="s">
        <v>4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7" t="s">
        <v>5</v>
      </c>
      <c r="Q2" s="40" t="s">
        <v>6</v>
      </c>
      <c r="R2" s="76" t="s">
        <v>7</v>
      </c>
    </row>
    <row r="3" s="72" customFormat="1" ht="25" customHeight="1" spans="1:18">
      <c r="A3" s="37"/>
      <c r="B3" s="37"/>
      <c r="C3" s="37"/>
      <c r="D3" s="39" t="s">
        <v>8</v>
      </c>
      <c r="E3" s="39" t="s">
        <v>9</v>
      </c>
      <c r="F3" s="39" t="s">
        <v>10</v>
      </c>
      <c r="G3" s="39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39" t="s">
        <v>19</v>
      </c>
      <c r="P3" s="37"/>
      <c r="Q3" s="40"/>
      <c r="R3" s="76"/>
    </row>
    <row r="4" s="73" customFormat="1" ht="25" customHeight="1" spans="1:18">
      <c r="A4" s="77" t="s">
        <v>20</v>
      </c>
      <c r="B4" s="78" t="s">
        <v>21</v>
      </c>
      <c r="C4" s="44">
        <f>预算执行汇总!B4</f>
        <v>0</v>
      </c>
      <c r="D4" s="44" cm="1">
        <f t="array" ref="D4:O4">预算执行汇总!C4:N4</f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f>SUM(D4:O4)</f>
        <v>0</v>
      </c>
      <c r="Q4" s="79">
        <f>IFERROR((P4-C4)/ABS(C4)+1,)</f>
        <v>0</v>
      </c>
      <c r="R4" s="80"/>
    </row>
    <row r="5" s="73" customFormat="1" ht="25" customHeight="1" spans="1:18">
      <c r="A5" s="81"/>
      <c r="B5" s="78" t="s">
        <v>22</v>
      </c>
      <c r="C5" s="58">
        <f>预算执行汇总!B18</f>
        <v>-257.58</v>
      </c>
      <c r="D5" s="58">
        <f>预算执行汇总!C18</f>
        <v>-7.7495</v>
      </c>
      <c r="E5" s="58">
        <v>-3.6</v>
      </c>
      <c r="F5" s="58">
        <v>-9.03</v>
      </c>
      <c r="G5" s="58">
        <v>-7.76</v>
      </c>
      <c r="H5" s="58"/>
      <c r="I5" s="58"/>
      <c r="J5" s="58"/>
      <c r="K5" s="58"/>
      <c r="L5" s="58"/>
      <c r="M5" s="58"/>
      <c r="N5" s="58"/>
      <c r="O5" s="58"/>
      <c r="P5" s="44">
        <f t="shared" ref="P5:P14" si="0">SUM(D5:O5)</f>
        <v>-28.1395</v>
      </c>
      <c r="Q5" s="79">
        <f t="shared" ref="Q5:Q14" si="1">IFERROR(P5/C5,)</f>
        <v>0.109245671247768</v>
      </c>
      <c r="R5" s="82" t="s">
        <v>23</v>
      </c>
    </row>
    <row r="6" s="73" customFormat="1" ht="25" customHeight="1" spans="1:18">
      <c r="A6" s="83"/>
      <c r="B6" s="78" t="s">
        <v>24</v>
      </c>
      <c r="C6" s="58">
        <v>-230.07</v>
      </c>
      <c r="D6" s="58">
        <v>-10.35</v>
      </c>
      <c r="E6" s="84">
        <v>-4.57</v>
      </c>
      <c r="F6" s="58">
        <v>4.52</v>
      </c>
      <c r="G6" s="58">
        <v>-6.63</v>
      </c>
      <c r="H6" s="58"/>
      <c r="I6" s="58"/>
      <c r="J6" s="58"/>
      <c r="K6" s="58"/>
      <c r="L6" s="58"/>
      <c r="M6" s="58"/>
      <c r="N6" s="58"/>
      <c r="O6" s="58"/>
      <c r="P6" s="44">
        <f t="shared" si="0"/>
        <v>-17.03</v>
      </c>
      <c r="Q6" s="79">
        <f t="shared" si="1"/>
        <v>0.0740209501456079</v>
      </c>
      <c r="R6" s="80"/>
    </row>
    <row r="7" s="73" customFormat="1" ht="25" customHeight="1" spans="1:18">
      <c r="A7" s="85" t="s">
        <v>25</v>
      </c>
      <c r="B7" s="78" t="s">
        <v>26</v>
      </c>
      <c r="C7" s="44" cm="1">
        <f t="array" ref="C7:C14">预算执行汇总!B5:B12</f>
        <v>173.68</v>
      </c>
      <c r="D7" s="44" cm="1">
        <f t="array" ref="D7:O14">预算执行汇总!C5:N12</f>
        <v>3.5245</v>
      </c>
      <c r="E7" s="44">
        <v>3.6045</v>
      </c>
      <c r="F7" s="44">
        <v>9.03</v>
      </c>
      <c r="G7" s="44">
        <v>3.53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f t="shared" si="0"/>
        <v>19.689</v>
      </c>
      <c r="Q7" s="79">
        <f t="shared" si="1"/>
        <v>0.113363657300783</v>
      </c>
      <c r="R7" s="80"/>
    </row>
    <row r="8" s="73" customFormat="1" ht="25" customHeight="1" spans="1:18">
      <c r="A8" s="86"/>
      <c r="B8" s="87" t="s">
        <v>27</v>
      </c>
      <c r="C8" s="44">
        <v>173.68</v>
      </c>
      <c r="D8" s="44">
        <v>3.5245</v>
      </c>
      <c r="E8" s="44">
        <v>3.6045</v>
      </c>
      <c r="F8" s="44">
        <v>9.03</v>
      </c>
      <c r="G8" s="44">
        <v>3.53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f t="shared" si="0"/>
        <v>19.689</v>
      </c>
      <c r="Q8" s="79">
        <f t="shared" si="1"/>
        <v>0.113363657300783</v>
      </c>
      <c r="R8" s="80"/>
    </row>
    <row r="9" s="74" customFormat="1" ht="25" customHeight="1" spans="1:18">
      <c r="A9" s="86"/>
      <c r="B9" s="88" t="s">
        <v>28</v>
      </c>
      <c r="C9" s="89">
        <v>42.48</v>
      </c>
      <c r="D9" s="89">
        <v>3.5245</v>
      </c>
      <c r="E9" s="89">
        <v>3.6045</v>
      </c>
      <c r="F9" s="89">
        <v>3.35</v>
      </c>
      <c r="G9" s="89">
        <v>3.41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44">
        <f t="shared" si="0"/>
        <v>13.889</v>
      </c>
      <c r="Q9" s="79">
        <f t="shared" si="1"/>
        <v>0.326953860640301</v>
      </c>
      <c r="R9" s="90"/>
    </row>
    <row r="10" s="74" customFormat="1" ht="25" customHeight="1" spans="1:18">
      <c r="A10" s="86"/>
      <c r="B10" s="88" t="s">
        <v>29</v>
      </c>
      <c r="C10" s="89">
        <v>131.2</v>
      </c>
      <c r="D10" s="89">
        <v>0</v>
      </c>
      <c r="E10" s="89">
        <v>0</v>
      </c>
      <c r="F10" s="89">
        <v>5.68</v>
      </c>
      <c r="G10" s="89">
        <v>0.12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44">
        <f t="shared" si="0"/>
        <v>5.8</v>
      </c>
      <c r="Q10" s="79">
        <f t="shared" si="1"/>
        <v>0.0442073170731707</v>
      </c>
      <c r="R10" s="90"/>
    </row>
    <row r="11" s="73" customFormat="1" ht="25" customHeight="1" spans="1:18">
      <c r="A11" s="86"/>
      <c r="B11" s="87" t="s">
        <v>30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f t="shared" si="0"/>
        <v>0</v>
      </c>
      <c r="Q11" s="79">
        <f t="shared" si="1"/>
        <v>0</v>
      </c>
      <c r="R11" s="90"/>
    </row>
    <row r="12" s="74" customFormat="1" ht="25" customHeight="1" spans="1:18">
      <c r="A12" s="86"/>
      <c r="B12" s="88" t="s">
        <v>31</v>
      </c>
      <c r="C12" s="89">
        <v>0</v>
      </c>
      <c r="D12" s="89">
        <v>0</v>
      </c>
      <c r="E12" s="89">
        <v>0</v>
      </c>
      <c r="F12" s="89">
        <v>0</v>
      </c>
      <c r="G12" s="89">
        <v>0</v>
      </c>
      <c r="H12" s="89">
        <v>0</v>
      </c>
      <c r="I12" s="89">
        <v>0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91">
        <f t="shared" si="0"/>
        <v>0</v>
      </c>
      <c r="Q12" s="79">
        <f t="shared" si="1"/>
        <v>0</v>
      </c>
      <c r="R12" s="90"/>
    </row>
    <row r="13" s="74" customFormat="1" ht="25" customHeight="1" spans="1:18">
      <c r="A13" s="86"/>
      <c r="B13" s="88" t="s">
        <v>32</v>
      </c>
      <c r="C13" s="89">
        <v>0</v>
      </c>
      <c r="D13" s="89">
        <v>0</v>
      </c>
      <c r="E13" s="89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91">
        <f t="shared" si="0"/>
        <v>0</v>
      </c>
      <c r="Q13" s="79">
        <f t="shared" si="1"/>
        <v>0</v>
      </c>
      <c r="R13" s="90"/>
    </row>
    <row r="14" s="75" customFormat="1" ht="25" customHeight="1" spans="1:18">
      <c r="A14" s="92"/>
      <c r="B14" s="78" t="s">
        <v>33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f t="shared" si="0"/>
        <v>0</v>
      </c>
      <c r="Q14" s="79">
        <f t="shared" si="1"/>
        <v>0</v>
      </c>
      <c r="R14" s="93"/>
    </row>
    <row r="15" s="75" customFormat="1" ht="25" customHeight="1" spans="1:18">
      <c r="A15" s="94" t="s">
        <v>34</v>
      </c>
      <c r="B15" s="78" t="s">
        <v>35</v>
      </c>
      <c r="C15" s="95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79">
        <f>IFERROR(AVERAGE(D15:O15),)</f>
        <v>0</v>
      </c>
      <c r="Q15" s="79">
        <f t="shared" ref="Q15:Q20" si="2">IFERROR(P15/C15,)</f>
        <v>0</v>
      </c>
      <c r="R15" s="90" t="s">
        <v>36</v>
      </c>
    </row>
    <row r="16" s="75" customFormat="1" ht="25" customHeight="1" spans="1:18">
      <c r="A16" s="94"/>
      <c r="B16" s="78" t="s">
        <v>37</v>
      </c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79">
        <f>IFERROR(AVERAGE(D16:O16),)</f>
        <v>0</v>
      </c>
      <c r="Q16" s="79">
        <f t="shared" si="2"/>
        <v>0</v>
      </c>
      <c r="R16" s="90" t="s">
        <v>38</v>
      </c>
    </row>
    <row r="17" s="75" customFormat="1" ht="25" customHeight="1" spans="1:18">
      <c r="A17" s="94"/>
      <c r="B17" s="78" t="s">
        <v>39</v>
      </c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9" cm="1">
        <f t="array" ref="P17">IFERROR(INDEX(D17:O17,0,MATCH(9.99999999999999E+307,D17:O17)),)</f>
        <v>0</v>
      </c>
      <c r="Q17" s="79">
        <f t="shared" si="2"/>
        <v>0</v>
      </c>
      <c r="R17" s="90" t="s">
        <v>40</v>
      </c>
    </row>
    <row r="18" s="75" customFormat="1" ht="25" customHeight="1" spans="1:18">
      <c r="A18" s="94"/>
      <c r="B18" s="78" t="s">
        <v>41</v>
      </c>
      <c r="C18" s="97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9" cm="1">
        <f t="array" ref="P18">IFERROR(INDEX(D18:O18,0,MATCH(9.99999999999999E+307,D18:O18)),)</f>
        <v>0</v>
      </c>
      <c r="Q18" s="79">
        <f t="shared" si="2"/>
        <v>0</v>
      </c>
      <c r="R18" s="90" t="s">
        <v>42</v>
      </c>
    </row>
    <row r="19" s="75" customFormat="1" ht="25" customHeight="1" spans="1:18">
      <c r="A19" s="94"/>
      <c r="B19" s="78" t="s">
        <v>43</v>
      </c>
      <c r="C19" s="95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9" cm="1">
        <f t="array" ref="P19">IFERROR(INDEX(D19:O19,0,MATCH(9.99999999999999E+307,D19:O19)),)</f>
        <v>0</v>
      </c>
      <c r="Q19" s="79">
        <f t="shared" si="2"/>
        <v>0</v>
      </c>
      <c r="R19" s="90" t="s">
        <v>42</v>
      </c>
    </row>
    <row r="20" ht="25" customHeight="1" spans="1:18">
      <c r="A20" s="94"/>
      <c r="B20" s="78" t="s">
        <v>44</v>
      </c>
      <c r="C20" s="95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9" cm="1">
        <f t="array" ref="P20">IFERROR(INDEX(D20:O20,0,MATCH(9.99999999999999E+307,D20:O20)),)</f>
        <v>0</v>
      </c>
      <c r="Q20" s="79">
        <f t="shared" si="2"/>
        <v>0</v>
      </c>
      <c r="R20" s="90" t="s">
        <v>42</v>
      </c>
    </row>
    <row r="21" customHeight="1" spans="1:18">
      <c r="A21" s="69" t="s">
        <v>45</v>
      </c>
      <c r="B21" s="70" t="s">
        <v>46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Q21" s="12"/>
    </row>
    <row r="22" customHeight="1" spans="1:18">
      <c r="A22" s="69"/>
      <c r="B22" s="70" t="s">
        <v>47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Q22" s="12"/>
    </row>
    <row r="23" customHeight="1" spans="1:18">
      <c r="A23" s="69"/>
      <c r="B23" s="70" t="s">
        <v>48</v>
      </c>
      <c r="C23" s="13"/>
    </row>
  </sheetData>
  <mergeCells count="14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G13" sqref="G13"/>
    </sheetView>
  </sheetViews>
  <sheetFormatPr defaultColWidth="8.90909090909091" defaultRowHeight="16" customHeight="1"/>
  <cols>
    <col min="1" max="1" width="17.7272727272727" customWidth="1"/>
    <col min="2" max="2" width="13.6363636363636" customWidth="1"/>
    <col min="3" max="3" width="7.63636363636364" customWidth="1"/>
    <col min="4" max="4" width="13.3636363636364" customWidth="1"/>
    <col min="5" max="5" width="10.7272727272727" customWidth="1"/>
    <col min="6" max="6" width="9.72727272727273" customWidth="1"/>
    <col min="7" max="7" width="9.27272727272727" customWidth="1"/>
    <col min="8" max="8" width="10.2727272727273" customWidth="1"/>
    <col min="9" max="9" width="10.4545454545455" customWidth="1"/>
    <col min="10" max="10" width="9.72727272727273" customWidth="1"/>
    <col min="11" max="11" width="10.0909090909091" customWidth="1"/>
    <col min="12" max="14" width="7.63636363636364" customWidth="1"/>
    <col min="15" max="15" width="12.4545454545455" customWidth="1"/>
    <col min="16" max="16" width="11.2727272727273" style="57" customWidth="1"/>
  </cols>
  <sheetData>
    <row r="1" s="1" customFormat="1" ht="32.15" customHeight="1" spans="1:16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6"/>
    </row>
    <row r="2" s="53" customFormat="1" ht="18" customHeight="1" spans="1:16">
      <c r="A2" s="37" t="s">
        <v>2</v>
      </c>
      <c r="B2" s="37" t="s">
        <v>3</v>
      </c>
      <c r="C2" s="38" t="s">
        <v>4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7" t="s">
        <v>5</v>
      </c>
      <c r="P2" s="40" t="s">
        <v>6</v>
      </c>
    </row>
    <row r="3" s="53" customFormat="1" ht="18" customHeight="1" spans="1:16">
      <c r="A3" s="37"/>
      <c r="B3" s="37"/>
      <c r="C3" s="39" t="s">
        <v>8</v>
      </c>
      <c r="D3" s="39" t="s">
        <v>9</v>
      </c>
      <c r="E3" s="39" t="s">
        <v>10</v>
      </c>
      <c r="F3" s="39" t="s">
        <v>11</v>
      </c>
      <c r="G3" s="39" t="s">
        <v>12</v>
      </c>
      <c r="H3" s="39" t="s">
        <v>13</v>
      </c>
      <c r="I3" s="39" t="s">
        <v>14</v>
      </c>
      <c r="J3" s="39" t="s">
        <v>15</v>
      </c>
      <c r="K3" s="39" t="s">
        <v>16</v>
      </c>
      <c r="L3" s="39" t="s">
        <v>17</v>
      </c>
      <c r="M3" s="39" t="s">
        <v>18</v>
      </c>
      <c r="N3" s="39" t="s">
        <v>19</v>
      </c>
      <c r="O3" s="37"/>
      <c r="P3" s="40"/>
    </row>
    <row r="4" s="54" customFormat="1" ht="18" customHeight="1" spans="1:16">
      <c r="A4" s="51" t="s">
        <v>21</v>
      </c>
      <c r="B4" s="58">
        <v>0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44">
        <f>SUM(C4:N4)</f>
        <v>0</v>
      </c>
      <c r="P4" s="45">
        <f t="shared" ref="P4:P9" si="0">IFERROR(O4/B4,)</f>
        <v>0</v>
      </c>
    </row>
    <row r="5" s="54" customFormat="1" ht="18" customHeight="1" spans="1:16">
      <c r="A5" s="51" t="s">
        <v>26</v>
      </c>
      <c r="B5" s="44">
        <f>B6+B9</f>
        <v>173.68</v>
      </c>
      <c r="C5" s="44">
        <f t="shared" ref="C5:N5" si="1">C6+C9</f>
        <v>3.5245</v>
      </c>
      <c r="D5" s="44">
        <f t="shared" si="1"/>
        <v>3.6045</v>
      </c>
      <c r="E5" s="44">
        <f t="shared" si="1"/>
        <v>9.03</v>
      </c>
      <c r="F5" s="44">
        <f t="shared" si="1"/>
        <v>3.53</v>
      </c>
      <c r="G5" s="44">
        <f t="shared" si="1"/>
        <v>0</v>
      </c>
      <c r="H5" s="44">
        <f t="shared" si="1"/>
        <v>0</v>
      </c>
      <c r="I5" s="44">
        <f t="shared" si="1"/>
        <v>0</v>
      </c>
      <c r="J5" s="44">
        <f t="shared" si="1"/>
        <v>0</v>
      </c>
      <c r="K5" s="44">
        <f t="shared" si="1"/>
        <v>0</v>
      </c>
      <c r="L5" s="44">
        <f t="shared" si="1"/>
        <v>0</v>
      </c>
      <c r="M5" s="44">
        <f t="shared" si="1"/>
        <v>0</v>
      </c>
      <c r="N5" s="44">
        <f t="shared" si="1"/>
        <v>0</v>
      </c>
      <c r="O5" s="44">
        <f t="shared" ref="O5:O15" si="2">SUM(C5:N5)</f>
        <v>19.689</v>
      </c>
      <c r="P5" s="45">
        <f t="shared" si="0"/>
        <v>0.113363657300783</v>
      </c>
    </row>
    <row r="6" s="54" customFormat="1" ht="18" customHeight="1" spans="1:16">
      <c r="A6" s="51" t="s">
        <v>50</v>
      </c>
      <c r="B6" s="44">
        <f>费用预算执行明细!B4</f>
        <v>173.68</v>
      </c>
      <c r="C6" s="44">
        <f>费用预算执行明细!C4</f>
        <v>3.5245</v>
      </c>
      <c r="D6" s="44">
        <f>费用预算执行明细!D4</f>
        <v>3.6045</v>
      </c>
      <c r="E6" s="44">
        <f>费用预算执行明细!E4</f>
        <v>9.03</v>
      </c>
      <c r="F6" s="44">
        <f>费用预算执行明细!F4</f>
        <v>3.53</v>
      </c>
      <c r="G6" s="44">
        <f>费用预算执行明细!G4</f>
        <v>0</v>
      </c>
      <c r="H6" s="44">
        <f>费用预算执行明细!H4</f>
        <v>0</v>
      </c>
      <c r="I6" s="44">
        <f>费用预算执行明细!I4</f>
        <v>0</v>
      </c>
      <c r="J6" s="44">
        <f>费用预算执行明细!J4</f>
        <v>0</v>
      </c>
      <c r="K6" s="44">
        <f>费用预算执行明细!K4</f>
        <v>0</v>
      </c>
      <c r="L6" s="44">
        <f>费用预算执行明细!L4</f>
        <v>0</v>
      </c>
      <c r="M6" s="44">
        <f>费用预算执行明细!M4</f>
        <v>0</v>
      </c>
      <c r="N6" s="44">
        <f>费用预算执行明细!N4</f>
        <v>0</v>
      </c>
      <c r="O6" s="44">
        <f t="shared" si="2"/>
        <v>19.689</v>
      </c>
      <c r="P6" s="45">
        <f t="shared" si="0"/>
        <v>0.113363657300783</v>
      </c>
    </row>
    <row r="7" s="55" customFormat="1" ht="18" customHeight="1" spans="1:16">
      <c r="A7" s="59" t="s">
        <v>51</v>
      </c>
      <c r="B7" s="49">
        <f>费用预算执行明细!B5</f>
        <v>42.48</v>
      </c>
      <c r="C7" s="49">
        <f>费用预算执行明细!C5</f>
        <v>3.5245</v>
      </c>
      <c r="D7" s="49">
        <f>费用预算执行明细!D5</f>
        <v>3.6045</v>
      </c>
      <c r="E7" s="49">
        <f>费用预算执行明细!E5</f>
        <v>3.35</v>
      </c>
      <c r="F7" s="49">
        <f>费用预算执行明细!F5</f>
        <v>3.41</v>
      </c>
      <c r="G7" s="49">
        <f>费用预算执行明细!G5</f>
        <v>0</v>
      </c>
      <c r="H7" s="49">
        <f>费用预算执行明细!H5</f>
        <v>0</v>
      </c>
      <c r="I7" s="49">
        <f>费用预算执行明细!I5</f>
        <v>0</v>
      </c>
      <c r="J7" s="49">
        <f>费用预算执行明细!J5</f>
        <v>0</v>
      </c>
      <c r="K7" s="49">
        <f>费用预算执行明细!K5</f>
        <v>0</v>
      </c>
      <c r="L7" s="49">
        <f>费用预算执行明细!L5</f>
        <v>0</v>
      </c>
      <c r="M7" s="49">
        <f>费用预算执行明细!M5</f>
        <v>0</v>
      </c>
      <c r="N7" s="49">
        <f>费用预算执行明细!N5</f>
        <v>0</v>
      </c>
      <c r="O7" s="49">
        <f t="shared" si="2"/>
        <v>13.889</v>
      </c>
      <c r="P7" s="50">
        <f t="shared" si="0"/>
        <v>0.326953860640301</v>
      </c>
    </row>
    <row r="8" s="55" customFormat="1" ht="18" customHeight="1" spans="1:16">
      <c r="A8" s="59" t="s">
        <v>52</v>
      </c>
      <c r="B8" s="49">
        <f>费用预算执行明细!B12</f>
        <v>131.2</v>
      </c>
      <c r="C8" s="49">
        <f>费用预算执行明细!C12</f>
        <v>0</v>
      </c>
      <c r="D8" s="49">
        <f>费用预算执行明细!D12</f>
        <v>0</v>
      </c>
      <c r="E8" s="49">
        <f>费用预算执行明细!E12</f>
        <v>5.68</v>
      </c>
      <c r="F8" s="49">
        <f>费用预算执行明细!F12</f>
        <v>0.12</v>
      </c>
      <c r="G8" s="49">
        <f>费用预算执行明细!G12</f>
        <v>0</v>
      </c>
      <c r="H8" s="49">
        <f>费用预算执行明细!H12</f>
        <v>0</v>
      </c>
      <c r="I8" s="49">
        <f>费用预算执行明细!I12</f>
        <v>0</v>
      </c>
      <c r="J8" s="49">
        <f>费用预算执行明细!J12</f>
        <v>0</v>
      </c>
      <c r="K8" s="49">
        <f>费用预算执行明细!K12</f>
        <v>0</v>
      </c>
      <c r="L8" s="49">
        <f>费用预算执行明细!L12</f>
        <v>0</v>
      </c>
      <c r="M8" s="49">
        <f>费用预算执行明细!M12</f>
        <v>0</v>
      </c>
      <c r="N8" s="49">
        <f>费用预算执行明细!N12</f>
        <v>0</v>
      </c>
      <c r="O8" s="49">
        <f t="shared" si="2"/>
        <v>5.8</v>
      </c>
      <c r="P8" s="50">
        <f t="shared" si="0"/>
        <v>0.0442073170731707</v>
      </c>
    </row>
    <row r="9" s="54" customFormat="1" ht="18" customHeight="1" spans="1:16">
      <c r="A9" s="51" t="s">
        <v>30</v>
      </c>
      <c r="B9" s="44"/>
      <c r="C9" s="44">
        <f>费用预算执行明细!C44</f>
        <v>0</v>
      </c>
      <c r="D9" s="44">
        <f>费用预算执行明细!D44</f>
        <v>0</v>
      </c>
      <c r="E9" s="44">
        <f>费用预算执行明细!E44</f>
        <v>0</v>
      </c>
      <c r="F9" s="44">
        <f>费用预算执行明细!F44</f>
        <v>0</v>
      </c>
      <c r="G9" s="44">
        <f>费用预算执行明细!G44</f>
        <v>0</v>
      </c>
      <c r="H9" s="44">
        <f>费用预算执行明细!H44</f>
        <v>0</v>
      </c>
      <c r="I9" s="44">
        <f>费用预算执行明细!I44</f>
        <v>0</v>
      </c>
      <c r="J9" s="44">
        <f>费用预算执行明细!J44</f>
        <v>0</v>
      </c>
      <c r="K9" s="44">
        <f>费用预算执行明细!K44</f>
        <v>0</v>
      </c>
      <c r="L9" s="44">
        <f>费用预算执行明细!L44</f>
        <v>0</v>
      </c>
      <c r="M9" s="44">
        <f>费用预算执行明细!M44</f>
        <v>0</v>
      </c>
      <c r="N9" s="44">
        <f>费用预算执行明细!N44</f>
        <v>0</v>
      </c>
      <c r="O9" s="44">
        <f t="shared" si="2"/>
        <v>0</v>
      </c>
      <c r="P9" s="45">
        <f t="shared" si="0"/>
        <v>0</v>
      </c>
    </row>
    <row r="10" s="55" customFormat="1" ht="18" customHeight="1" spans="1:16">
      <c r="A10" s="59" t="s">
        <v>53</v>
      </c>
      <c r="B10" s="49"/>
      <c r="C10" s="49">
        <f>费用预算执行明细!C45</f>
        <v>0</v>
      </c>
      <c r="D10" s="49">
        <f>费用预算执行明细!D45</f>
        <v>0</v>
      </c>
      <c r="E10" s="49">
        <f>费用预算执行明细!E45</f>
        <v>0</v>
      </c>
      <c r="F10" s="49">
        <f>费用预算执行明细!F45</f>
        <v>0</v>
      </c>
      <c r="G10" s="49">
        <f>费用预算执行明细!G45</f>
        <v>0</v>
      </c>
      <c r="H10" s="49">
        <f>费用预算执行明细!H45</f>
        <v>0</v>
      </c>
      <c r="I10" s="49">
        <f>费用预算执行明细!I45</f>
        <v>0</v>
      </c>
      <c r="J10" s="49">
        <f>费用预算执行明细!J45</f>
        <v>0</v>
      </c>
      <c r="K10" s="49">
        <f>费用预算执行明细!K45</f>
        <v>0</v>
      </c>
      <c r="L10" s="49">
        <f>费用预算执行明细!L45</f>
        <v>0</v>
      </c>
      <c r="M10" s="49">
        <f>费用预算执行明细!M45</f>
        <v>0</v>
      </c>
      <c r="N10" s="49">
        <f>费用预算执行明细!N45</f>
        <v>0</v>
      </c>
      <c r="O10" s="49">
        <f t="shared" si="2"/>
        <v>0</v>
      </c>
      <c r="P10" s="50">
        <f t="shared" ref="P10:P16" si="3">IFERROR(O10/B10,)</f>
        <v>0</v>
      </c>
    </row>
    <row r="11" s="55" customFormat="1" ht="18" customHeight="1" spans="1:16">
      <c r="A11" s="59" t="s">
        <v>54</v>
      </c>
      <c r="B11" s="49"/>
      <c r="C11" s="49">
        <f>费用预算执行明细!C78</f>
        <v>0</v>
      </c>
      <c r="D11" s="49">
        <f>费用预算执行明细!D78</f>
        <v>0</v>
      </c>
      <c r="E11" s="49">
        <f>费用预算执行明细!E78</f>
        <v>0</v>
      </c>
      <c r="F11" s="49">
        <f>费用预算执行明细!F78</f>
        <v>0</v>
      </c>
      <c r="G11" s="49">
        <f>费用预算执行明细!G78</f>
        <v>0</v>
      </c>
      <c r="H11" s="49">
        <f>费用预算执行明细!H78</f>
        <v>0</v>
      </c>
      <c r="I11" s="49">
        <f>费用预算执行明细!I78</f>
        <v>0</v>
      </c>
      <c r="J11" s="49">
        <f>费用预算执行明细!J78</f>
        <v>0</v>
      </c>
      <c r="K11" s="49">
        <f>费用预算执行明细!K78</f>
        <v>0</v>
      </c>
      <c r="L11" s="49">
        <f>费用预算执行明细!L78</f>
        <v>0</v>
      </c>
      <c r="M11" s="49">
        <f>费用预算执行明细!M78</f>
        <v>0</v>
      </c>
      <c r="N11" s="49">
        <f>费用预算执行明细!N78</f>
        <v>0</v>
      </c>
      <c r="O11" s="49">
        <f t="shared" si="2"/>
        <v>0</v>
      </c>
      <c r="P11" s="50">
        <f t="shared" si="3"/>
        <v>0</v>
      </c>
    </row>
    <row r="12" s="56" customFormat="1" ht="18" customHeight="1" spans="1:16">
      <c r="A12" s="60" t="s">
        <v>33</v>
      </c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1">
        <f t="shared" si="2"/>
        <v>0</v>
      </c>
      <c r="P12" s="45">
        <f t="shared" si="3"/>
        <v>0</v>
      </c>
    </row>
    <row r="13" s="54" customFormat="1" ht="18" customHeight="1" spans="1:16">
      <c r="A13" s="51" t="s">
        <v>55</v>
      </c>
      <c r="B13" s="58">
        <v>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44">
        <f t="shared" si="2"/>
        <v>0</v>
      </c>
      <c r="P13" s="45">
        <f t="shared" si="3"/>
        <v>0</v>
      </c>
    </row>
    <row r="14" s="54" customFormat="1" ht="18" customHeight="1" spans="1:16">
      <c r="A14" s="51" t="s">
        <v>56</v>
      </c>
      <c r="B14" s="44">
        <v>-34.6</v>
      </c>
      <c r="C14" s="58">
        <v>0.02</v>
      </c>
      <c r="D14" s="58">
        <v>0.32</v>
      </c>
      <c r="E14" s="58">
        <v>-14.34</v>
      </c>
      <c r="F14" s="58">
        <v>0</v>
      </c>
      <c r="G14" s="58"/>
      <c r="H14" s="58"/>
      <c r="I14" s="58"/>
      <c r="J14" s="58"/>
      <c r="K14" s="58"/>
      <c r="L14" s="58"/>
      <c r="M14" s="58"/>
      <c r="N14" s="58"/>
      <c r="O14" s="44">
        <f t="shared" si="2"/>
        <v>-14</v>
      </c>
      <c r="P14" s="45">
        <f t="shared" si="3"/>
        <v>0.404624277456647</v>
      </c>
    </row>
    <row r="15" s="54" customFormat="1" ht="18" customHeight="1" spans="1:16">
      <c r="A15" s="51" t="s">
        <v>57</v>
      </c>
      <c r="B15" s="58">
        <v>83.9</v>
      </c>
      <c r="C15" s="58">
        <v>4.225</v>
      </c>
      <c r="D15" s="58">
        <v>0</v>
      </c>
      <c r="E15" s="58">
        <v>0</v>
      </c>
      <c r="F15" s="58">
        <v>4.23</v>
      </c>
      <c r="G15" s="58"/>
      <c r="H15" s="58"/>
      <c r="I15" s="58"/>
      <c r="J15" s="58"/>
      <c r="K15" s="58"/>
      <c r="L15" s="58"/>
      <c r="M15" s="58"/>
      <c r="N15" s="58"/>
      <c r="O15" s="44">
        <f t="shared" si="2"/>
        <v>8.455</v>
      </c>
      <c r="P15" s="45">
        <f t="shared" si="3"/>
        <v>0.1007747318236</v>
      </c>
    </row>
    <row r="16" s="54" customFormat="1" ht="18" customHeight="1" spans="1:16">
      <c r="A16" s="51" t="s">
        <v>58</v>
      </c>
      <c r="B16" s="63"/>
      <c r="C16" s="63">
        <f>IFERROR(C9/C4,)</f>
        <v>0</v>
      </c>
      <c r="D16" s="63">
        <f t="shared" ref="D16:O16" si="4">IFERROR(D9/D4,)</f>
        <v>0</v>
      </c>
      <c r="E16" s="63">
        <f t="shared" si="4"/>
        <v>0</v>
      </c>
      <c r="F16" s="63">
        <f t="shared" si="4"/>
        <v>0</v>
      </c>
      <c r="G16" s="63">
        <f t="shared" si="4"/>
        <v>0</v>
      </c>
      <c r="H16" s="63">
        <f t="shared" si="4"/>
        <v>0</v>
      </c>
      <c r="I16" s="63">
        <f t="shared" si="4"/>
        <v>0</v>
      </c>
      <c r="J16" s="63">
        <f t="shared" si="4"/>
        <v>0</v>
      </c>
      <c r="K16" s="63">
        <f t="shared" si="4"/>
        <v>0</v>
      </c>
      <c r="L16" s="63">
        <f t="shared" si="4"/>
        <v>0</v>
      </c>
      <c r="M16" s="63">
        <f t="shared" si="4"/>
        <v>0</v>
      </c>
      <c r="N16" s="63">
        <f t="shared" si="4"/>
        <v>0</v>
      </c>
      <c r="O16" s="63">
        <f t="shared" si="4"/>
        <v>0</v>
      </c>
      <c r="P16" s="45">
        <f t="shared" si="3"/>
        <v>0</v>
      </c>
    </row>
    <row r="17" ht="32.15" customHeight="1" spans="1:16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5"/>
    </row>
    <row r="18" s="54" customFormat="1" ht="18" customHeight="1" spans="1:16">
      <c r="A18" s="51" t="s">
        <v>59</v>
      </c>
      <c r="B18" s="44">
        <f>B4-B6-B9-B15</f>
        <v>-257.58</v>
      </c>
      <c r="C18" s="44">
        <f>C4-C6-C9-C15</f>
        <v>-7.7495</v>
      </c>
      <c r="D18" s="44">
        <f>D4-D6-D9-D15</f>
        <v>-3.6045</v>
      </c>
      <c r="E18" s="44">
        <f>E4-E6-E9-E15</f>
        <v>-9.03</v>
      </c>
      <c r="F18" s="44">
        <f>F4-F6-F9-F15</f>
        <v>-7.76</v>
      </c>
      <c r="G18" s="44">
        <f t="shared" ref="G18:O18" si="5">G4-G6-G9-G15</f>
        <v>0</v>
      </c>
      <c r="H18" s="44">
        <f t="shared" si="5"/>
        <v>0</v>
      </c>
      <c r="I18" s="44">
        <f t="shared" si="5"/>
        <v>0</v>
      </c>
      <c r="J18" s="44">
        <f t="shared" si="5"/>
        <v>0</v>
      </c>
      <c r="K18" s="44">
        <f t="shared" si="5"/>
        <v>0</v>
      </c>
      <c r="L18" s="44">
        <f t="shared" si="5"/>
        <v>0</v>
      </c>
      <c r="M18" s="44">
        <f t="shared" si="5"/>
        <v>0</v>
      </c>
      <c r="N18" s="44">
        <f t="shared" si="5"/>
        <v>0</v>
      </c>
      <c r="O18" s="44">
        <f t="shared" si="5"/>
        <v>-28.144</v>
      </c>
      <c r="P18" s="45">
        <f>IFERROR(O18/B18,)</f>
        <v>0.109263141548257</v>
      </c>
    </row>
    <row r="19" ht="18" customHeight="1" spans="1:16">
      <c r="A19" s="66" t="s">
        <v>60</v>
      </c>
      <c r="B19" s="67">
        <f>B4-B6-B9-B14</f>
        <v>-139.08</v>
      </c>
      <c r="C19" s="67">
        <f t="shared" ref="C19:O19" si="6">C4-C6-C9-C14</f>
        <v>-3.5445</v>
      </c>
      <c r="D19" s="67">
        <f t="shared" si="6"/>
        <v>-3.9245</v>
      </c>
      <c r="E19" s="67">
        <f t="shared" si="6"/>
        <v>5.31</v>
      </c>
      <c r="F19" s="67">
        <f t="shared" si="6"/>
        <v>-3.53</v>
      </c>
      <c r="G19" s="67">
        <f t="shared" si="6"/>
        <v>0</v>
      </c>
      <c r="H19" s="67">
        <f t="shared" si="6"/>
        <v>0</v>
      </c>
      <c r="I19" s="67">
        <f t="shared" si="6"/>
        <v>0</v>
      </c>
      <c r="J19" s="67">
        <f t="shared" si="6"/>
        <v>0</v>
      </c>
      <c r="K19" s="67">
        <f t="shared" si="6"/>
        <v>0</v>
      </c>
      <c r="L19" s="67">
        <f t="shared" si="6"/>
        <v>0</v>
      </c>
      <c r="M19" s="67">
        <f t="shared" si="6"/>
        <v>0</v>
      </c>
      <c r="N19" s="67">
        <f t="shared" si="6"/>
        <v>0</v>
      </c>
      <c r="O19" s="67">
        <f t="shared" si="6"/>
        <v>-5.689</v>
      </c>
      <c r="P19" s="45">
        <f>IFERROR(O19/B19,)</f>
        <v>0.0409045153868277</v>
      </c>
    </row>
    <row r="20" ht="32.15" customHeight="1" spans="1:1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68"/>
    </row>
    <row r="21" ht="18" customHeight="1" spans="1:16">
      <c r="A21" s="69" t="s">
        <v>45</v>
      </c>
      <c r="B21" s="70" t="s">
        <v>46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68"/>
    </row>
    <row r="22" ht="18" customHeight="1" spans="1:16">
      <c r="A22" s="69"/>
      <c r="B22" s="70" t="s">
        <v>47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68"/>
    </row>
    <row r="23" ht="18" customHeight="1" spans="1:16">
      <c r="A23" s="69"/>
      <c r="B23" s="70" t="s">
        <v>48</v>
      </c>
      <c r="C23" s="1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G30" sqref="G30"/>
    </sheetView>
  </sheetViews>
  <sheetFormatPr defaultColWidth="8.90909090909091" defaultRowHeight="16" customHeight="1"/>
  <cols>
    <col min="1" max="1" width="19.9090909090909" style="18" customWidth="1"/>
    <col min="2" max="2" width="12.4545454545455" style="18" customWidth="1"/>
    <col min="3" max="14" width="7.63636363636364" customWidth="1"/>
    <col min="15" max="15" width="12.4545454545455" style="18" customWidth="1"/>
    <col min="16" max="16" width="9.09090909090909" style="19" customWidth="1"/>
    <col min="17" max="16384" width="8.90909090909091" style="18"/>
  </cols>
  <sheetData>
    <row r="1" s="1" customFormat="1" ht="32.15" customHeight="1" spans="1:16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6"/>
    </row>
    <row r="2" s="34" customFormat="1" customHeight="1" spans="1:16">
      <c r="A2" s="37" t="s">
        <v>2</v>
      </c>
      <c r="B2" s="37" t="s">
        <v>3</v>
      </c>
      <c r="C2" s="38" t="s">
        <v>62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 t="s">
        <v>5</v>
      </c>
      <c r="P2" s="40" t="s">
        <v>6</v>
      </c>
    </row>
    <row r="3" s="35" customFormat="1" customHeight="1" spans="1:16">
      <c r="A3" s="37"/>
      <c r="B3" s="37"/>
      <c r="C3" s="41" t="s">
        <v>8</v>
      </c>
      <c r="D3" s="39" t="s">
        <v>9</v>
      </c>
      <c r="E3" s="41" t="s">
        <v>10</v>
      </c>
      <c r="F3" s="39" t="s">
        <v>11</v>
      </c>
      <c r="G3" s="41" t="s">
        <v>12</v>
      </c>
      <c r="H3" s="39" t="s">
        <v>13</v>
      </c>
      <c r="I3" s="41" t="s">
        <v>14</v>
      </c>
      <c r="J3" s="39" t="s">
        <v>15</v>
      </c>
      <c r="K3" s="41" t="s">
        <v>16</v>
      </c>
      <c r="L3" s="39" t="s">
        <v>17</v>
      </c>
      <c r="M3" s="41" t="s">
        <v>18</v>
      </c>
      <c r="N3" s="42" t="s">
        <v>19</v>
      </c>
      <c r="O3" s="39"/>
      <c r="P3" s="40"/>
    </row>
    <row r="4" customHeight="1" spans="1:16">
      <c r="A4" s="43" t="s">
        <v>27</v>
      </c>
      <c r="B4" s="44">
        <f>B5+B12</f>
        <v>173.68</v>
      </c>
      <c r="C4" s="44">
        <f t="shared" ref="C4:N4" si="0">C5+C12</f>
        <v>3.5245</v>
      </c>
      <c r="D4" s="44">
        <f t="shared" si="0"/>
        <v>3.6045</v>
      </c>
      <c r="E4" s="44">
        <f t="shared" si="0"/>
        <v>9.03</v>
      </c>
      <c r="F4" s="44">
        <f t="shared" si="0"/>
        <v>3.53</v>
      </c>
      <c r="G4" s="44">
        <f t="shared" si="0"/>
        <v>0</v>
      </c>
      <c r="H4" s="44">
        <f t="shared" si="0"/>
        <v>0</v>
      </c>
      <c r="I4" s="44">
        <f t="shared" si="0"/>
        <v>0</v>
      </c>
      <c r="J4" s="44">
        <f t="shared" si="0"/>
        <v>0</v>
      </c>
      <c r="K4" s="44">
        <f t="shared" si="0"/>
        <v>0</v>
      </c>
      <c r="L4" s="44">
        <f t="shared" si="0"/>
        <v>0</v>
      </c>
      <c r="M4" s="44">
        <f t="shared" si="0"/>
        <v>0</v>
      </c>
      <c r="N4" s="44">
        <f t="shared" si="0"/>
        <v>0</v>
      </c>
      <c r="O4" s="44">
        <f>SUM(C4:N4)</f>
        <v>19.689</v>
      </c>
      <c r="P4" s="45">
        <f t="shared" ref="P4:P67" si="1">IFERROR(O4/B4,)</f>
        <v>0.113363657300783</v>
      </c>
    </row>
    <row r="5" customHeight="1" spans="1:16">
      <c r="A5" s="44" t="s">
        <v>63</v>
      </c>
      <c r="B5" s="44">
        <f>SUM(B6:B11)</f>
        <v>42.48</v>
      </c>
      <c r="C5" s="44">
        <f t="shared" ref="C5:N5" si="2">SUM(C6:C11)</f>
        <v>3.5245</v>
      </c>
      <c r="D5" s="44">
        <f t="shared" si="2"/>
        <v>3.6045</v>
      </c>
      <c r="E5" s="44">
        <f t="shared" si="2"/>
        <v>3.35</v>
      </c>
      <c r="F5" s="44">
        <f t="shared" si="2"/>
        <v>3.41</v>
      </c>
      <c r="G5" s="44">
        <f t="shared" si="2"/>
        <v>0</v>
      </c>
      <c r="H5" s="44">
        <f t="shared" si="2"/>
        <v>0</v>
      </c>
      <c r="I5" s="44">
        <f t="shared" si="2"/>
        <v>0</v>
      </c>
      <c r="J5" s="44">
        <f t="shared" si="2"/>
        <v>0</v>
      </c>
      <c r="K5" s="44">
        <f t="shared" si="2"/>
        <v>0</v>
      </c>
      <c r="L5" s="44">
        <f t="shared" si="2"/>
        <v>0</v>
      </c>
      <c r="M5" s="44">
        <f t="shared" si="2"/>
        <v>0</v>
      </c>
      <c r="N5" s="44">
        <f t="shared" si="2"/>
        <v>0</v>
      </c>
      <c r="O5" s="44">
        <f t="shared" ref="O5:O36" si="3">SUM(C5:N5)</f>
        <v>13.889</v>
      </c>
      <c r="P5" s="45">
        <f t="shared" si="1"/>
        <v>0.326953860640301</v>
      </c>
    </row>
    <row r="6" customHeight="1" spans="1:16">
      <c r="A6" s="46" t="s">
        <v>64</v>
      </c>
      <c r="B6" s="47">
        <v>31.08</v>
      </c>
      <c r="C6" s="47">
        <v>2.64</v>
      </c>
      <c r="D6" s="47">
        <v>2.72</v>
      </c>
      <c r="E6" s="47">
        <v>2.47</v>
      </c>
      <c r="F6" s="47">
        <v>2.53</v>
      </c>
      <c r="G6" s="47"/>
      <c r="H6" s="47"/>
      <c r="I6" s="47"/>
      <c r="J6" s="48"/>
      <c r="K6" s="47"/>
      <c r="L6" s="48"/>
      <c r="M6" s="47"/>
      <c r="N6" s="47"/>
      <c r="O6" s="49">
        <f t="shared" si="3"/>
        <v>10.36</v>
      </c>
      <c r="P6" s="50">
        <f t="shared" si="1"/>
        <v>0.333333333333333</v>
      </c>
    </row>
    <row r="7" customHeight="1" spans="1:16">
      <c r="A7" s="46" t="s">
        <v>65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9">
        <f t="shared" si="3"/>
        <v>0</v>
      </c>
      <c r="P7" s="50">
        <f t="shared" si="1"/>
        <v>0</v>
      </c>
    </row>
    <row r="8" customHeight="1" spans="1:16">
      <c r="A8" s="46" t="s">
        <v>66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9">
        <f t="shared" si="3"/>
        <v>0</v>
      </c>
      <c r="P8" s="50">
        <f t="shared" si="1"/>
        <v>0</v>
      </c>
    </row>
    <row r="9" customHeight="1" spans="1:16">
      <c r="A9" s="46" t="s">
        <v>67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9">
        <f t="shared" si="3"/>
        <v>0</v>
      </c>
      <c r="P9" s="50">
        <f t="shared" si="1"/>
        <v>0</v>
      </c>
    </row>
    <row r="10" customHeight="1" spans="1:16">
      <c r="A10" s="46" t="s">
        <v>68</v>
      </c>
      <c r="B10" s="47">
        <v>9</v>
      </c>
      <c r="C10" s="47">
        <v>0.6945</v>
      </c>
      <c r="D10" s="47">
        <v>0.6945</v>
      </c>
      <c r="E10" s="47">
        <v>0.69</v>
      </c>
      <c r="F10" s="47">
        <v>0.69</v>
      </c>
      <c r="G10" s="47"/>
      <c r="H10" s="47"/>
      <c r="I10" s="47"/>
      <c r="J10" s="47"/>
      <c r="K10" s="47"/>
      <c r="L10" s="47"/>
      <c r="M10" s="47"/>
      <c r="N10" s="47"/>
      <c r="O10" s="49">
        <f t="shared" si="3"/>
        <v>2.769</v>
      </c>
      <c r="P10" s="50">
        <f t="shared" si="1"/>
        <v>0.307666666666667</v>
      </c>
    </row>
    <row r="11" customHeight="1" spans="1:16">
      <c r="A11" s="46" t="s">
        <v>69</v>
      </c>
      <c r="B11" s="47">
        <v>2.4</v>
      </c>
      <c r="C11" s="47">
        <v>0.19</v>
      </c>
      <c r="D11" s="47">
        <v>0.19</v>
      </c>
      <c r="E11" s="47">
        <v>0.19</v>
      </c>
      <c r="F11" s="47">
        <v>0.19</v>
      </c>
      <c r="G11" s="47"/>
      <c r="H11" s="47"/>
      <c r="I11" s="47"/>
      <c r="J11" s="48"/>
      <c r="K11" s="47"/>
      <c r="L11" s="48"/>
      <c r="M11" s="47"/>
      <c r="N11" s="47"/>
      <c r="O11" s="49">
        <f t="shared" si="3"/>
        <v>0.76</v>
      </c>
      <c r="P11" s="50">
        <f t="shared" si="1"/>
        <v>0.316666666666667</v>
      </c>
    </row>
    <row r="12" customHeight="1" spans="1:16">
      <c r="A12" s="44" t="s">
        <v>70</v>
      </c>
      <c r="B12" s="44">
        <f>SUM(B13:B43)</f>
        <v>131.2</v>
      </c>
      <c r="C12" s="44">
        <f t="shared" ref="C12:N12" si="4">SUM(C13:C43)</f>
        <v>0</v>
      </c>
      <c r="D12" s="44">
        <f t="shared" si="4"/>
        <v>0</v>
      </c>
      <c r="E12" s="44">
        <f t="shared" si="4"/>
        <v>5.68</v>
      </c>
      <c r="F12" s="44">
        <f t="shared" si="4"/>
        <v>0.12</v>
      </c>
      <c r="G12" s="44">
        <f t="shared" si="4"/>
        <v>0</v>
      </c>
      <c r="H12" s="44">
        <f t="shared" si="4"/>
        <v>0</v>
      </c>
      <c r="I12" s="44">
        <f t="shared" si="4"/>
        <v>0</v>
      </c>
      <c r="J12" s="44">
        <f t="shared" si="4"/>
        <v>0</v>
      </c>
      <c r="K12" s="44">
        <f t="shared" si="4"/>
        <v>0</v>
      </c>
      <c r="L12" s="44">
        <f t="shared" si="4"/>
        <v>0</v>
      </c>
      <c r="M12" s="44">
        <f t="shared" si="4"/>
        <v>0</v>
      </c>
      <c r="N12" s="44">
        <f t="shared" si="4"/>
        <v>0</v>
      </c>
      <c r="O12" s="44">
        <f t="shared" si="3"/>
        <v>5.8</v>
      </c>
      <c r="P12" s="45">
        <f t="shared" si="1"/>
        <v>0.0442073170731707</v>
      </c>
    </row>
    <row r="13" customHeight="1" spans="1:16">
      <c r="A13" s="46" t="s">
        <v>71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9">
        <f t="shared" si="3"/>
        <v>0</v>
      </c>
      <c r="P13" s="50">
        <f t="shared" si="1"/>
        <v>0</v>
      </c>
    </row>
    <row r="14" customHeight="1" spans="1:16">
      <c r="A14" s="46" t="s">
        <v>72</v>
      </c>
      <c r="B14" s="47">
        <v>1</v>
      </c>
      <c r="C14" s="47">
        <v>0</v>
      </c>
      <c r="D14" s="47">
        <v>0</v>
      </c>
      <c r="E14" s="47">
        <v>0</v>
      </c>
      <c r="F14" s="47">
        <v>0</v>
      </c>
      <c r="G14" s="47"/>
      <c r="H14" s="47"/>
      <c r="I14" s="47"/>
      <c r="J14" s="47"/>
      <c r="K14" s="47"/>
      <c r="L14" s="47"/>
      <c r="M14" s="47"/>
      <c r="N14" s="47"/>
      <c r="O14" s="49">
        <f t="shared" si="3"/>
        <v>0</v>
      </c>
      <c r="P14" s="50">
        <f t="shared" si="1"/>
        <v>0</v>
      </c>
    </row>
    <row r="15" customHeight="1" spans="1:16">
      <c r="A15" s="46" t="s">
        <v>73</v>
      </c>
      <c r="B15" s="47">
        <v>4</v>
      </c>
      <c r="C15" s="47">
        <v>0</v>
      </c>
      <c r="D15" s="47">
        <v>0</v>
      </c>
      <c r="E15" s="47">
        <v>0</v>
      </c>
      <c r="F15" s="47">
        <v>0.12</v>
      </c>
      <c r="G15" s="47"/>
      <c r="H15" s="47"/>
      <c r="I15" s="47"/>
      <c r="J15" s="47"/>
      <c r="K15" s="47"/>
      <c r="L15" s="47"/>
      <c r="M15" s="47"/>
      <c r="N15" s="47"/>
      <c r="O15" s="49">
        <f t="shared" si="3"/>
        <v>0.12</v>
      </c>
      <c r="P15" s="50">
        <f t="shared" si="1"/>
        <v>0.03</v>
      </c>
    </row>
    <row r="16" customHeight="1" spans="1:16">
      <c r="A16" s="46" t="s">
        <v>74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9">
        <f t="shared" si="3"/>
        <v>0</v>
      </c>
      <c r="P16" s="50">
        <f t="shared" si="1"/>
        <v>0</v>
      </c>
    </row>
    <row r="17" customHeight="1" spans="1:16">
      <c r="A17" s="46" t="s">
        <v>75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9">
        <f t="shared" si="3"/>
        <v>0</v>
      </c>
      <c r="P17" s="50">
        <f t="shared" si="1"/>
        <v>0</v>
      </c>
    </row>
    <row r="18" customHeight="1" spans="1:16">
      <c r="A18" s="46" t="s">
        <v>76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9">
        <f t="shared" si="3"/>
        <v>0</v>
      </c>
      <c r="P18" s="50">
        <f t="shared" si="1"/>
        <v>0</v>
      </c>
    </row>
    <row r="19" customHeight="1" spans="1:16">
      <c r="A19" s="46" t="s">
        <v>77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9">
        <f t="shared" si="3"/>
        <v>0</v>
      </c>
      <c r="P19" s="50">
        <f t="shared" si="1"/>
        <v>0</v>
      </c>
    </row>
    <row r="20" customHeight="1" spans="1:16">
      <c r="A20" s="46" t="s">
        <v>78</v>
      </c>
      <c r="B20" s="47">
        <v>0.1</v>
      </c>
      <c r="C20" s="47">
        <v>0</v>
      </c>
      <c r="D20" s="47">
        <v>0</v>
      </c>
      <c r="E20" s="47">
        <v>0</v>
      </c>
      <c r="F20" s="47">
        <v>0</v>
      </c>
      <c r="G20" s="47"/>
      <c r="H20" s="47"/>
      <c r="I20" s="47"/>
      <c r="J20" s="47"/>
      <c r="K20" s="47"/>
      <c r="L20" s="47"/>
      <c r="M20" s="47"/>
      <c r="N20" s="47"/>
      <c r="O20" s="49">
        <f t="shared" si="3"/>
        <v>0</v>
      </c>
      <c r="P20" s="50">
        <f t="shared" si="1"/>
        <v>0</v>
      </c>
    </row>
    <row r="21" customHeight="1" spans="1:16">
      <c r="A21" s="46" t="s">
        <v>79</v>
      </c>
      <c r="B21" s="47">
        <v>0.1</v>
      </c>
      <c r="C21" s="47">
        <v>0</v>
      </c>
      <c r="D21" s="47">
        <v>0</v>
      </c>
      <c r="E21" s="47">
        <v>0.01</v>
      </c>
      <c r="F21" s="47">
        <v>0</v>
      </c>
      <c r="G21" s="47"/>
      <c r="H21" s="47"/>
      <c r="I21" s="47"/>
      <c r="J21" s="47"/>
      <c r="K21" s="47"/>
      <c r="L21" s="47"/>
      <c r="M21" s="47"/>
      <c r="N21" s="47"/>
      <c r="O21" s="49">
        <f t="shared" si="3"/>
        <v>0.01</v>
      </c>
      <c r="P21" s="50">
        <f t="shared" si="1"/>
        <v>0.1</v>
      </c>
    </row>
    <row r="22" customHeight="1" spans="1:16">
      <c r="A22" s="46" t="s">
        <v>80</v>
      </c>
      <c r="B22" s="47">
        <v>3</v>
      </c>
      <c r="C22" s="47">
        <v>0</v>
      </c>
      <c r="D22" s="47">
        <v>0</v>
      </c>
      <c r="E22" s="47">
        <v>0</v>
      </c>
      <c r="F22" s="47">
        <v>0</v>
      </c>
      <c r="G22" s="47"/>
      <c r="H22" s="47"/>
      <c r="I22" s="47"/>
      <c r="J22" s="47"/>
      <c r="K22" s="47"/>
      <c r="L22" s="47"/>
      <c r="M22" s="47"/>
      <c r="N22" s="47"/>
      <c r="O22" s="49">
        <f t="shared" si="3"/>
        <v>0</v>
      </c>
      <c r="P22" s="50">
        <f t="shared" si="1"/>
        <v>0</v>
      </c>
    </row>
    <row r="23" customHeight="1" spans="1:16">
      <c r="A23" s="46" t="s">
        <v>81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9">
        <f t="shared" si="3"/>
        <v>0</v>
      </c>
      <c r="P23" s="50">
        <f t="shared" si="1"/>
        <v>0</v>
      </c>
    </row>
    <row r="24" customHeight="1" spans="1:16">
      <c r="A24" s="46" t="s">
        <v>82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9">
        <f t="shared" si="3"/>
        <v>0</v>
      </c>
      <c r="P24" s="50">
        <f t="shared" si="1"/>
        <v>0</v>
      </c>
    </row>
    <row r="25" customHeight="1" spans="1:16">
      <c r="A25" s="46" t="s">
        <v>83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9">
        <f t="shared" si="3"/>
        <v>0</v>
      </c>
      <c r="P25" s="50">
        <f t="shared" si="1"/>
        <v>0</v>
      </c>
    </row>
    <row r="26" customHeight="1" spans="1:16">
      <c r="A26" s="46" t="s">
        <v>84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9">
        <f t="shared" si="3"/>
        <v>0</v>
      </c>
      <c r="P26" s="50">
        <f t="shared" si="1"/>
        <v>0</v>
      </c>
    </row>
    <row r="27" customHeight="1" spans="1:16">
      <c r="A27" s="46" t="s">
        <v>85</v>
      </c>
      <c r="B27" s="47">
        <v>13</v>
      </c>
      <c r="C27" s="47">
        <v>0</v>
      </c>
      <c r="D27" s="47">
        <v>0</v>
      </c>
      <c r="E27" s="47">
        <v>5.67</v>
      </c>
      <c r="F27" s="47">
        <v>0</v>
      </c>
      <c r="G27" s="47"/>
      <c r="H27" s="47"/>
      <c r="I27" s="47"/>
      <c r="J27" s="47"/>
      <c r="K27" s="47"/>
      <c r="L27" s="47"/>
      <c r="M27" s="47"/>
      <c r="N27" s="47"/>
      <c r="O27" s="49">
        <f t="shared" si="3"/>
        <v>5.67</v>
      </c>
      <c r="P27" s="50">
        <f t="shared" si="1"/>
        <v>0.436153846153846</v>
      </c>
    </row>
    <row r="28" customHeight="1" spans="1:16">
      <c r="A28" s="46" t="s">
        <v>86</v>
      </c>
      <c r="B28" s="47">
        <v>110</v>
      </c>
      <c r="C28" s="47">
        <v>0</v>
      </c>
      <c r="D28" s="47">
        <v>0</v>
      </c>
      <c r="E28" s="47">
        <v>0</v>
      </c>
      <c r="F28" s="47">
        <v>0</v>
      </c>
      <c r="G28" s="47"/>
      <c r="H28" s="47"/>
      <c r="I28" s="47"/>
      <c r="J28" s="47"/>
      <c r="K28" s="47"/>
      <c r="L28" s="47"/>
      <c r="M28" s="47"/>
      <c r="N28" s="47"/>
      <c r="O28" s="49">
        <f t="shared" si="3"/>
        <v>0</v>
      </c>
      <c r="P28" s="50">
        <f t="shared" si="1"/>
        <v>0</v>
      </c>
    </row>
    <row r="29" customHeight="1" spans="1:16">
      <c r="A29" s="46" t="s">
        <v>87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9">
        <f t="shared" si="3"/>
        <v>0</v>
      </c>
      <c r="P29" s="50">
        <f t="shared" si="1"/>
        <v>0</v>
      </c>
    </row>
    <row r="30" customHeight="1" spans="1:16">
      <c r="A30" s="46" t="s">
        <v>88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9">
        <f t="shared" si="3"/>
        <v>0</v>
      </c>
      <c r="P30" s="50">
        <f t="shared" si="1"/>
        <v>0</v>
      </c>
    </row>
    <row r="31" customHeight="1" spans="1:16">
      <c r="A31" s="46" t="s">
        <v>89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9">
        <f t="shared" si="3"/>
        <v>0</v>
      </c>
      <c r="P31" s="50">
        <f t="shared" si="1"/>
        <v>0</v>
      </c>
    </row>
    <row r="32" customHeight="1" spans="1:16">
      <c r="A32" s="46" t="s">
        <v>90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9">
        <f t="shared" si="3"/>
        <v>0</v>
      </c>
      <c r="P32" s="50">
        <f t="shared" si="1"/>
        <v>0</v>
      </c>
    </row>
    <row r="33" customHeight="1" spans="1:16">
      <c r="A33" s="46" t="s">
        <v>91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9">
        <f t="shared" si="3"/>
        <v>0</v>
      </c>
      <c r="P33" s="50">
        <f t="shared" si="1"/>
        <v>0</v>
      </c>
    </row>
    <row r="34" customHeight="1" spans="1:16">
      <c r="A34" s="46" t="s">
        <v>92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9">
        <f t="shared" si="3"/>
        <v>0</v>
      </c>
      <c r="P34" s="50">
        <f t="shared" si="1"/>
        <v>0</v>
      </c>
    </row>
    <row r="35" customHeight="1" spans="1:16">
      <c r="A35" s="46" t="s">
        <v>93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9">
        <f t="shared" si="3"/>
        <v>0</v>
      </c>
      <c r="P35" s="50">
        <f t="shared" si="1"/>
        <v>0</v>
      </c>
    </row>
    <row r="36" customHeight="1" spans="1:16">
      <c r="A36" s="46" t="s">
        <v>94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9">
        <f t="shared" si="3"/>
        <v>0</v>
      </c>
      <c r="P36" s="50">
        <f t="shared" si="1"/>
        <v>0</v>
      </c>
    </row>
    <row r="37" customHeight="1" spans="1:16">
      <c r="A37" s="46" t="s">
        <v>95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9">
        <f t="shared" ref="O37:O83" si="5">SUM(C37:N37)</f>
        <v>0</v>
      </c>
      <c r="P37" s="50">
        <f t="shared" si="1"/>
        <v>0</v>
      </c>
    </row>
    <row r="38" customHeight="1" spans="1:16">
      <c r="A38" s="46" t="s">
        <v>96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9">
        <f t="shared" si="5"/>
        <v>0</v>
      </c>
      <c r="P38" s="50">
        <f t="shared" si="1"/>
        <v>0</v>
      </c>
    </row>
    <row r="39" customHeight="1" spans="1:16">
      <c r="A39" s="46" t="s">
        <v>97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9">
        <f t="shared" si="5"/>
        <v>0</v>
      </c>
      <c r="P39" s="50">
        <f t="shared" si="1"/>
        <v>0</v>
      </c>
    </row>
    <row r="40" customHeight="1" spans="1:16">
      <c r="A40" s="46" t="s">
        <v>98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9">
        <f t="shared" si="5"/>
        <v>0</v>
      </c>
      <c r="P40" s="50">
        <f t="shared" si="1"/>
        <v>0</v>
      </c>
    </row>
    <row r="41" customHeight="1" spans="1:16">
      <c r="A41" s="46" t="s">
        <v>99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9">
        <f t="shared" si="5"/>
        <v>0</v>
      </c>
      <c r="P41" s="50">
        <f t="shared" si="1"/>
        <v>0</v>
      </c>
    </row>
    <row r="42" customHeight="1" spans="1:16">
      <c r="A42" s="46" t="s">
        <v>100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9">
        <f t="shared" si="5"/>
        <v>0</v>
      </c>
      <c r="P42" s="50">
        <f t="shared" si="1"/>
        <v>0</v>
      </c>
    </row>
    <row r="43" customHeight="1" spans="1:16">
      <c r="A43" s="46" t="s">
        <v>101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9">
        <f t="shared" si="5"/>
        <v>0</v>
      </c>
      <c r="P43" s="50">
        <f t="shared" si="1"/>
        <v>0</v>
      </c>
    </row>
    <row r="44" customHeight="1" spans="1:16">
      <c r="A44" s="51" t="s">
        <v>30</v>
      </c>
      <c r="B44" s="44">
        <f>B45+B78</f>
        <v>0</v>
      </c>
      <c r="C44" s="44">
        <f t="shared" ref="C44:N44" si="6">C45+C78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6"/>
        <v>0</v>
      </c>
      <c r="O44" s="44">
        <f t="shared" si="5"/>
        <v>0</v>
      </c>
      <c r="P44" s="45">
        <f t="shared" si="1"/>
        <v>0</v>
      </c>
    </row>
    <row r="45" customHeight="1" spans="1:16">
      <c r="A45" s="44" t="s">
        <v>102</v>
      </c>
      <c r="B45" s="44">
        <f>SUM(B46:B77)</f>
        <v>0</v>
      </c>
      <c r="C45" s="44">
        <f t="shared" ref="C45:N45" si="7">SUM(C46:C77)</f>
        <v>0</v>
      </c>
      <c r="D45" s="44">
        <f t="shared" si="7"/>
        <v>0</v>
      </c>
      <c r="E45" s="44">
        <f t="shared" si="7"/>
        <v>0</v>
      </c>
      <c r="F45" s="44">
        <f t="shared" si="7"/>
        <v>0</v>
      </c>
      <c r="G45" s="44">
        <f t="shared" si="7"/>
        <v>0</v>
      </c>
      <c r="H45" s="44">
        <f t="shared" si="7"/>
        <v>0</v>
      </c>
      <c r="I45" s="44">
        <f t="shared" si="7"/>
        <v>0</v>
      </c>
      <c r="J45" s="44">
        <f t="shared" si="7"/>
        <v>0</v>
      </c>
      <c r="K45" s="44">
        <f t="shared" si="7"/>
        <v>0</v>
      </c>
      <c r="L45" s="44">
        <f t="shared" si="7"/>
        <v>0</v>
      </c>
      <c r="M45" s="44">
        <f t="shared" si="7"/>
        <v>0</v>
      </c>
      <c r="N45" s="44">
        <f t="shared" si="7"/>
        <v>0</v>
      </c>
      <c r="O45" s="44">
        <f t="shared" si="5"/>
        <v>0</v>
      </c>
      <c r="P45" s="45">
        <f t="shared" si="1"/>
        <v>0</v>
      </c>
    </row>
    <row r="46" customHeight="1" spans="1:16">
      <c r="A46" s="46" t="s">
        <v>71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9">
        <f t="shared" si="5"/>
        <v>0</v>
      </c>
      <c r="P46" s="50">
        <f t="shared" si="1"/>
        <v>0</v>
      </c>
    </row>
    <row r="47" customHeight="1" spans="1:16">
      <c r="A47" s="46" t="s">
        <v>72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9">
        <f t="shared" si="5"/>
        <v>0</v>
      </c>
      <c r="P47" s="50">
        <f t="shared" si="1"/>
        <v>0</v>
      </c>
    </row>
    <row r="48" customHeight="1" spans="1:16">
      <c r="A48" s="46" t="s">
        <v>73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9">
        <f t="shared" si="5"/>
        <v>0</v>
      </c>
      <c r="P48" s="50">
        <f t="shared" si="1"/>
        <v>0</v>
      </c>
    </row>
    <row r="49" customHeight="1" spans="1:16">
      <c r="A49" s="46" t="s">
        <v>74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9">
        <f t="shared" si="5"/>
        <v>0</v>
      </c>
      <c r="P49" s="50">
        <f t="shared" si="1"/>
        <v>0</v>
      </c>
    </row>
    <row r="50" customHeight="1" spans="1:16">
      <c r="A50" s="46" t="s">
        <v>75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9">
        <f t="shared" si="5"/>
        <v>0</v>
      </c>
      <c r="P50" s="50">
        <f t="shared" si="1"/>
        <v>0</v>
      </c>
    </row>
    <row r="51" customHeight="1" spans="1:16">
      <c r="A51" s="46" t="s">
        <v>76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9">
        <f t="shared" si="5"/>
        <v>0</v>
      </c>
      <c r="P51" s="50">
        <f t="shared" si="1"/>
        <v>0</v>
      </c>
    </row>
    <row r="52" customHeight="1" spans="1:16">
      <c r="A52" s="46" t="s">
        <v>77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9">
        <f t="shared" si="5"/>
        <v>0</v>
      </c>
      <c r="P52" s="50">
        <f t="shared" si="1"/>
        <v>0</v>
      </c>
    </row>
    <row r="53" customHeight="1" spans="1:16">
      <c r="A53" s="46" t="s">
        <v>78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9">
        <f t="shared" si="5"/>
        <v>0</v>
      </c>
      <c r="P53" s="50">
        <f t="shared" si="1"/>
        <v>0</v>
      </c>
    </row>
    <row r="54" customHeight="1" spans="1:16">
      <c r="A54" s="46" t="s">
        <v>79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9">
        <f t="shared" si="5"/>
        <v>0</v>
      </c>
      <c r="P54" s="50">
        <f t="shared" si="1"/>
        <v>0</v>
      </c>
    </row>
    <row r="55" customHeight="1" spans="1:16">
      <c r="A55" s="46" t="s">
        <v>80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9">
        <f t="shared" si="5"/>
        <v>0</v>
      </c>
      <c r="P55" s="50">
        <f t="shared" si="1"/>
        <v>0</v>
      </c>
    </row>
    <row r="56" customHeight="1" spans="1:16">
      <c r="A56" s="46" t="s">
        <v>81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9">
        <f t="shared" si="5"/>
        <v>0</v>
      </c>
      <c r="P56" s="50">
        <f t="shared" si="1"/>
        <v>0</v>
      </c>
    </row>
    <row r="57" customHeight="1" spans="1:16">
      <c r="A57" s="46" t="s">
        <v>82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9">
        <f t="shared" si="5"/>
        <v>0</v>
      </c>
      <c r="P57" s="50">
        <f t="shared" si="1"/>
        <v>0</v>
      </c>
    </row>
    <row r="58" customHeight="1" spans="1:16">
      <c r="A58" s="46" t="s">
        <v>83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9">
        <f t="shared" si="5"/>
        <v>0</v>
      </c>
      <c r="P58" s="50">
        <f t="shared" si="1"/>
        <v>0</v>
      </c>
    </row>
    <row r="59" customHeight="1" spans="1:16">
      <c r="A59" s="46" t="s">
        <v>84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9">
        <f t="shared" si="5"/>
        <v>0</v>
      </c>
      <c r="P59" s="50">
        <f t="shared" si="1"/>
        <v>0</v>
      </c>
    </row>
    <row r="60" customHeight="1" spans="1:16">
      <c r="A60" s="46" t="s">
        <v>85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9">
        <f t="shared" si="5"/>
        <v>0</v>
      </c>
      <c r="P60" s="50">
        <f t="shared" si="1"/>
        <v>0</v>
      </c>
    </row>
    <row r="61" customHeight="1" spans="1:16">
      <c r="A61" s="46" t="s">
        <v>86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9">
        <f t="shared" si="5"/>
        <v>0</v>
      </c>
      <c r="P61" s="50">
        <f t="shared" si="1"/>
        <v>0</v>
      </c>
    </row>
    <row r="62" customHeight="1" spans="1:16">
      <c r="A62" s="46" t="s">
        <v>87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9">
        <f t="shared" si="5"/>
        <v>0</v>
      </c>
      <c r="P62" s="50">
        <f t="shared" si="1"/>
        <v>0</v>
      </c>
    </row>
    <row r="63" customHeight="1" spans="1:16">
      <c r="A63" s="46" t="s">
        <v>88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9">
        <f t="shared" si="5"/>
        <v>0</v>
      </c>
      <c r="P63" s="50">
        <f t="shared" si="1"/>
        <v>0</v>
      </c>
    </row>
    <row r="64" customHeight="1" spans="1:16">
      <c r="A64" s="46" t="s">
        <v>89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9">
        <f t="shared" si="5"/>
        <v>0</v>
      </c>
      <c r="P64" s="50">
        <f t="shared" si="1"/>
        <v>0</v>
      </c>
    </row>
    <row r="65" customHeight="1" spans="1:16">
      <c r="A65" s="46" t="s">
        <v>90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9">
        <f t="shared" si="5"/>
        <v>0</v>
      </c>
      <c r="P65" s="50">
        <f t="shared" si="1"/>
        <v>0</v>
      </c>
    </row>
    <row r="66" customHeight="1" spans="1:16">
      <c r="A66" s="46" t="s">
        <v>67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9">
        <f t="shared" si="5"/>
        <v>0</v>
      </c>
      <c r="P66" s="50">
        <f t="shared" si="1"/>
        <v>0</v>
      </c>
    </row>
    <row r="67" customHeight="1" spans="1:16">
      <c r="A67" s="46" t="s">
        <v>91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9">
        <f t="shared" si="5"/>
        <v>0</v>
      </c>
      <c r="P67" s="50">
        <f t="shared" si="1"/>
        <v>0</v>
      </c>
    </row>
    <row r="68" customHeight="1" spans="1:16">
      <c r="A68" s="46" t="s">
        <v>92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9">
        <f t="shared" si="5"/>
        <v>0</v>
      </c>
      <c r="P68" s="50">
        <f t="shared" ref="P68:P83" si="8">IFERROR(O68/B68,)</f>
        <v>0</v>
      </c>
    </row>
    <row r="69" customHeight="1" spans="1:16">
      <c r="A69" s="46" t="s">
        <v>93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9">
        <f t="shared" si="5"/>
        <v>0</v>
      </c>
      <c r="P69" s="50">
        <f t="shared" si="8"/>
        <v>0</v>
      </c>
    </row>
    <row r="70" customHeight="1" spans="1:16">
      <c r="A70" s="46" t="s">
        <v>94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9">
        <f t="shared" si="5"/>
        <v>0</v>
      </c>
      <c r="P70" s="50">
        <f t="shared" si="8"/>
        <v>0</v>
      </c>
    </row>
    <row r="71" customHeight="1" spans="1:16">
      <c r="A71" s="46" t="s">
        <v>95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9">
        <f t="shared" si="5"/>
        <v>0</v>
      </c>
      <c r="P71" s="50">
        <f t="shared" si="8"/>
        <v>0</v>
      </c>
    </row>
    <row r="72" customHeight="1" spans="1:16">
      <c r="A72" s="46" t="s">
        <v>96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9">
        <f t="shared" si="5"/>
        <v>0</v>
      </c>
      <c r="P72" s="50">
        <f t="shared" si="8"/>
        <v>0</v>
      </c>
    </row>
    <row r="73" customHeight="1" spans="1:16">
      <c r="A73" s="46" t="s">
        <v>97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9">
        <f t="shared" si="5"/>
        <v>0</v>
      </c>
      <c r="P73" s="50">
        <f t="shared" si="8"/>
        <v>0</v>
      </c>
    </row>
    <row r="74" customHeight="1" spans="1:16">
      <c r="A74" s="46" t="s">
        <v>98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9">
        <f t="shared" si="5"/>
        <v>0</v>
      </c>
      <c r="P74" s="50">
        <f t="shared" si="8"/>
        <v>0</v>
      </c>
    </row>
    <row r="75" customHeight="1" spans="1:16">
      <c r="A75" s="46" t="s">
        <v>99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9">
        <f t="shared" si="5"/>
        <v>0</v>
      </c>
      <c r="P75" s="50">
        <f t="shared" si="8"/>
        <v>0</v>
      </c>
    </row>
    <row r="76" customHeight="1" spans="1:16">
      <c r="A76" s="46" t="s">
        <v>100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52"/>
      <c r="M76" s="47"/>
      <c r="N76" s="47"/>
      <c r="O76" s="49">
        <f t="shared" si="5"/>
        <v>0</v>
      </c>
      <c r="P76" s="50">
        <f t="shared" si="8"/>
        <v>0</v>
      </c>
    </row>
    <row r="77" customHeight="1" spans="1:16">
      <c r="A77" s="46" t="s">
        <v>101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9">
        <f t="shared" si="5"/>
        <v>0</v>
      </c>
      <c r="P77" s="50">
        <f t="shared" si="8"/>
        <v>0</v>
      </c>
    </row>
    <row r="78" customHeight="1" spans="1:16">
      <c r="A78" s="44" t="s">
        <v>103</v>
      </c>
      <c r="B78" s="44">
        <f>SUM(B79:B83)</f>
        <v>0</v>
      </c>
      <c r="C78" s="44">
        <f t="shared" ref="C78:N78" si="9">SUM(C79:C83)</f>
        <v>0</v>
      </c>
      <c r="D78" s="44">
        <f t="shared" si="9"/>
        <v>0</v>
      </c>
      <c r="E78" s="44">
        <f t="shared" si="9"/>
        <v>0</v>
      </c>
      <c r="F78" s="44">
        <f t="shared" si="9"/>
        <v>0</v>
      </c>
      <c r="G78" s="44">
        <f t="shared" si="9"/>
        <v>0</v>
      </c>
      <c r="H78" s="44">
        <f t="shared" si="9"/>
        <v>0</v>
      </c>
      <c r="I78" s="44">
        <f t="shared" si="9"/>
        <v>0</v>
      </c>
      <c r="J78" s="44">
        <f t="shared" si="9"/>
        <v>0</v>
      </c>
      <c r="K78" s="44">
        <f t="shared" si="9"/>
        <v>0</v>
      </c>
      <c r="L78" s="44">
        <f t="shared" si="9"/>
        <v>0</v>
      </c>
      <c r="M78" s="44">
        <f t="shared" si="9"/>
        <v>0</v>
      </c>
      <c r="N78" s="44">
        <f t="shared" si="9"/>
        <v>0</v>
      </c>
      <c r="O78" s="44">
        <f t="shared" si="5"/>
        <v>0</v>
      </c>
      <c r="P78" s="45">
        <f t="shared" si="8"/>
        <v>0</v>
      </c>
    </row>
    <row r="79" customHeight="1" spans="1:16">
      <c r="A79" s="46" t="s">
        <v>104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52"/>
      <c r="M79" s="47"/>
      <c r="N79" s="47"/>
      <c r="O79" s="44">
        <f t="shared" si="5"/>
        <v>0</v>
      </c>
      <c r="P79" s="50"/>
    </row>
    <row r="80" customHeight="1" spans="1:16">
      <c r="A80" s="46" t="s">
        <v>105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9">
        <f t="shared" si="5"/>
        <v>0</v>
      </c>
      <c r="P80" s="50">
        <f t="shared" si="8"/>
        <v>0</v>
      </c>
    </row>
    <row r="81" customHeight="1" spans="1:16">
      <c r="A81" s="46" t="s">
        <v>106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9">
        <f t="shared" si="5"/>
        <v>0</v>
      </c>
      <c r="P81" s="50">
        <f t="shared" si="8"/>
        <v>0</v>
      </c>
    </row>
    <row r="82" customHeight="1" spans="1:16">
      <c r="A82" s="46" t="s">
        <v>107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9">
        <f t="shared" si="5"/>
        <v>0</v>
      </c>
      <c r="P82" s="50">
        <f t="shared" si="8"/>
        <v>0</v>
      </c>
    </row>
    <row r="83" customHeight="1" spans="1:16">
      <c r="A83" s="46" t="s">
        <v>108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9">
        <f t="shared" si="5"/>
        <v>0</v>
      </c>
      <c r="P83" s="50">
        <f t="shared" si="8"/>
        <v>0</v>
      </c>
    </row>
    <row r="85" customHeight="1" spans="1:16">
      <c r="A85" s="12" t="s">
        <v>109</v>
      </c>
      <c r="B85" s="13"/>
    </row>
  </sheetData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91" fitToHeight="0" orientation="landscape"/>
  <headerFooter/>
  <ignoredErrors>
    <ignoredError sqref="O2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H7" sqref="H7"/>
    </sheetView>
  </sheetViews>
  <sheetFormatPr defaultColWidth="8.89090909090909" defaultRowHeight="14"/>
  <cols>
    <col min="1" max="1" width="23" style="18" customWidth="1"/>
    <col min="2" max="2" width="11.8181818181818" style="18" customWidth="1"/>
    <col min="3" max="3" width="7.54545454545455" customWidth="1"/>
    <col min="4" max="4" width="6.54545454545455" customWidth="1"/>
    <col min="5" max="5" width="7.54545454545455" customWidth="1"/>
    <col min="6" max="6" width="7.90909090909091" customWidth="1"/>
    <col min="7" max="8" width="6.54545454545455" customWidth="1"/>
    <col min="9" max="12" width="8.54545454545454" customWidth="1"/>
    <col min="13" max="14" width="6.54545454545455" customWidth="1"/>
    <col min="15" max="15" width="11.4545454545455" style="18" customWidth="1"/>
    <col min="16" max="16" width="7.27272727272727" style="19" customWidth="1"/>
    <col min="17" max="16384" width="8.89090909090909" style="17"/>
  </cols>
  <sheetData>
    <row r="1" s="14" customFormat="1" ht="15" spans="1:16">
      <c r="A1" s="20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="15" customFormat="1" ht="15" spans="1:16">
      <c r="A2" s="21" t="s">
        <v>2</v>
      </c>
      <c r="B2" s="22" t="s">
        <v>3</v>
      </c>
      <c r="C2" s="23" t="s">
        <v>62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 t="s">
        <v>5</v>
      </c>
      <c r="P2" s="25" t="s">
        <v>6</v>
      </c>
    </row>
    <row r="3" s="16" customFormat="1" ht="13" spans="1:16">
      <c r="A3" s="21"/>
      <c r="B3" s="22"/>
      <c r="C3" s="24" t="s">
        <v>8</v>
      </c>
      <c r="D3" s="24" t="s">
        <v>9</v>
      </c>
      <c r="E3" s="24" t="s">
        <v>10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24" t="s">
        <v>17</v>
      </c>
      <c r="M3" s="24" t="s">
        <v>18</v>
      </c>
      <c r="N3" s="24" t="s">
        <v>19</v>
      </c>
      <c r="O3" s="24"/>
      <c r="P3" s="25"/>
    </row>
    <row r="4" s="17" customFormat="1" ht="23" customHeight="1" spans="1:16">
      <c r="A4" s="26" t="s">
        <v>102</v>
      </c>
      <c r="B4" s="27">
        <f t="shared" ref="B4:N4" si="0">SUM(B5:B8)</f>
        <v>2590.23</v>
      </c>
      <c r="C4" s="27">
        <f t="shared" si="0"/>
        <v>0</v>
      </c>
      <c r="D4" s="27">
        <f t="shared" si="0"/>
        <v>0.48</v>
      </c>
      <c r="E4" s="27">
        <f t="shared" si="0"/>
        <v>0.97</v>
      </c>
      <c r="F4" s="27">
        <f t="shared" si="0"/>
        <v>0.38</v>
      </c>
      <c r="G4" s="27">
        <f t="shared" si="0"/>
        <v>0</v>
      </c>
      <c r="H4" s="27">
        <f t="shared" si="0"/>
        <v>0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>SUM(C4:N4)</f>
        <v>1.83</v>
      </c>
      <c r="P4" s="28">
        <f>O4/B4</f>
        <v>0.000706500967095586</v>
      </c>
    </row>
    <row r="5" ht="23" customHeight="1" spans="1:16">
      <c r="A5" s="29" t="s">
        <v>81</v>
      </c>
      <c r="B5" s="29">
        <v>10</v>
      </c>
      <c r="C5" s="30">
        <v>0</v>
      </c>
      <c r="D5" s="30">
        <v>0.48</v>
      </c>
      <c r="E5" s="30">
        <v>0.97</v>
      </c>
      <c r="F5" s="30">
        <v>0.38</v>
      </c>
      <c r="G5" s="30"/>
      <c r="H5" s="30"/>
      <c r="I5" s="30"/>
      <c r="J5" s="30"/>
      <c r="K5" s="30"/>
      <c r="L5" s="30"/>
      <c r="M5" s="30"/>
      <c r="N5" s="30"/>
      <c r="O5" s="31">
        <f>SUM(C5:N5)</f>
        <v>1.83</v>
      </c>
      <c r="P5" s="32">
        <f>O5/B5</f>
        <v>0.183</v>
      </c>
    </row>
    <row r="6" ht="23" customHeight="1" spans="1:16">
      <c r="A6" s="29" t="s">
        <v>110</v>
      </c>
      <c r="B6" s="29">
        <v>200</v>
      </c>
      <c r="C6" s="30">
        <v>0</v>
      </c>
      <c r="D6" s="30">
        <v>0</v>
      </c>
      <c r="E6" s="30">
        <v>0</v>
      </c>
      <c r="F6" s="30">
        <v>0</v>
      </c>
      <c r="G6" s="30"/>
      <c r="H6" s="30"/>
      <c r="I6" s="30"/>
      <c r="J6" s="30"/>
      <c r="K6" s="30"/>
      <c r="L6" s="30"/>
      <c r="M6" s="30"/>
      <c r="N6" s="30"/>
      <c r="O6" s="31">
        <f>SUM(C6:N6)</f>
        <v>0</v>
      </c>
      <c r="P6" s="32">
        <f>O6/B6</f>
        <v>0</v>
      </c>
    </row>
    <row r="7" ht="23" customHeight="1" spans="1:16">
      <c r="A7" s="29" t="s">
        <v>111</v>
      </c>
      <c r="B7" s="29">
        <v>200</v>
      </c>
      <c r="C7" s="30">
        <v>0</v>
      </c>
      <c r="D7" s="30">
        <v>0</v>
      </c>
      <c r="E7" s="30">
        <v>0</v>
      </c>
      <c r="F7" s="30">
        <v>0</v>
      </c>
      <c r="G7" s="30"/>
      <c r="H7" s="30"/>
      <c r="I7" s="30"/>
      <c r="J7" s="30"/>
      <c r="K7" s="30"/>
      <c r="L7" s="30"/>
      <c r="M7" s="30"/>
      <c r="N7" s="30"/>
      <c r="O7" s="31">
        <f>SUM(C7:N7)</f>
        <v>0</v>
      </c>
      <c r="P7" s="32">
        <f>O7/B7</f>
        <v>0</v>
      </c>
    </row>
    <row r="8" ht="23" customHeight="1" spans="1:16">
      <c r="A8" s="29" t="s">
        <v>112</v>
      </c>
      <c r="B8" s="29">
        <v>2180.23</v>
      </c>
      <c r="C8" s="30">
        <v>0</v>
      </c>
      <c r="D8" s="30">
        <v>0</v>
      </c>
      <c r="E8" s="30">
        <v>0</v>
      </c>
      <c r="F8" s="30">
        <v>0</v>
      </c>
      <c r="G8" s="30"/>
      <c r="H8" s="30"/>
      <c r="I8" s="30"/>
      <c r="J8" s="30"/>
      <c r="K8" s="30"/>
      <c r="L8" s="30"/>
      <c r="M8" s="30"/>
      <c r="N8" s="30"/>
      <c r="O8" s="31">
        <f>SUM(C8:N8)</f>
        <v>0</v>
      </c>
      <c r="P8" s="32">
        <f>O8/B8</f>
        <v>0</v>
      </c>
    </row>
    <row r="11" spans="1:16">
      <c r="A11" s="33"/>
      <c r="B11" s="18" t="s">
        <v>109</v>
      </c>
    </row>
  </sheetData>
  <mergeCells count="6">
    <mergeCell ref="A1:P1"/>
    <mergeCell ref="C2:N2"/>
    <mergeCell ref="A2:A3"/>
    <mergeCell ref="B2:B3"/>
    <mergeCell ref="O2:O3"/>
    <mergeCell ref="P2:P3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E18" sqref="E18"/>
    </sheetView>
  </sheetViews>
  <sheetFormatPr defaultColWidth="8.90909090909091" defaultRowHeight="16" customHeight="1"/>
  <cols>
    <col min="1" max="2" width="15.4545454545455" customWidth="1"/>
    <col min="3" max="3" width="55" customWidth="1"/>
    <col min="4" max="8" width="15.4545454545455" customWidth="1"/>
  </cols>
  <sheetData>
    <row r="1" s="1" customFormat="1" ht="32.15" customHeight="1" spans="1:16">
      <c r="A1" s="3" t="s">
        <v>113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114</v>
      </c>
      <c r="B2" s="5" t="s">
        <v>115</v>
      </c>
      <c r="C2" s="5" t="s">
        <v>116</v>
      </c>
      <c r="D2" s="5" t="s">
        <v>117</v>
      </c>
      <c r="E2" s="5" t="s">
        <v>118</v>
      </c>
      <c r="F2" s="5" t="s">
        <v>119</v>
      </c>
      <c r="G2" s="6" t="s">
        <v>3</v>
      </c>
      <c r="H2" s="6" t="s">
        <v>5</v>
      </c>
    </row>
    <row r="3" s="2" customFormat="1" customHeight="1" spans="1:16">
      <c r="A3" s="7" t="s">
        <v>120</v>
      </c>
      <c r="B3" s="7" t="s">
        <v>121</v>
      </c>
      <c r="C3" s="8"/>
      <c r="D3" s="9"/>
      <c r="E3" s="9"/>
      <c r="F3" s="9"/>
      <c r="G3" s="9"/>
      <c r="H3" s="9">
        <f>F3</f>
        <v>0</v>
      </c>
    </row>
    <row r="4" s="2" customFormat="1" customHeight="1" spans="1:16">
      <c r="A4" s="7"/>
      <c r="B4" s="7"/>
      <c r="C4" s="8"/>
      <c r="D4" s="9"/>
      <c r="E4" s="9"/>
      <c r="F4" s="9"/>
      <c r="G4" s="9"/>
      <c r="H4" s="9">
        <f t="shared" ref="H4:H12" si="0">F4</f>
        <v>0</v>
      </c>
    </row>
    <row r="5" s="2" customFormat="1" customHeight="1" spans="1:16">
      <c r="A5" s="7"/>
      <c r="B5" s="7"/>
      <c r="C5" s="8"/>
      <c r="D5" s="9"/>
      <c r="E5" s="9"/>
      <c r="F5" s="9"/>
      <c r="G5" s="9"/>
      <c r="H5" s="9">
        <f t="shared" si="0"/>
        <v>0</v>
      </c>
    </row>
    <row r="6" s="2" customFormat="1" customHeight="1" spans="1:16">
      <c r="A6" s="7"/>
      <c r="B6" s="7"/>
      <c r="C6" s="8"/>
      <c r="D6" s="9"/>
      <c r="E6" s="9"/>
      <c r="F6" s="9"/>
      <c r="G6" s="9"/>
      <c r="H6" s="9">
        <f t="shared" si="0"/>
        <v>0</v>
      </c>
    </row>
    <row r="7" s="2" customFormat="1" customHeight="1" spans="1:16">
      <c r="A7" s="7"/>
      <c r="B7" s="7"/>
      <c r="C7" s="8"/>
      <c r="D7" s="9"/>
      <c r="E7" s="9"/>
      <c r="F7" s="9"/>
      <c r="G7" s="9"/>
      <c r="H7" s="9">
        <f t="shared" si="0"/>
        <v>0</v>
      </c>
    </row>
    <row r="8" s="2" customFormat="1" customHeight="1" spans="1:16">
      <c r="A8" s="7"/>
      <c r="B8" s="7"/>
      <c r="C8" s="8"/>
      <c r="D8" s="9"/>
      <c r="E8" s="9"/>
      <c r="F8" s="9"/>
      <c r="G8" s="9"/>
      <c r="H8" s="9">
        <f t="shared" si="0"/>
        <v>0</v>
      </c>
    </row>
    <row r="9" s="2" customFormat="1" customHeight="1" spans="1:16">
      <c r="A9" s="7"/>
      <c r="B9" s="7"/>
      <c r="C9" s="8"/>
      <c r="D9" s="9"/>
      <c r="E9" s="9"/>
      <c r="F9" s="9"/>
      <c r="G9" s="9"/>
      <c r="H9" s="9">
        <f t="shared" si="0"/>
        <v>0</v>
      </c>
    </row>
    <row r="10" s="2" customFormat="1" customHeight="1" spans="1:16">
      <c r="A10" s="7"/>
      <c r="B10" s="7"/>
      <c r="C10" s="8"/>
      <c r="D10" s="9"/>
      <c r="E10" s="9"/>
      <c r="F10" s="9"/>
      <c r="G10" s="9"/>
      <c r="H10" s="9">
        <f t="shared" si="0"/>
        <v>0</v>
      </c>
    </row>
    <row r="11" s="2" customFormat="1" customHeight="1" spans="1:16">
      <c r="A11" s="7"/>
      <c r="B11" s="7"/>
      <c r="C11" s="8"/>
      <c r="D11" s="9"/>
      <c r="E11" s="9"/>
      <c r="F11" s="9"/>
      <c r="G11" s="9"/>
      <c r="H11" s="9">
        <f t="shared" si="0"/>
        <v>0</v>
      </c>
    </row>
    <row r="12" s="2" customFormat="1" customHeight="1" spans="1:16">
      <c r="A12" s="7"/>
      <c r="B12" s="7"/>
      <c r="C12" s="8"/>
      <c r="D12" s="9"/>
      <c r="E12" s="9"/>
      <c r="F12" s="9"/>
      <c r="G12" s="9"/>
      <c r="H12" s="9">
        <f t="shared" si="0"/>
        <v>0</v>
      </c>
    </row>
    <row r="13" s="2" customFormat="1" customHeight="1" spans="1:16">
      <c r="A13" s="7"/>
      <c r="B13" s="7"/>
      <c r="C13" s="9"/>
      <c r="D13" s="9"/>
      <c r="E13" s="9"/>
      <c r="F13" s="9"/>
      <c r="G13" s="9"/>
      <c r="H13" s="9"/>
    </row>
    <row r="14" s="2" customFormat="1" customHeight="1" spans="1:16">
      <c r="A14" s="7"/>
      <c r="B14" s="7"/>
      <c r="C14" s="9"/>
      <c r="D14" s="9"/>
      <c r="E14" s="9"/>
      <c r="F14" s="9"/>
      <c r="G14" s="9"/>
      <c r="H14" s="9"/>
    </row>
    <row r="15" customHeight="1" spans="1:16">
      <c r="A15" s="10" t="s">
        <v>122</v>
      </c>
      <c r="B15" s="10"/>
      <c r="C15" s="10"/>
      <c r="D15" s="10"/>
      <c r="E15" s="10"/>
      <c r="F15" s="10"/>
      <c r="G15" s="11">
        <f>SUM(G3:G14)</f>
        <v>0</v>
      </c>
      <c r="H15" s="11">
        <f>SUM(H3:H14)</f>
        <v>0</v>
      </c>
    </row>
    <row r="17" customHeight="1" spans="1:2">
      <c r="A17" s="12" t="s">
        <v>109</v>
      </c>
      <c r="B17" s="13"/>
    </row>
  </sheetData>
  <mergeCells count="4">
    <mergeCell ref="A1:H1"/>
    <mergeCell ref="A15:F15"/>
    <mergeCell ref="A3:A14"/>
    <mergeCell ref="B3:B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指标统计</vt:lpstr>
      <vt:lpstr>预算执行汇总</vt:lpstr>
      <vt:lpstr>费用预算执行明细</vt:lpstr>
      <vt:lpstr>开发支出预算执行明细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WPS_1728455892</cp:lastModifiedBy>
  <dcterms:created xsi:type="dcterms:W3CDTF">2023-12-28T04:28:00Z</dcterms:created>
  <cp:lastPrinted>2024-11-06T04:14:00Z</cp:lastPrinted>
  <dcterms:modified xsi:type="dcterms:W3CDTF">2026-05-06T09:13:24Z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