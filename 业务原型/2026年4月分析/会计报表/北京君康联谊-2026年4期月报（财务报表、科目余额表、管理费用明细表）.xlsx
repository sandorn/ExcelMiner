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3.9.13\君康联谊\君康联谊\3、财务报表\财务报表（月度）--本公司\2026年度\4月上报集团\"/>
    </mc:Choice>
  </mc:AlternateContent>
  <xr:revisionPtr revIDLastSave="0" documentId="13_ncr:1_{23AC1FD8-DCB8-4175-A506-6D8F491E4CE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资产负债表" sheetId="1" r:id="rId1"/>
    <sheet name="利润表" sheetId="2" r:id="rId2"/>
    <sheet name="现金流量表" sheetId="3" r:id="rId3"/>
    <sheet name="科目余额表" sheetId="28" r:id="rId4"/>
    <sheet name="管理费用明细表" sheetId="29" r:id="rId5"/>
  </sheets>
  <definedNames>
    <definedName name="_xlnm.Print_Titles" localSheetId="3">科目余额表!$1:$3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F48" i="1"/>
  <c r="E48" i="1"/>
  <c r="F45" i="1" l="1"/>
  <c r="F19" i="1"/>
  <c r="F32" i="1" s="1"/>
  <c r="E19" i="1"/>
  <c r="E32" i="1" s="1"/>
  <c r="C39" i="1"/>
  <c r="B39" i="1"/>
  <c r="C19" i="1"/>
  <c r="B19" i="1"/>
  <c r="F46" i="1" l="1"/>
  <c r="B46" i="1"/>
  <c r="E46" i="1"/>
  <c r="C46" i="1"/>
  <c r="F47" i="1" l="1"/>
  <c r="E47" i="1"/>
</calcChain>
</file>

<file path=xl/sharedStrings.xml><?xml version="1.0" encoding="utf-8"?>
<sst xmlns="http://schemas.openxmlformats.org/spreadsheetml/2006/main" count="838" uniqueCount="540">
  <si>
    <t>资产负债表</t>
  </si>
  <si>
    <t>会企01表</t>
  </si>
  <si>
    <t>单位：元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</si>
  <si>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</si>
  <si>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</si>
  <si>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</si>
  <si>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</si>
  <si>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</si>
  <si>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</si>
  <si>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</si>
  <si>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</si>
  <si>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</si>
  <si>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</si>
  <si>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</si>
  <si>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</si>
  <si>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</si>
  <si>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</si>
  <si>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</si>
  <si>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</si>
  <si>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应收账款融资</t>
  </si>
  <si>
    <t xml:space="preserve">    预收款项</t>
  </si>
  <si>
    <t xml:space="preserve">    预付款项</t>
  </si>
  <si>
    <t xml:space="preserve">    合同负债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</si>
  <si>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</si>
  <si>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</si>
  <si>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</si>
  <si>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</si>
  <si>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合同资产</t>
  </si>
  <si>
    <t xml:space="preserve">    其他应付款</t>
  </si>
  <si>
    <t xml:space="preserve">    持有待售资产</t>
  </si>
  <si>
    <t xml:space="preserve">    持有待售负债</t>
  </si>
  <si>
    <t xml:space="preserve">    一年内到期的非流动资产</t>
  </si>
  <si>
    <t xml:space="preserve">    一年内到期的非流动负债</t>
  </si>
  <si>
    <t xml:space="preserve">    其他流动资产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</si>
  <si>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</si>
  <si>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</si>
  <si>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</si>
  <si>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</si>
  <si>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</si>
  <si>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债权投资</t>
  </si>
  <si>
    <t xml:space="preserve">    长期借款</t>
  </si>
  <si>
    <t xml:space="preserve">    其他债权投资</t>
  </si>
  <si>
    <t xml:space="preserve">    应付债券</t>
  </si>
  <si>
    <t xml:space="preserve">    长期应收款</t>
  </si>
  <si>
    <t xml:space="preserve">    其中：优先股</t>
  </si>
  <si>
    <t xml:space="preserve">    长期股权投资</t>
  </si>
  <si>
    <t xml:space="preserve">          永续债</t>
  </si>
  <si>
    <t xml:space="preserve">    其他权益工具投资</t>
  </si>
  <si>
    <t xml:space="preserve">    租赁负债</t>
  </si>
  <si>
    <t xml:space="preserve">    其他非流动金融资产</t>
  </si>
  <si>
    <t xml:space="preserve">    长期应付款</t>
  </si>
  <si>
    <t xml:space="preserve">    投资性房地产</t>
  </si>
  <si>
    <t xml:space="preserve">    预计负债</t>
  </si>
  <si>
    <t xml:space="preserve">    固定资产</t>
  </si>
  <si>
    <t xml:space="preserve">    递延收益</t>
  </si>
  <si>
    <t xml:space="preserve">    在建工程</t>
  </si>
  <si>
    <t xml:space="preserve">    递延所得税负债</t>
  </si>
  <si>
    <t xml:space="preserve">    生产性生物资产</t>
  </si>
  <si>
    <t xml:space="preserve">    其他非流动负债</t>
  </si>
  <si>
    <t xml:space="preserve">    油气资产</t>
  </si>
  <si>
    <t xml:space="preserve">        非流动负债合计</t>
  </si>
  <si>
    <t xml:space="preserve">    使用权资产</t>
  </si>
  <si>
    <t xml:space="preserve">            负债合计</t>
  </si>
  <si>
    <t xml:space="preserve">    无形资产</t>
  </si>
  <si>
    <t>所有者权益（或股东权益）：</t>
  </si>
  <si>
    <t xml:space="preserve">    开发支出</t>
  </si>
  <si>
    <t xml:space="preserve">    实收资本(股本)</t>
  </si>
  <si>
    <t xml:space="preserve">    商誉</t>
  </si>
  <si>
    <t xml:space="preserve">    其他权益工具</t>
  </si>
  <si>
    <t xml:space="preserve">    长期待摊费用</t>
  </si>
  <si>
    <t xml:space="preserve">    递延所得税资产</t>
  </si>
  <si>
    <t xml:space="preserve">        　永续债</t>
  </si>
  <si>
    <t xml:space="preserve">    其他非流动资产</t>
  </si>
  <si>
    <t xml:space="preserve">    资本公积</t>
  </si>
  <si>
    <t xml:space="preserve">        非流动资产合计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</si>
  <si>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</si>
  <si>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</si>
  <si>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</si>
  <si>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</si>
  <si>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</si>
  <si>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外币报表折算差额</t>
  </si>
  <si>
    <t>所有者权益（或股东权益）合计</t>
  </si>
  <si>
    <t xml:space="preserve">            资产总计</t>
  </si>
  <si>
    <t>负债和所有者权益（或股东权益）合计</t>
  </si>
  <si>
    <t>利润表</t>
  </si>
  <si>
    <t>会企02表</t>
  </si>
  <si>
    <t>项目名称</t>
  </si>
  <si>
    <t>本期金额</t>
  </si>
  <si>
    <t>本年金额</t>
  </si>
  <si>
    <t>上期金额</t>
  </si>
  <si>
    <t>一、营业收入</t>
  </si>
  <si>
    <t xml:space="preserve">    减:营业成本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</si>
  <si>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</si>
  <si>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</si>
  <si>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</si>
  <si>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</si>
  <si>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</si>
  <si>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</si>
  <si>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</si>
  <si>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加：其他收益</t>
  </si>
  <si>
    <t xml:space="preserve">        投资收益(损失以“-”号填列)</t>
  </si>
  <si>
    <t xml:space="preserve">        其中:对联营企业和合营企业的投资收益</t>
  </si>
  <si>
    <t xml:space="preserve">             以摊余成本计量的金融资产终止确认收益（损失以“-”号填列）</t>
  </si>
  <si>
    <t xml:space="preserve">        净敞口套期收益（损失以“-”号填列）</t>
  </si>
  <si>
    <t xml:space="preserve">        公允价值变动收益(损失以“-”号填列)</t>
  </si>
  <si>
    <t xml:space="preserve">        信用减值损失</t>
  </si>
  <si>
    <t xml:space="preserve">        资产减值损失</t>
  </si>
  <si>
    <t xml:space="preserve">        资产处置收益（损失以“-”号填列）</t>
  </si>
  <si>
    <t>二、营业利润（亏损以“-”号填列）</t>
  </si>
  <si>
    <t xml:space="preserve">    加：营业外收入</t>
  </si>
  <si>
    <t xml:space="preserve">    减：营业外支出</t>
  </si>
  <si>
    <t>三、利润总额（亏损总额以“-”号填列）</t>
  </si>
  <si>
    <t xml:space="preserve">    减：所得税费用</t>
  </si>
  <si>
    <t>四、净利润（净亏损以“-”号填列）</t>
  </si>
  <si>
    <t xml:space="preserve">    （一）持续经营净利润（净亏损以“-”号填列）</t>
  </si>
  <si>
    <t xml:space="preserve">    （二）终止经营净利润（净亏损以“-”号填列）</t>
  </si>
  <si>
    <t>五、其他综合收益的税后净额</t>
  </si>
  <si>
    <t xml:space="preserve">        （一）不能重分类进损益的其他综合收益</t>
  </si>
  <si>
    <t xml:space="preserve">         1.重新计量设定受益计划变动额</t>
  </si>
  <si>
    <t xml:space="preserve">         2.权益法下不能转损益的其它综合收益</t>
  </si>
  <si>
    <t xml:space="preserve">    　　 3.其他权益工具投资公允价值变动</t>
  </si>
  <si>
    <t xml:space="preserve">   　　　4.企业自身信用风险公允价值变动</t>
  </si>
  <si>
    <t xml:space="preserve">            ……</t>
  </si>
  <si>
    <t xml:space="preserve">        （二）将重分类进损益的其它综合收益</t>
  </si>
  <si>
    <t xml:space="preserve">   　　　 1.权益法下可转损益的其他综合收益</t>
  </si>
  <si>
    <t xml:space="preserve">   　　　 2.其他债权投资公允价值变动</t>
  </si>
  <si>
    <t xml:space="preserve">   　　　 3.金额资产重分类计入其他综合收益的金额</t>
  </si>
  <si>
    <t xml:space="preserve">   　　　 4.其他债权投资信用减值准备</t>
  </si>
  <si>
    <t xml:space="preserve">   　　　 5.现金流量套期储备</t>
  </si>
  <si>
    <t xml:space="preserve">         6. 外币财务报表折算差额</t>
  </si>
  <si>
    <t>六、综合收益总额</t>
  </si>
  <si>
    <t>七、每股收益</t>
  </si>
  <si>
    <t xml:space="preserve">    （一）基本每股收益</t>
  </si>
  <si>
    <t xml:space="preserve">    （二）稀释每股收益</t>
  </si>
  <si>
    <t>现金流量表</t>
  </si>
  <si>
    <t>会企03表</t>
  </si>
  <si>
    <t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</si>
  <si>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</si>
  <si>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</si>
  <si>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</si>
  <si>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</si>
  <si>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</si>
  <si>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</si>
  <si>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</si>
  <si>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</si>
  <si>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</si>
  <si>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</si>
  <si>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</si>
  <si>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</si>
  <si>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</si>
  <si>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</si>
  <si>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</si>
  <si>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</si>
  <si>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</si>
  <si>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</si>
  <si>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</si>
  <si>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</si>
  <si>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</si>
  <si>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</si>
  <si>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</si>
  <si>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</si>
  <si>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</si>
  <si>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</si>
  <si>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</si>
  <si>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</si>
  <si>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</si>
  <si>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</si>
  <si>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</si>
  <si>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</si>
  <si>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</si>
  <si>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</si>
  <si>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</si>
  <si>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</si>
  <si>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</si>
  <si>
    <t>校对</t>
    <phoneticPr fontId="15" type="noConversion"/>
  </si>
  <si>
    <t>编制单位：北京君康联谊企业管理有限公司</t>
    <phoneticPr fontId="15" type="noConversion"/>
  </si>
  <si>
    <t>币别:人民币</t>
  </si>
  <si>
    <t>账簿:北京君康联谊201709</t>
  </si>
  <si>
    <t>科目编码</t>
  </si>
  <si>
    <t>科目名称</t>
  </si>
  <si>
    <t>核算维度编码</t>
  </si>
  <si>
    <t>核算维度名称</t>
  </si>
  <si>
    <t>期初余额</t>
  </si>
  <si>
    <t>本期发生</t>
  </si>
  <si>
    <t>本年累计</t>
  </si>
  <si>
    <t>借方</t>
  </si>
  <si>
    <t>贷方</t>
  </si>
  <si>
    <t>1002</t>
  </si>
  <si>
    <t>银行存款</t>
  </si>
  <si>
    <t>1002.01</t>
  </si>
  <si>
    <t>　　交通银行北京永安里支行4579</t>
  </si>
  <si>
    <t>1002.04</t>
  </si>
  <si>
    <t>　　交通银行北京望京支行1260</t>
  </si>
  <si>
    <t>1002.05</t>
  </si>
  <si>
    <t>　　中信银行北京珠市口支行9891</t>
  </si>
  <si>
    <t>1133</t>
  </si>
  <si>
    <t>其他应收款</t>
  </si>
  <si>
    <t>1133.02</t>
  </si>
  <si>
    <t>　　外部往来</t>
  </si>
  <si>
    <t>024</t>
  </si>
  <si>
    <t>中建交通建设集团有限公司</t>
  </si>
  <si>
    <t>101</t>
  </si>
  <si>
    <t>北京中晨联谊房地产开发有限公司</t>
  </si>
  <si>
    <t>103</t>
  </si>
  <si>
    <t>北京中建建筑设计院有限公司（张海明）</t>
  </si>
  <si>
    <t>108</t>
  </si>
  <si>
    <t>上海大业房地产开发有限公司</t>
  </si>
  <si>
    <t>1133.03</t>
  </si>
  <si>
    <t>　　押金</t>
  </si>
  <si>
    <t>102</t>
  </si>
  <si>
    <t>万晓武</t>
  </si>
  <si>
    <t>1141</t>
  </si>
  <si>
    <t>坏账准备</t>
  </si>
  <si>
    <t>1141.01</t>
  </si>
  <si>
    <t>　　其他应收款</t>
  </si>
  <si>
    <t>028</t>
  </si>
  <si>
    <t>1151</t>
  </si>
  <si>
    <t>预付账款</t>
  </si>
  <si>
    <t>005</t>
  </si>
  <si>
    <t>国网北京市电力公司</t>
  </si>
  <si>
    <t>031</t>
  </si>
  <si>
    <t>北京顺义自来水有限责任公司</t>
  </si>
  <si>
    <t>034</t>
  </si>
  <si>
    <t>北京恒乐工程管理有限公司</t>
  </si>
  <si>
    <t>1501</t>
  </si>
  <si>
    <t>固定资产</t>
  </si>
  <si>
    <t>1501.01</t>
  </si>
  <si>
    <t>　　01电子设备</t>
  </si>
  <si>
    <t>1501.02</t>
  </si>
  <si>
    <t>　　02沙盘模型</t>
  </si>
  <si>
    <t>1000.01</t>
  </si>
  <si>
    <t>顺义新城11-0813地块（一期）</t>
  </si>
  <si>
    <t>2000</t>
  </si>
  <si>
    <t>医养体验中心项目</t>
  </si>
  <si>
    <t>1501.03</t>
  </si>
  <si>
    <t>　　03影音设备</t>
  </si>
  <si>
    <t>1501.04</t>
  </si>
  <si>
    <t>　　04医疗仪器器械</t>
  </si>
  <si>
    <t>1501.05</t>
  </si>
  <si>
    <t>　　05家具</t>
  </si>
  <si>
    <t>1501.06</t>
  </si>
  <si>
    <t>　　06器具、设备</t>
  </si>
  <si>
    <t>1501.07</t>
  </si>
  <si>
    <t>　　07家电、照明</t>
  </si>
  <si>
    <t>1501.08</t>
  </si>
  <si>
    <t>　　08纺织品、工艺品</t>
  </si>
  <si>
    <t>1501.09</t>
  </si>
  <si>
    <t>　　09花卉、绿植</t>
  </si>
  <si>
    <t>1501.10</t>
  </si>
  <si>
    <t>　　其他</t>
  </si>
  <si>
    <t>1502</t>
  </si>
  <si>
    <t>累计折旧</t>
  </si>
  <si>
    <t>1502.01</t>
  </si>
  <si>
    <t>1502.02</t>
  </si>
  <si>
    <t>1502.03</t>
  </si>
  <si>
    <t>1502.04</t>
  </si>
  <si>
    <t>1502.05</t>
  </si>
  <si>
    <t>1502.06</t>
  </si>
  <si>
    <t>1502.07</t>
  </si>
  <si>
    <t>1502.08</t>
  </si>
  <si>
    <t>1502.09</t>
  </si>
  <si>
    <t>　　花卉、绿植</t>
  </si>
  <si>
    <t>1502.10</t>
  </si>
  <si>
    <t>1801</t>
  </si>
  <si>
    <t>无形资产</t>
  </si>
  <si>
    <t>1801.05</t>
  </si>
  <si>
    <t>　　05人脸识别系统</t>
  </si>
  <si>
    <t>1901</t>
  </si>
  <si>
    <t>长期待摊费用</t>
  </si>
  <si>
    <t>1901.02</t>
  </si>
  <si>
    <t>　　02室内精装修设计</t>
  </si>
  <si>
    <t>2121</t>
  </si>
  <si>
    <t>应付账款</t>
  </si>
  <si>
    <t>016</t>
  </si>
  <si>
    <t>氛特斯帝咨询顾问有限公司</t>
  </si>
  <si>
    <t>037</t>
  </si>
  <si>
    <t>北京帝测科技股份有限公司</t>
  </si>
  <si>
    <t>042</t>
  </si>
  <si>
    <t>李建君</t>
  </si>
  <si>
    <t>046</t>
  </si>
  <si>
    <t>李彪</t>
  </si>
  <si>
    <t>047</t>
  </si>
  <si>
    <t>北京市建设工程质量第一检测所有限责任公司</t>
  </si>
  <si>
    <t>2151</t>
  </si>
  <si>
    <t>应付工资</t>
  </si>
  <si>
    <t>2151.01</t>
  </si>
  <si>
    <t>　　工资薪金</t>
  </si>
  <si>
    <t>2151.02</t>
  </si>
  <si>
    <t>　　社保费</t>
  </si>
  <si>
    <t>2151.03</t>
  </si>
  <si>
    <t>　　公积金</t>
  </si>
  <si>
    <t>2171</t>
  </si>
  <si>
    <t>应交税金</t>
  </si>
  <si>
    <t>2171.01</t>
  </si>
  <si>
    <t>　　应交增值税</t>
  </si>
  <si>
    <t>2171.01.01</t>
  </si>
  <si>
    <t>　　　　进项税额</t>
  </si>
  <si>
    <t>2171.01.04</t>
  </si>
  <si>
    <t>　　　　减免税款</t>
  </si>
  <si>
    <t>2171.01.05</t>
  </si>
  <si>
    <t>　　　　销项税额</t>
  </si>
  <si>
    <t>2171.01.07</t>
  </si>
  <si>
    <t>　　　　进项税额转出</t>
  </si>
  <si>
    <t>2171.02</t>
  </si>
  <si>
    <t>　　未交增值税</t>
  </si>
  <si>
    <t>2171.12</t>
  </si>
  <si>
    <t>　　应交个人所得税</t>
  </si>
  <si>
    <t>2171.22</t>
  </si>
  <si>
    <t>　　环保税</t>
  </si>
  <si>
    <t>2181</t>
  </si>
  <si>
    <t>其他应付款</t>
  </si>
  <si>
    <t>2181.01</t>
  </si>
  <si>
    <t>君康人寿保险股份有限公司</t>
  </si>
  <si>
    <t>　　代扣代缴员工保险</t>
  </si>
  <si>
    <t>　　代扣代缴员工公积金款项</t>
  </si>
  <si>
    <t>2181.06</t>
  </si>
  <si>
    <t>　　履约保证金</t>
  </si>
  <si>
    <t>110</t>
  </si>
  <si>
    <t>上海凡申企业管理中心（有限合伙）</t>
  </si>
  <si>
    <t>3101</t>
  </si>
  <si>
    <t>实收资本（或股本）</t>
  </si>
  <si>
    <t>3101.01</t>
  </si>
  <si>
    <t>　　君康人寿保险股份有限公司</t>
  </si>
  <si>
    <t>3131</t>
  </si>
  <si>
    <t>本年利润</t>
  </si>
  <si>
    <t>3141</t>
  </si>
  <si>
    <t>利润分配</t>
  </si>
  <si>
    <t>3141.15</t>
  </si>
  <si>
    <t>　　未分配利润</t>
  </si>
  <si>
    <t>4108</t>
  </si>
  <si>
    <t>开发成本</t>
  </si>
  <si>
    <t>4108.01</t>
  </si>
  <si>
    <t>　　土地费用</t>
  </si>
  <si>
    <t>4108.01.01</t>
  </si>
  <si>
    <t>　　　　地价款</t>
  </si>
  <si>
    <t>1000.01-01</t>
  </si>
  <si>
    <t>顺义新城11-0813东南部地块（一期）</t>
  </si>
  <si>
    <t>1000.01-02</t>
  </si>
  <si>
    <t>顺义新城11-0813局部地块（一期）</t>
  </si>
  <si>
    <t>4108.01.05</t>
  </si>
  <si>
    <t>　　　　契税</t>
  </si>
  <si>
    <t>4108.01.07</t>
  </si>
  <si>
    <t>　　　　其他土地费用</t>
  </si>
  <si>
    <t>4108.02</t>
  </si>
  <si>
    <t>　　前期工程费用</t>
  </si>
  <si>
    <t>4108.02.01</t>
  </si>
  <si>
    <t>　　　　勘察设计费用</t>
  </si>
  <si>
    <t>4108.02.01.01</t>
  </si>
  <si>
    <t>　　　　　　规划设计费用</t>
  </si>
  <si>
    <t>1000.02-01</t>
  </si>
  <si>
    <t>顺义新城11-0813东南地块（二期）</t>
  </si>
  <si>
    <t>1000.02-02</t>
  </si>
  <si>
    <t>顺义新城11-0813局部地块（二期）</t>
  </si>
  <si>
    <t>4108.02.01.02</t>
  </si>
  <si>
    <t>　　　　　　勘察丈量费用</t>
  </si>
  <si>
    <t>4108.02.02</t>
  </si>
  <si>
    <t>　　　　报批报建费用</t>
  </si>
  <si>
    <t>4108.02.03</t>
  </si>
  <si>
    <t>　　　　招标代理及招标管理费用</t>
  </si>
  <si>
    <t>4108.02.04</t>
  </si>
  <si>
    <t>　　　　三通一平费用</t>
  </si>
  <si>
    <t>4108.02.05</t>
  </si>
  <si>
    <t>　　　　临时设施费用</t>
  </si>
  <si>
    <t>4108.02.05.01</t>
  </si>
  <si>
    <t>　　　　　　施工场地围墙费用</t>
  </si>
  <si>
    <t>4108.02.06</t>
  </si>
  <si>
    <t>　　　　前期咨询费用</t>
  </si>
  <si>
    <t>4108.03</t>
  </si>
  <si>
    <t>　　建筑安装工程费用</t>
  </si>
  <si>
    <t>4108.03.01</t>
  </si>
  <si>
    <t>　　　　土建工程费用</t>
  </si>
  <si>
    <t>4108.03.01.01</t>
  </si>
  <si>
    <t>　　　　　　基础工程费用</t>
  </si>
  <si>
    <t>4108.03.01.02</t>
  </si>
  <si>
    <t>　　　　　　主体工程费用</t>
  </si>
  <si>
    <t>4108.03.06</t>
  </si>
  <si>
    <t>　　　　工程管理费用</t>
  </si>
  <si>
    <t>4108.03.06.01</t>
  </si>
  <si>
    <t>　　　　　　工程监理费用</t>
  </si>
  <si>
    <t>4108.03.06.02</t>
  </si>
  <si>
    <t>　　　　　　造价咨询费用</t>
  </si>
  <si>
    <t>4108.03.06.03</t>
  </si>
  <si>
    <t>　　　　　　项目管理费用</t>
  </si>
  <si>
    <t>4108.03.07</t>
  </si>
  <si>
    <t>　　　　其他建筑安装工程费用</t>
  </si>
  <si>
    <t>4108.08</t>
  </si>
  <si>
    <t>　　开发间接费用</t>
  </si>
  <si>
    <t>4108.08.01</t>
  </si>
  <si>
    <t>　　　　日常营运费用</t>
  </si>
  <si>
    <t>4108.08.01.01</t>
  </si>
  <si>
    <t>　　　　　　办公用品及消耗费</t>
  </si>
  <si>
    <t>4108.08.01.03</t>
  </si>
  <si>
    <t>　　　　　　低值易耗品</t>
  </si>
  <si>
    <t>4108.08.01.05</t>
  </si>
  <si>
    <t>　　　　　　网络通讯费</t>
  </si>
  <si>
    <t>4108.08.01.06</t>
  </si>
  <si>
    <t>　　　　　　邮寄费</t>
  </si>
  <si>
    <t>4108.08.01.09</t>
  </si>
  <si>
    <t>　　　　　　市内交通费</t>
  </si>
  <si>
    <t>4108.08.01.13</t>
  </si>
  <si>
    <t>　　　　　　招待费</t>
  </si>
  <si>
    <t>4108.08.01.15</t>
  </si>
  <si>
    <t>　　　　　　晒图及印刷费</t>
  </si>
  <si>
    <t>4108.08.02</t>
  </si>
  <si>
    <t>　　　　法律及咨询费用</t>
  </si>
  <si>
    <t>4108.08.02.01</t>
  </si>
  <si>
    <t>　　　　　　审计费</t>
  </si>
  <si>
    <t>4108.08.02.06</t>
  </si>
  <si>
    <t>　　　　　　评估及咨询费</t>
  </si>
  <si>
    <t>4108.08.03</t>
  </si>
  <si>
    <t>　　　　人力资源费用</t>
  </si>
  <si>
    <t>4108.08.03.01</t>
  </si>
  <si>
    <t>　　　　　　职工薪金</t>
  </si>
  <si>
    <t>4108.08.03.02</t>
  </si>
  <si>
    <t>　　　　　　劳务费</t>
  </si>
  <si>
    <t>4108.08.03.03</t>
  </si>
  <si>
    <t>　　　　　　三项经费</t>
  </si>
  <si>
    <t>4108.08.03.04</t>
  </si>
  <si>
    <t>　　　　　　公积金款项</t>
  </si>
  <si>
    <t>4108.08.03.05</t>
  </si>
  <si>
    <t>　　　　　　员工社保费</t>
  </si>
  <si>
    <t>4108.08.03.06</t>
  </si>
  <si>
    <t>　　　　　　员工商业保险费</t>
  </si>
  <si>
    <t>4108.08.03.07</t>
  </si>
  <si>
    <t>　　　　　　员工活动费</t>
  </si>
  <si>
    <t>4108.08.03.12</t>
  </si>
  <si>
    <t>　　　　　　代理服务费</t>
  </si>
  <si>
    <t>4108.08.04</t>
  </si>
  <si>
    <t>　　　　固定类费用</t>
  </si>
  <si>
    <t>4108.08.04.05</t>
  </si>
  <si>
    <t>　　　　　　房屋维修及改良支出</t>
  </si>
  <si>
    <t>4108.09</t>
  </si>
  <si>
    <t>　　资本化借款费用</t>
  </si>
  <si>
    <t>4108.09.01</t>
  </si>
  <si>
    <t>　　　　借款利息</t>
  </si>
  <si>
    <t>5205</t>
  </si>
  <si>
    <t>其他收益</t>
  </si>
  <si>
    <t>5402</t>
  </si>
  <si>
    <t>税金及附加</t>
  </si>
  <si>
    <t>5402.04</t>
  </si>
  <si>
    <t>　　环境保护税</t>
  </si>
  <si>
    <t>5501</t>
  </si>
  <si>
    <t>营业费用</t>
  </si>
  <si>
    <t>5501.005</t>
  </si>
  <si>
    <t>　　固定类费用</t>
  </si>
  <si>
    <t>5501.005.01</t>
  </si>
  <si>
    <t>　　　　折旧</t>
  </si>
  <si>
    <t>5501.005.07</t>
  </si>
  <si>
    <t>　　　　无形资产摊销</t>
  </si>
  <si>
    <t>5501.005.08</t>
  </si>
  <si>
    <t>　　　　精装修工程摊销</t>
  </si>
  <si>
    <t>5502</t>
  </si>
  <si>
    <t>管理费用</t>
  </si>
  <si>
    <t>5502.001</t>
  </si>
  <si>
    <t>　　日常营运费用</t>
  </si>
  <si>
    <t>5502.003</t>
  </si>
  <si>
    <t>　　人力资源费用</t>
  </si>
  <si>
    <t>5502.003.01</t>
  </si>
  <si>
    <t>　　　　职工薪金</t>
  </si>
  <si>
    <t>5502.003.04</t>
  </si>
  <si>
    <t>　　　　公积金款项</t>
  </si>
  <si>
    <t>5502.003.05</t>
  </si>
  <si>
    <t>　　　　员工社保费</t>
  </si>
  <si>
    <t>5502.004</t>
  </si>
  <si>
    <t>5502.004.01</t>
  </si>
  <si>
    <t>5503</t>
  </si>
  <si>
    <t>财务费用</t>
  </si>
  <si>
    <t>5503.01</t>
  </si>
  <si>
    <t>　　银行手续费</t>
  </si>
  <si>
    <t>合计</t>
  </si>
  <si>
    <t>科目范围:[5502]管理费用</t>
  </si>
  <si>
    <t>日期</t>
  </si>
  <si>
    <t>凭证字</t>
  </si>
  <si>
    <t>凭证号</t>
  </si>
  <si>
    <t>摘要</t>
  </si>
  <si>
    <t>借方金额</t>
  </si>
  <si>
    <t>贷方金额</t>
  </si>
  <si>
    <t>方向</t>
  </si>
  <si>
    <t>余额</t>
  </si>
  <si>
    <t>平</t>
  </si>
  <si>
    <t>记</t>
  </si>
  <si>
    <t>借</t>
  </si>
  <si>
    <t>结转本期损益</t>
  </si>
  <si>
    <t>本期合计</t>
  </si>
  <si>
    <t>1002.03</t>
  </si>
  <si>
    <t>　　中信银行上海张江支行2878</t>
  </si>
  <si>
    <t>5502.003.06</t>
  </si>
  <si>
    <t>　　　　员工商业保险费</t>
  </si>
  <si>
    <t>4108.08.01.16</t>
  </si>
  <si>
    <t>　　　　　　其他</t>
  </si>
  <si>
    <t>1133.05</t>
  </si>
  <si>
    <t>1133.06</t>
  </si>
  <si>
    <t>1141.02</t>
  </si>
  <si>
    <t>　　预付账款</t>
  </si>
  <si>
    <t>051</t>
  </si>
  <si>
    <t>科进柏诚工程技术（北京）有限公司）</t>
  </si>
  <si>
    <t>5502.001.16</t>
  </si>
  <si>
    <t>　　　　其他</t>
  </si>
  <si>
    <t>计提固定资产折旧</t>
  </si>
  <si>
    <t>1603</t>
  </si>
  <si>
    <t>在建工程</t>
  </si>
  <si>
    <t>1603.01</t>
  </si>
  <si>
    <t>　　建筑工程_顺义新城11-0813项目</t>
  </si>
  <si>
    <t>2171.14</t>
  </si>
  <si>
    <t>　　待认证进项税额</t>
  </si>
  <si>
    <t>4108.10</t>
  </si>
  <si>
    <t>　　结转至在建工程</t>
  </si>
  <si>
    <t>5502.002</t>
  </si>
  <si>
    <t>　　法律及咨询费用</t>
  </si>
  <si>
    <t>5502.002.04</t>
  </si>
  <si>
    <t>　　　　司法讼诉费</t>
  </si>
  <si>
    <t>5601</t>
  </si>
  <si>
    <t>营业外支出</t>
  </si>
  <si>
    <t>5601.02</t>
  </si>
  <si>
    <t>　　滞纳金支出</t>
  </si>
  <si>
    <t>5502.001.06</t>
  </si>
  <si>
    <t>　　　　邮寄费</t>
  </si>
  <si>
    <t>5502.001.09</t>
  </si>
  <si>
    <t>　　　　市内交通费</t>
  </si>
  <si>
    <t>5503.02</t>
  </si>
  <si>
    <t>　　银行利息收入</t>
  </si>
  <si>
    <t>5503.03</t>
  </si>
  <si>
    <t>　　借款利息支出</t>
  </si>
  <si>
    <t>核算维度:</t>
  </si>
  <si>
    <t>期间:2026.1 -- 2026.4</t>
  </si>
  <si>
    <t>2171.10</t>
  </si>
  <si>
    <t>　　应交土地使用税</t>
  </si>
  <si>
    <t>2171.23</t>
  </si>
  <si>
    <t>　　印花税</t>
  </si>
  <si>
    <t>5402.01</t>
  </si>
  <si>
    <t>5402.02</t>
  </si>
  <si>
    <t>　　土地使用税</t>
  </si>
  <si>
    <t>期间:2026.4 -- 2026.4</t>
  </si>
  <si>
    <t>2026/4/1</t>
  </si>
  <si>
    <t>2026/4/17</t>
  </si>
  <si>
    <t>支付2026年4月员工补充医疗费用</t>
  </si>
  <si>
    <t>2026/4/30</t>
  </si>
  <si>
    <t>计提2026年4月员工工资</t>
  </si>
  <si>
    <t>计提2026年4月员工社保费</t>
  </si>
  <si>
    <t>计提2026年4月员工公积金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</si>
</sst>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宋体"/>
      <charset val="1"/>
    </font>
    <font>
      <sz val="11"/>
      <name val="宋体"/>
      <family val="3"/>
      <charset val="134"/>
    </font>
    <font>
      <b/>
      <sz val="14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b/>
      <sz val="14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  <protection locked="0"/>
    </xf>
    <xf numFmtId="0" fontId="14" fillId="0" borderId="0">
      <alignment vertical="top"/>
      <protection locked="0"/>
    </xf>
    <xf numFmtId="0" fontId="18" fillId="0" borderId="1">
      <alignment vertical="center"/>
    </xf>
  </cellStyleXfs>
  <cellXfs count="25">
    <xf numFmtId="0" fontId="0" fillId="0" borderId="0" xfId="0">
      <alignment vertical="top"/>
      <protection locked="0"/>
    </xf>
    <xf numFmtId="0" fontId="1" fillId="0" borderId="0" xfId="1" applyFont="1" applyAlignment="1">
      <protection locked="0"/>
    </xf>
    <xf numFmtId="0" fontId="5" fillId="0" borderId="0" xfId="1" applyFont="1" applyAlignment="1">
      <protection locked="0"/>
    </xf>
    <xf numFmtId="4" fontId="6" fillId="0" borderId="0" xfId="1" applyNumberFormat="1" applyFont="1" applyAlignment="1">
      <protection locked="0"/>
    </xf>
    <xf numFmtId="0" fontId="7" fillId="0" borderId="2" xfId="1" applyFont="1" applyBorder="1" applyAlignment="1">
      <alignment horizontal="center"/>
      <protection locked="0"/>
    </xf>
    <xf numFmtId="0" fontId="8" fillId="0" borderId="3" xfId="1" applyFont="1" applyBorder="1" applyAlignment="1">
      <alignment horizontal="center"/>
      <protection locked="0"/>
    </xf>
    <xf numFmtId="0" fontId="9" fillId="0" borderId="4" xfId="1" applyFont="1" applyBorder="1" applyAlignment="1">
      <protection locked="0"/>
    </xf>
    <xf numFmtId="4" fontId="10" fillId="0" borderId="5" xfId="1" applyNumberFormat="1" applyFont="1" applyBorder="1" applyAlignment="1">
      <protection locked="0"/>
    </xf>
    <xf numFmtId="0" fontId="11" fillId="0" borderId="5" xfId="1" applyFont="1" applyBorder="1" applyAlignment="1">
      <protection locked="0"/>
    </xf>
    <xf numFmtId="4" fontId="12" fillId="0" borderId="0" xfId="1" applyNumberFormat="1" applyFont="1" applyAlignment="1">
      <protection locked="0"/>
    </xf>
    <xf numFmtId="0" fontId="16" fillId="0" borderId="0" xfId="1" applyFont="1" applyAlignment="1">
      <alignment horizontal="right"/>
      <protection locked="0"/>
    </xf>
    <xf numFmtId="0" fontId="17" fillId="0" borderId="0" xfId="1" applyFont="1" applyAlignment="1">
      <protection locked="0"/>
    </xf>
    <xf numFmtId="31" fontId="5" fillId="0" borderId="0" xfId="1" applyNumberFormat="1" applyFont="1" applyAlignment="1">
      <protection locked="0"/>
    </xf>
    <xf numFmtId="57" fontId="5" fillId="0" borderId="0" xfId="1" applyNumberFormat="1" applyFont="1" applyAlignment="1">
      <protection locked="0"/>
    </xf>
    <xf numFmtId="0" fontId="18" fillId="0" borderId="1" xfId="2">
      <alignment vertical="center"/>
    </xf>
    <xf numFmtId="0" fontId="18" fillId="0" borderId="6" xfId="2" applyBorder="1">
      <alignment vertical="center"/>
    </xf>
    <xf numFmtId="4" fontId="18" fillId="0" borderId="6" xfId="2" applyNumberFormat="1" applyBorder="1" applyAlignment="1"/>
    <xf numFmtId="3" fontId="18" fillId="0" borderId="6" xfId="2" applyNumberFormat="1" applyBorder="1" applyAlignment="1"/>
    <xf numFmtId="0" fontId="2" fillId="0" borderId="1" xfId="1" applyFont="1" applyBorder="1" applyAlignment="1">
      <alignment horizontal="center"/>
      <protection locked="0"/>
    </xf>
    <xf numFmtId="4" fontId="3" fillId="0" borderId="1" xfId="1" applyNumberFormat="1" applyFont="1" applyBorder="1" applyAlignment="1">
      <protection locked="0"/>
    </xf>
    <xf numFmtId="0" fontId="4" fillId="0" borderId="1" xfId="1" applyFont="1" applyBorder="1" applyAlignment="1">
      <protection locked="0"/>
    </xf>
    <xf numFmtId="0" fontId="13" fillId="0" borderId="0" xfId="1" applyFont="1" applyAlignment="1">
      <alignment horizontal="center"/>
      <protection locked="0"/>
    </xf>
    <xf numFmtId="4" fontId="12" fillId="0" borderId="0" xfId="1" applyNumberFormat="1" applyFont="1" applyAlignment="1">
      <protection locked="0"/>
    </xf>
    <xf numFmtId="0" fontId="18" fillId="0" borderId="6" xfId="2" applyBorder="1" applyAlignment="1">
      <alignment horizontal="center" vertical="center"/>
    </xf>
    <xf numFmtId="0" fontId="18" fillId="0" borderId="6" xfId="2" applyBorder="1">
      <alignment vertical="center"/>
    </xf>
  </cellXfs>
  <cellStyles count="3">
    <cellStyle name="Normal" xfId="1" xr:uid="{00000000-0005-0000-0000-000000000000}"/>
    <cellStyle name="常规" xfId="0" builtinId="0"/>
    <cellStyle name="常规 2" xfId="2" xr:uid="{358BD3D2-0B3A-4979-B1A6-14DD5162F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abSelected="1" topLeftCell="A25" workbookViewId="0">
      <selection activeCell="E49" sqref="E49"/>
    </sheetView>
  </sheetViews>
  <sheetFormatPr defaultColWidth="8.625" defaultRowHeight="15" customHeight="1" x14ac:dyDescent="0.15"/>
  <cols>
    <col min="1" max="1" width="35.125" style="1" customWidth="1"/>
    <col min="2" max="3" width="24.625" style="1" customWidth="1"/>
    <col min="4" max="4" width="35.125" style="1" customWidth="1"/>
    <col min="5" max="6" width="24.625" style="1" customWidth="1"/>
    <col min="7" max="13" width="8.625" style="1" customWidth="1"/>
    <col min="14" max="16384" width="8.625" style="1"/>
  </cols>
  <sheetData>
    <row r="1" spans="1:6" ht="29.25" customHeight="1" x14ac:dyDescent="0.25">
      <c r="A1" s="18" t="s">
        <v>0</v>
      </c>
      <c r="B1" s="19"/>
      <c r="C1" s="19"/>
      <c r="D1" s="20"/>
      <c r="E1" s="19"/>
      <c r="F1" s="19"/>
    </row>
    <row r="2" spans="1:6" ht="20.100000000000001" customHeight="1" x14ac:dyDescent="0.15">
      <c r="A2" s="12">
        <v>46112</v>
      </c>
      <c r="B2" s="3"/>
      <c r="C2" s="3"/>
      <c r="D2" s="2"/>
      <c r="E2" s="3"/>
      <c r="F2" s="2" t="s">
        <v>1</v>
      </c>
    </row>
    <row r="3" spans="1:6" ht="20.100000000000001" customHeight="1" x14ac:dyDescent="0.15">
      <c r="A3" s="11" t="s">
        <v>175</v>
      </c>
      <c r="B3" s="3"/>
      <c r="C3" s="3"/>
      <c r="D3" s="2"/>
      <c r="E3" s="3"/>
      <c r="F3" s="2" t="s">
        <v>2</v>
      </c>
    </row>
    <row r="4" spans="1:6" ht="20.100000000000001" customHeight="1" x14ac:dyDescent="0.15">
      <c r="A4" s="4" t="s">
        <v>3</v>
      </c>
      <c r="B4" s="5" t="s">
        <v>4</v>
      </c>
      <c r="C4" s="5" t="s">
        <v>5</v>
      </c>
      <c r="D4" s="4" t="s">
        <v>6</v>
      </c>
      <c r="E4" s="5" t="s">
        <v>4</v>
      </c>
      <c r="F4" s="5" t="s">
        <v>5</v>
      </c>
    </row>
    <row r="5" spans="1:6" ht="20.100000000000001" customHeight="1" x14ac:dyDescent="0.15">
      <c r="A5" s="6" t="s">
        <v>7</v>
      </c>
      <c r="B5" s="7"/>
      <c r="C5" s="7"/>
      <c r="D5" s="8" t="s">
        <v>8</v>
      </c>
      <c r="E5" s="7"/>
      <c r="F5" s="7"/>
    </row>
    <row r="6" spans="1:6" ht="20.100000000000001" customHeight="1" x14ac:dyDescent="0.15">
      <c r="A6" s="6" t="s">
        <v>9</v>
      </c>
      <c r="B6" s="7">
        <v>1423470.38</v>
      </c>
      <c r="C6" s="7">
        <v>1220670.54</v>
      </c>
      <c r="D6" s="8" t="s">
        <v>10</v>
      </c>
      <c r="E6" s="7"/>
      <c r="F6" s="7"/>
    </row>
    <row r="7" spans="1:6" ht="20.100000000000001" customHeight="1" x14ac:dyDescent="0.15">
      <c r="A7" s="6" t="s">
        <v>11</v>
      </c>
      <c r="B7" s="7">
        <v>0</v>
      </c>
      <c r="C7" s="7">
        <v>0</v>
      </c>
      <c r="D7" s="8" t="s">
        <v>12</v>
      </c>
      <c r="E7" s="7"/>
      <c r="F7" s="7"/>
    </row>
    <row r="8" spans="1:6" ht="20.100000000000001" customHeight="1" x14ac:dyDescent="0.15">
      <c r="A8" s="6" t="s">
        <v>13</v>
      </c>
      <c r="B8" s="7"/>
      <c r="C8" s="7"/>
      <c r="D8" s="8" t="s">
        <v>14</v>
      </c>
      <c r="E8" s="7"/>
      <c r="F8" s="7"/>
    </row>
    <row r="9" spans="1:6" ht="20.100000000000001" customHeight="1" x14ac:dyDescent="0.15">
      <c r="A9" s="6" t="s">
        <v>15</v>
      </c>
      <c r="B9" s="7"/>
      <c r="C9" s="7"/>
      <c r="D9" s="8" t="s">
        <v>16</v>
      </c>
      <c r="E9" s="7"/>
      <c r="F9" s="7"/>
    </row>
    <row r="10" spans="1:6" ht="20.100000000000001" customHeight="1" x14ac:dyDescent="0.15">
      <c r="A10" s="6" t="s">
        <v>17</v>
      </c>
      <c r="B10" s="7">
        <v>0</v>
      </c>
      <c r="C10" s="7">
        <v>0</v>
      </c>
      <c r="D10" s="8" t="s">
        <v>18</v>
      </c>
      <c r="E10" s="7">
        <v>675939.28</v>
      </c>
      <c r="F10" s="7">
        <v>1077205.3799999999</v>
      </c>
    </row>
    <row r="11" spans="1:6" ht="20.100000000000001" customHeight="1" x14ac:dyDescent="0.15">
      <c r="A11" s="6" t="s">
        <v>19</v>
      </c>
      <c r="B11" s="7"/>
      <c r="C11" s="7"/>
      <c r="D11" s="8" t="s">
        <v>20</v>
      </c>
      <c r="E11" s="7">
        <v>0</v>
      </c>
      <c r="F11" s="7">
        <v>0</v>
      </c>
    </row>
    <row r="12" spans="1:6" ht="20.100000000000001" customHeight="1" x14ac:dyDescent="0.15">
      <c r="A12" s="6" t="s">
        <v>21</v>
      </c>
      <c r="B12" s="7">
        <v>91749.719999998793</v>
      </c>
      <c r="C12" s="7">
        <v>40670.859999999397</v>
      </c>
      <c r="D12" s="8" t="s">
        <v>22</v>
      </c>
      <c r="E12" s="7"/>
      <c r="F12" s="7"/>
    </row>
    <row r="13" spans="1:6" ht="20.100000000000001" customHeight="1" x14ac:dyDescent="0.15">
      <c r="A13" s="6" t="s">
        <v>23</v>
      </c>
      <c r="B13" s="7">
        <v>12124587</v>
      </c>
      <c r="C13" s="7">
        <v>12124587</v>
      </c>
      <c r="D13" s="8" t="s">
        <v>24</v>
      </c>
      <c r="E13" s="7">
        <v>281289.17</v>
      </c>
      <c r="F13" s="7">
        <v>230081.78</v>
      </c>
    </row>
    <row r="14" spans="1:6" ht="20.100000000000001" customHeight="1" x14ac:dyDescent="0.15">
      <c r="A14" s="6" t="s">
        <v>25</v>
      </c>
      <c r="B14" s="7">
        <v>0</v>
      </c>
      <c r="C14" s="7"/>
      <c r="D14" s="8" t="s">
        <v>26</v>
      </c>
      <c r="E14" s="7">
        <v>-16110557.109999999</v>
      </c>
      <c r="F14" s="7">
        <v>8539.91</v>
      </c>
    </row>
    <row r="15" spans="1:6" ht="20.100000000000001" customHeight="1" x14ac:dyDescent="0.15">
      <c r="A15" s="6" t="s">
        <v>27</v>
      </c>
      <c r="B15" s="7"/>
      <c r="C15" s="7"/>
      <c r="D15" s="8" t="s">
        <v>28</v>
      </c>
      <c r="E15" s="7">
        <v>49615690.159999996</v>
      </c>
      <c r="F15" s="7">
        <v>47783146.130000003</v>
      </c>
    </row>
    <row r="16" spans="1:6" ht="20.100000000000001" customHeight="1" x14ac:dyDescent="0.15">
      <c r="A16" s="6" t="s">
        <v>29</v>
      </c>
      <c r="B16" s="7"/>
      <c r="C16" s="7"/>
      <c r="D16" s="8" t="s">
        <v>30</v>
      </c>
      <c r="E16" s="7"/>
      <c r="F16" s="7"/>
    </row>
    <row r="17" spans="1:6" ht="20.100000000000001" customHeight="1" x14ac:dyDescent="0.15">
      <c r="A17" s="6" t="s">
        <v>31</v>
      </c>
      <c r="B17" s="7"/>
      <c r="C17" s="7"/>
      <c r="D17" s="8" t="s">
        <v>32</v>
      </c>
      <c r="E17" s="7"/>
      <c r="F17" s="7"/>
    </row>
    <row r="18" spans="1:6" ht="20.100000000000001" customHeight="1" x14ac:dyDescent="0.15">
      <c r="A18" s="6" t="s">
        <v>33</v>
      </c>
      <c r="B18" s="7">
        <v>0</v>
      </c>
      <c r="C18" s="7">
        <v>16106615.300000001</v>
      </c>
      <c r="D18" s="8" t="s">
        <v>34</v>
      </c>
      <c r="E18" s="7"/>
      <c r="F18" s="7"/>
    </row>
    <row r="19" spans="1:6" ht="20.100000000000001" customHeight="1" x14ac:dyDescent="0.15">
      <c r="A19" s="6" t="s">
        <v>35</v>
      </c>
      <c r="B19" s="7">
        <f>SUM(B6:B18)</f>
        <v>13639807.099999998</v>
      </c>
      <c r="C19" s="7">
        <f>SUM(C6:C18)</f>
        <v>29492543.699999999</v>
      </c>
      <c r="D19" s="8" t="s">
        <v>36</v>
      </c>
      <c r="E19" s="7">
        <f>SUM(E6:E18)</f>
        <v>34462361.5</v>
      </c>
      <c r="F19" s="7">
        <f>SUM(F6:F18)</f>
        <v>49098973.200000003</v>
      </c>
    </row>
    <row r="20" spans="1:6" ht="20.100000000000001" customHeight="1" x14ac:dyDescent="0.15">
      <c r="A20" s="6" t="s">
        <v>37</v>
      </c>
      <c r="B20" s="7"/>
      <c r="C20" s="7"/>
      <c r="D20" s="8" t="s">
        <v>38</v>
      </c>
      <c r="E20" s="7"/>
      <c r="F20" s="7"/>
    </row>
    <row r="21" spans="1:6" ht="20.100000000000001" customHeight="1" x14ac:dyDescent="0.15">
      <c r="A21" s="6" t="s">
        <v>39</v>
      </c>
      <c r="B21" s="7"/>
      <c r="C21" s="7"/>
      <c r="D21" s="8" t="s">
        <v>40</v>
      </c>
      <c r="E21" s="7">
        <v>0</v>
      </c>
      <c r="F21" s="7">
        <v>0</v>
      </c>
    </row>
    <row r="22" spans="1:6" ht="20.100000000000001" customHeight="1" x14ac:dyDescent="0.15">
      <c r="A22" s="6" t="s">
        <v>41</v>
      </c>
      <c r="B22" s="7"/>
      <c r="C22" s="7"/>
      <c r="D22" s="8" t="s">
        <v>42</v>
      </c>
      <c r="E22" s="7">
        <v>0</v>
      </c>
      <c r="F22" s="7">
        <v>0</v>
      </c>
    </row>
    <row r="23" spans="1:6" ht="20.100000000000001" customHeight="1" x14ac:dyDescent="0.15">
      <c r="A23" s="6" t="s">
        <v>43</v>
      </c>
      <c r="B23" s="7"/>
      <c r="C23" s="7"/>
      <c r="D23" s="8" t="s">
        <v>44</v>
      </c>
      <c r="E23" s="7"/>
      <c r="F23" s="7"/>
    </row>
    <row r="24" spans="1:6" ht="20.100000000000001" customHeight="1" x14ac:dyDescent="0.15">
      <c r="A24" s="6" t="s">
        <v>45</v>
      </c>
      <c r="B24" s="7">
        <v>0</v>
      </c>
      <c r="C24" s="7">
        <v>0</v>
      </c>
      <c r="D24" s="8" t="s">
        <v>46</v>
      </c>
      <c r="E24" s="7"/>
      <c r="F24" s="7"/>
    </row>
    <row r="25" spans="1:6" ht="20.100000000000001" customHeight="1" x14ac:dyDescent="0.15">
      <c r="A25" s="6" t="s">
        <v>47</v>
      </c>
      <c r="B25" s="7"/>
      <c r="C25" s="7"/>
      <c r="D25" s="8" t="s">
        <v>48</v>
      </c>
      <c r="E25" s="7"/>
      <c r="F25" s="7"/>
    </row>
    <row r="26" spans="1:6" ht="20.100000000000001" customHeight="1" x14ac:dyDescent="0.15">
      <c r="A26" s="6" t="s">
        <v>49</v>
      </c>
      <c r="B26" s="7"/>
      <c r="C26" s="7"/>
      <c r="D26" s="8" t="s">
        <v>50</v>
      </c>
      <c r="E26" s="7">
        <v>0</v>
      </c>
      <c r="F26" s="7">
        <v>0</v>
      </c>
    </row>
    <row r="27" spans="1:6" ht="20.100000000000001" customHeight="1" x14ac:dyDescent="0.15">
      <c r="A27" s="6" t="s">
        <v>51</v>
      </c>
      <c r="B27" s="7"/>
      <c r="C27" s="7"/>
      <c r="D27" s="8" t="s">
        <v>52</v>
      </c>
      <c r="E27" s="7">
        <v>0</v>
      </c>
      <c r="F27" s="7">
        <v>0</v>
      </c>
    </row>
    <row r="28" spans="1:6" ht="20.100000000000001" customHeight="1" x14ac:dyDescent="0.15">
      <c r="A28" s="6" t="s">
        <v>53</v>
      </c>
      <c r="B28" s="7">
        <v>886285.92</v>
      </c>
      <c r="C28" s="7">
        <v>1342869.88</v>
      </c>
      <c r="D28" s="8" t="s">
        <v>54</v>
      </c>
      <c r="E28" s="7"/>
      <c r="F28" s="7"/>
    </row>
    <row r="29" spans="1:6" ht="20.100000000000001" customHeight="1" x14ac:dyDescent="0.15">
      <c r="A29" s="6" t="s">
        <v>55</v>
      </c>
      <c r="B29" s="7">
        <v>668986862.12</v>
      </c>
      <c r="C29" s="7">
        <v>668414247.19000006</v>
      </c>
      <c r="D29" s="8" t="s">
        <v>56</v>
      </c>
      <c r="E29" s="7">
        <v>0</v>
      </c>
      <c r="F29" s="7">
        <v>0</v>
      </c>
    </row>
    <row r="30" spans="1:6" ht="20.100000000000001" customHeight="1" x14ac:dyDescent="0.15">
      <c r="A30" s="6" t="s">
        <v>57</v>
      </c>
      <c r="B30" s="7"/>
      <c r="C30" s="7"/>
      <c r="D30" s="8" t="s">
        <v>58</v>
      </c>
      <c r="E30" s="7"/>
      <c r="F30" s="7"/>
    </row>
    <row r="31" spans="1:6" ht="20.100000000000001" customHeight="1" x14ac:dyDescent="0.15">
      <c r="A31" s="6" t="s">
        <v>59</v>
      </c>
      <c r="B31" s="7"/>
      <c r="C31" s="7"/>
      <c r="D31" s="8" t="s">
        <v>60</v>
      </c>
      <c r="E31" s="7">
        <v>0</v>
      </c>
      <c r="F31" s="7">
        <v>0</v>
      </c>
    </row>
    <row r="32" spans="1:6" ht="20.100000000000001" customHeight="1" x14ac:dyDescent="0.15">
      <c r="A32" s="6" t="s">
        <v>61</v>
      </c>
      <c r="B32" s="7"/>
      <c r="C32" s="7"/>
      <c r="D32" s="8" t="s">
        <v>62</v>
      </c>
      <c r="E32" s="7">
        <f>E19+E31</f>
        <v>34462361.5</v>
      </c>
      <c r="F32" s="7">
        <f>F19+F31</f>
        <v>49098973.200000003</v>
      </c>
    </row>
    <row r="33" spans="1:6" ht="20.100000000000001" customHeight="1" x14ac:dyDescent="0.15">
      <c r="A33" s="6" t="s">
        <v>63</v>
      </c>
      <c r="B33" s="7">
        <v>5916.86</v>
      </c>
      <c r="C33" s="7">
        <v>17750.18</v>
      </c>
      <c r="D33" s="8" t="s">
        <v>64</v>
      </c>
      <c r="E33" s="7"/>
      <c r="F33" s="7"/>
    </row>
    <row r="34" spans="1:6" ht="20.100000000000001" customHeight="1" x14ac:dyDescent="0.15">
      <c r="A34" s="6" t="s">
        <v>65</v>
      </c>
      <c r="B34" s="7"/>
      <c r="C34" s="7"/>
      <c r="D34" s="8" t="s">
        <v>66</v>
      </c>
      <c r="E34" s="7">
        <v>2050000000</v>
      </c>
      <c r="F34" s="7">
        <v>2050000000</v>
      </c>
    </row>
    <row r="35" spans="1:6" ht="20.100000000000001" customHeight="1" x14ac:dyDescent="0.15">
      <c r="A35" s="6" t="s">
        <v>67</v>
      </c>
      <c r="B35" s="7"/>
      <c r="C35" s="7"/>
      <c r="D35" s="8" t="s">
        <v>68</v>
      </c>
      <c r="E35" s="7">
        <v>0</v>
      </c>
      <c r="F35" s="7">
        <v>0</v>
      </c>
    </row>
    <row r="36" spans="1:6" ht="20.100000000000001" customHeight="1" x14ac:dyDescent="0.15">
      <c r="A36" s="6" t="s">
        <v>69</v>
      </c>
      <c r="B36" s="7">
        <v>163993.79999999999</v>
      </c>
      <c r="C36" s="7">
        <v>210849.16</v>
      </c>
      <c r="D36" s="8" t="s">
        <v>44</v>
      </c>
      <c r="E36" s="7"/>
      <c r="F36" s="7"/>
    </row>
    <row r="37" spans="1:6" ht="20.100000000000001" customHeight="1" x14ac:dyDescent="0.15">
      <c r="A37" s="6" t="s">
        <v>70</v>
      </c>
      <c r="B37" s="7"/>
      <c r="C37" s="7"/>
      <c r="D37" s="8" t="s">
        <v>71</v>
      </c>
      <c r="E37" s="7"/>
      <c r="F37" s="7"/>
    </row>
    <row r="38" spans="1:6" ht="20.100000000000001" customHeight="1" x14ac:dyDescent="0.15">
      <c r="A38" s="6" t="s">
        <v>72</v>
      </c>
      <c r="B38" s="7"/>
      <c r="C38" s="7"/>
      <c r="D38" s="8" t="s">
        <v>73</v>
      </c>
      <c r="E38" s="7"/>
      <c r="F38" s="7"/>
    </row>
    <row r="39" spans="1:6" ht="20.100000000000001" customHeight="1" x14ac:dyDescent="0.15">
      <c r="A39" s="6" t="s">
        <v>74</v>
      </c>
      <c r="B39" s="7">
        <f>SUM(B21:B38)</f>
        <v>670043058.69999993</v>
      </c>
      <c r="C39" s="7">
        <f>SUM(C21:C38)</f>
        <v>669985716.40999997</v>
      </c>
      <c r="D39" s="8" t="s">
        <v>75</v>
      </c>
      <c r="E39" s="7"/>
      <c r="F39" s="7"/>
    </row>
    <row r="40" spans="1:6" ht="20.100000000000001" customHeight="1" x14ac:dyDescent="0.15">
      <c r="A40" s="6"/>
      <c r="B40" s="7"/>
      <c r="C40" s="7"/>
      <c r="D40" s="8" t="s">
        <v>76</v>
      </c>
      <c r="E40" s="7"/>
      <c r="F40" s="7"/>
    </row>
    <row r="41" spans="1:6" ht="20.100000000000001" customHeight="1" x14ac:dyDescent="0.15">
      <c r="A41" s="6"/>
      <c r="B41" s="7"/>
      <c r="C41" s="7"/>
      <c r="D41" s="8" t="s">
        <v>77</v>
      </c>
      <c r="E41" s="7"/>
      <c r="F41" s="7"/>
    </row>
    <row r="42" spans="1:6" ht="20.100000000000001" customHeight="1" x14ac:dyDescent="0.15">
      <c r="A42" s="6"/>
      <c r="B42" s="7"/>
      <c r="C42" s="7"/>
      <c r="D42" s="8" t="s">
        <v>78</v>
      </c>
      <c r="E42" s="7"/>
      <c r="F42" s="7"/>
    </row>
    <row r="43" spans="1:6" ht="20.100000000000001" customHeight="1" x14ac:dyDescent="0.15">
      <c r="A43" s="6"/>
      <c r="B43" s="7"/>
      <c r="C43" s="7"/>
      <c r="D43" s="8" t="s">
        <v>79</v>
      </c>
      <c r="E43" s="7">
        <v>-1400779495.7</v>
      </c>
      <c r="F43" s="7">
        <v>-1399620713.0899999</v>
      </c>
    </row>
    <row r="44" spans="1:6" ht="20.100000000000001" customHeight="1" x14ac:dyDescent="0.15">
      <c r="A44" s="6"/>
      <c r="B44" s="7"/>
      <c r="C44" s="7"/>
      <c r="D44" s="8" t="s">
        <v>80</v>
      </c>
      <c r="E44" s="7"/>
      <c r="F44" s="7"/>
    </row>
    <row r="45" spans="1:6" ht="20.100000000000001" customHeight="1" x14ac:dyDescent="0.15">
      <c r="A45" s="6"/>
      <c r="B45" s="7"/>
      <c r="C45" s="7"/>
      <c r="D45" s="8" t="s">
        <v>81</v>
      </c>
      <c r="E45" s="7">
        <f>SUM(E34:E44)</f>
        <v>649220504.29999995</v>
      </c>
      <c r="F45" s="7">
        <f>SUM(F34:F44)</f>
        <v>650379286.91000009</v>
      </c>
    </row>
    <row r="46" spans="1:6" ht="20.100000000000001" customHeight="1" x14ac:dyDescent="0.15">
      <c r="A46" s="6" t="s">
        <v>82</v>
      </c>
      <c r="B46" s="7">
        <f>B19+B39</f>
        <v>683682865.79999995</v>
      </c>
      <c r="C46" s="7">
        <f>C19+C39</f>
        <v>699478260.11000001</v>
      </c>
      <c r="D46" s="8" t="s">
        <v>83</v>
      </c>
      <c r="E46" s="7">
        <f>E32+E45</f>
        <v>683682865.79999995</v>
      </c>
      <c r="F46" s="7">
        <f>F32+F45</f>
        <v>699478260.11000013</v>
      </c>
    </row>
    <row r="47" spans="1:6" ht="15" customHeight="1" x14ac:dyDescent="0.15">
      <c r="B47" s="9"/>
      <c r="C47" s="9"/>
      <c r="D47" s="10" t="s">
        <v>174</v>
      </c>
      <c r="E47" s="9">
        <f>B46-E46</f>
        <v>0</v>
      </c>
      <c r="F47" s="9">
        <f>C46-F46</f>
        <v>0</v>
      </c>
    </row>
    <row r="48" spans="1:6" ht="15" customHeight="1" x14ac:dyDescent="0.15">
      <c r="B48" s="9"/>
      <c r="C48" s="9"/>
      <c r="E48" s="9">
        <f>E43-F43-利润表!C29</f>
        <v>-1.334119588136673E-7</v>
      </c>
      <c r="F48" s="9">
        <f>B6-现金流量表!C42</f>
        <v>0</v>
      </c>
    </row>
  </sheetData>
  <mergeCells count="1">
    <mergeCell ref="A1:F1"/>
  </mergeCells>
  <phoneticPr fontId="15" type="noConversion"/>
  <printOptions gridLines="1"/>
  <pageMargins left="0.6692913385826772" right="0.6692913385826772" top="0.70866141732283472" bottom="0.70866141732283472" header="0.31496062992125984" footer="0.31496062992125984"/>
  <pageSetup paperSize="9" scale="53" fitToHeight="0" orientation="portrait" blackAndWhite="1" useFirstPageNumber="1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1"/>
  <sheetViews>
    <sheetView workbookViewId="0">
      <selection activeCell="B5" sqref="B5:D49"/>
    </sheetView>
  </sheetViews>
  <sheetFormatPr defaultColWidth="8.625" defaultRowHeight="15" customHeight="1" x14ac:dyDescent="0.15"/>
  <cols>
    <col min="1" max="1" width="66" style="1" customWidth="1"/>
    <col min="2" max="4" width="23.625" style="1" customWidth="1"/>
    <col min="5" max="11" width="8.625" style="1" customWidth="1"/>
    <col min="12" max="16384" width="8.625" style="1"/>
  </cols>
  <sheetData>
    <row r="1" spans="1:4" ht="29.25" customHeight="1" x14ac:dyDescent="0.25">
      <c r="A1" s="21" t="s">
        <v>84</v>
      </c>
      <c r="B1" s="22"/>
      <c r="C1" s="22"/>
      <c r="D1" s="22"/>
    </row>
    <row r="2" spans="1:4" ht="20.100000000000001" customHeight="1" x14ac:dyDescent="0.15">
      <c r="A2" s="13">
        <v>46112</v>
      </c>
      <c r="B2" s="3"/>
      <c r="C2" s="3"/>
      <c r="D2" s="2" t="s">
        <v>85</v>
      </c>
    </row>
    <row r="3" spans="1:4" ht="20.100000000000001" customHeight="1" x14ac:dyDescent="0.15">
      <c r="A3" s="11" t="s">
        <v>175</v>
      </c>
      <c r="B3" s="3"/>
      <c r="C3" s="3"/>
      <c r="D3" s="2" t="s">
        <v>2</v>
      </c>
    </row>
    <row r="4" spans="1:4" ht="20.100000000000001" customHeight="1" x14ac:dyDescent="0.15">
      <c r="A4" s="4" t="s">
        <v>86</v>
      </c>
      <c r="B4" s="5" t="s">
        <v>87</v>
      </c>
      <c r="C4" s="5" t="s">
        <v>88</v>
      </c>
      <c r="D4" s="5" t="s">
        <v>89</v>
      </c>
    </row>
    <row r="5" spans="1:4" ht="20.100000000000001" customHeight="1" x14ac:dyDescent="0.15">
      <c r="A5" s="6" t="s">
        <v>90</v>
      </c>
      <c r="B5" s="7">
        <v>0</v>
      </c>
      <c r="C5" s="7">
        <v>0</v>
      </c>
      <c r="D5" s="7">
        <v>0</v>
      </c>
    </row>
    <row r="6" spans="1:4" ht="20.100000000000001" customHeight="1" x14ac:dyDescent="0.15">
      <c r="A6" s="6" t="s">
        <v>91</v>
      </c>
      <c r="B6" s="7">
        <v>0</v>
      </c>
      <c r="C6" s="7">
        <v>0</v>
      </c>
      <c r="D6" s="7">
        <v>0</v>
      </c>
    </row>
    <row r="7" spans="1:4" ht="20.100000000000001" customHeight="1" x14ac:dyDescent="0.15">
      <c r="A7" s="6" t="s">
        <v>92</v>
      </c>
      <c r="B7" s="7">
        <v>107268.68</v>
      </c>
      <c r="C7" s="7">
        <v>183836.9</v>
      </c>
      <c r="D7" s="7">
        <v>183812.81</v>
      </c>
    </row>
    <row r="8" spans="1:4" ht="20.100000000000001" customHeight="1" x14ac:dyDescent="0.15">
      <c r="A8" s="6" t="s">
        <v>93</v>
      </c>
      <c r="B8" s="7">
        <v>128637.44</v>
      </c>
      <c r="C8" s="7">
        <v>514549.76000000001</v>
      </c>
      <c r="D8" s="7">
        <v>562104.85</v>
      </c>
    </row>
    <row r="9" spans="1:4" ht="20.100000000000001" customHeight="1" x14ac:dyDescent="0.15">
      <c r="A9" s="6" t="s">
        <v>94</v>
      </c>
      <c r="B9" s="7">
        <v>86127.96</v>
      </c>
      <c r="C9" s="7">
        <v>128308.03</v>
      </c>
      <c r="D9" s="7">
        <v>417679.58</v>
      </c>
    </row>
    <row r="10" spans="1:4" ht="20.100000000000001" customHeight="1" x14ac:dyDescent="0.15">
      <c r="A10" s="6" t="s">
        <v>95</v>
      </c>
      <c r="B10" s="7"/>
      <c r="C10" s="7"/>
      <c r="D10" s="7"/>
    </row>
    <row r="11" spans="1:4" ht="20.100000000000001" customHeight="1" x14ac:dyDescent="0.15">
      <c r="A11" s="6" t="s">
        <v>96</v>
      </c>
      <c r="B11" s="7">
        <v>10.8</v>
      </c>
      <c r="C11" s="7">
        <v>332655.38</v>
      </c>
      <c r="D11" s="7">
        <v>21.5</v>
      </c>
    </row>
    <row r="12" spans="1:4" ht="20.100000000000001" customHeight="1" x14ac:dyDescent="0.15">
      <c r="A12" s="6" t="s">
        <v>97</v>
      </c>
      <c r="B12" s="7">
        <v>0</v>
      </c>
      <c r="C12" s="7">
        <v>332544.03000000003</v>
      </c>
      <c r="D12" s="7">
        <v>0</v>
      </c>
    </row>
    <row r="13" spans="1:4" ht="20.100000000000001" customHeight="1" x14ac:dyDescent="0.15">
      <c r="A13" s="6" t="s">
        <v>98</v>
      </c>
      <c r="B13" s="7">
        <v>0</v>
      </c>
      <c r="C13" s="7">
        <v>-271.25</v>
      </c>
      <c r="D13" s="7">
        <v>-139.5</v>
      </c>
    </row>
    <row r="14" spans="1:4" ht="20.100000000000001" customHeight="1" x14ac:dyDescent="0.15">
      <c r="A14" s="6" t="s">
        <v>99</v>
      </c>
      <c r="B14" s="7">
        <v>0</v>
      </c>
      <c r="C14" s="7">
        <v>926.79</v>
      </c>
      <c r="D14" s="7">
        <v>886.33</v>
      </c>
    </row>
    <row r="15" spans="1:4" ht="20.100000000000001" customHeight="1" x14ac:dyDescent="0.15">
      <c r="A15" s="6" t="s">
        <v>100</v>
      </c>
      <c r="B15" s="7">
        <v>0</v>
      </c>
      <c r="C15" s="7">
        <v>0</v>
      </c>
      <c r="D15" s="7">
        <v>0</v>
      </c>
    </row>
    <row r="16" spans="1:4" ht="20.100000000000001" customHeight="1" x14ac:dyDescent="0.15">
      <c r="A16" s="6" t="s">
        <v>101</v>
      </c>
      <c r="B16" s="7"/>
      <c r="C16" s="7"/>
      <c r="D16" s="7"/>
    </row>
    <row r="17" spans="1:4" ht="20.100000000000001" customHeight="1" x14ac:dyDescent="0.15">
      <c r="A17" s="6" t="s">
        <v>102</v>
      </c>
      <c r="B17" s="7"/>
      <c r="C17" s="7"/>
      <c r="D17" s="7"/>
    </row>
    <row r="18" spans="1:4" ht="20.100000000000001" customHeight="1" x14ac:dyDescent="0.15">
      <c r="A18" s="6" t="s">
        <v>103</v>
      </c>
      <c r="B18" s="7"/>
      <c r="C18" s="7"/>
      <c r="D18" s="7"/>
    </row>
    <row r="19" spans="1:4" ht="20.100000000000001" customHeight="1" x14ac:dyDescent="0.15">
      <c r="A19" s="6" t="s">
        <v>104</v>
      </c>
      <c r="B19" s="7"/>
      <c r="C19" s="7"/>
      <c r="D19" s="7"/>
    </row>
    <row r="20" spans="1:4" ht="20.100000000000001" customHeight="1" x14ac:dyDescent="0.15">
      <c r="A20" s="6" t="s">
        <v>105</v>
      </c>
      <c r="B20" s="7">
        <v>0</v>
      </c>
      <c r="C20" s="7">
        <v>0</v>
      </c>
      <c r="D20" s="7">
        <v>0</v>
      </c>
    </row>
    <row r="21" spans="1:4" ht="20.100000000000001" customHeight="1" x14ac:dyDescent="0.15">
      <c r="A21" s="6" t="s">
        <v>106</v>
      </c>
      <c r="B21" s="7">
        <v>0</v>
      </c>
      <c r="C21" s="7">
        <v>0</v>
      </c>
      <c r="D21" s="7">
        <v>0</v>
      </c>
    </row>
    <row r="22" spans="1:4" ht="20.100000000000001" customHeight="1" x14ac:dyDescent="0.15">
      <c r="A22" s="6" t="s">
        <v>107</v>
      </c>
      <c r="B22" s="7"/>
      <c r="C22" s="7"/>
      <c r="D22" s="7"/>
    </row>
    <row r="23" spans="1:4" ht="20.100000000000001" customHeight="1" x14ac:dyDescent="0.15">
      <c r="A23" s="6" t="s">
        <v>108</v>
      </c>
      <c r="B23" s="7">
        <v>-322044.88</v>
      </c>
      <c r="C23" s="7">
        <v>-1158423.28</v>
      </c>
      <c r="D23" s="7">
        <v>-1162732.4099999999</v>
      </c>
    </row>
    <row r="24" spans="1:4" ht="20.100000000000001" customHeight="1" x14ac:dyDescent="0.15">
      <c r="A24" s="6" t="s">
        <v>109</v>
      </c>
      <c r="B24" s="7">
        <v>0</v>
      </c>
      <c r="C24" s="7">
        <v>0</v>
      </c>
      <c r="D24" s="7">
        <v>0</v>
      </c>
    </row>
    <row r="25" spans="1:4" ht="20.100000000000001" customHeight="1" x14ac:dyDescent="0.15">
      <c r="A25" s="6" t="s">
        <v>110</v>
      </c>
      <c r="B25" s="7">
        <v>0</v>
      </c>
      <c r="C25" s="7">
        <v>359.33</v>
      </c>
      <c r="D25" s="7">
        <v>0</v>
      </c>
    </row>
    <row r="26" spans="1:4" ht="20.100000000000001" customHeight="1" x14ac:dyDescent="0.15">
      <c r="A26" s="6" t="s">
        <v>111</v>
      </c>
      <c r="B26" s="7">
        <v>-322044.88</v>
      </c>
      <c r="C26" s="7">
        <v>-1158782.6100000001</v>
      </c>
      <c r="D26" s="7">
        <v>-1162732.4099999999</v>
      </c>
    </row>
    <row r="27" spans="1:4" ht="20.100000000000001" customHeight="1" x14ac:dyDescent="0.15">
      <c r="A27" s="6" t="s">
        <v>112</v>
      </c>
      <c r="B27" s="7">
        <v>0</v>
      </c>
      <c r="C27" s="7">
        <v>0</v>
      </c>
      <c r="D27" s="7">
        <v>0</v>
      </c>
    </row>
    <row r="28" spans="1:4" ht="20.100000000000001" customHeight="1" x14ac:dyDescent="0.15">
      <c r="A28" s="6" t="s">
        <v>113</v>
      </c>
      <c r="B28" s="7">
        <v>-322044.88</v>
      </c>
      <c r="C28" s="7">
        <v>-1158782.6100000001</v>
      </c>
      <c r="D28" s="7">
        <v>-1162732.4099999999</v>
      </c>
    </row>
    <row r="29" spans="1:4" ht="20.100000000000001" customHeight="1" x14ac:dyDescent="0.15">
      <c r="A29" s="6" t="s">
        <v>114</v>
      </c>
      <c r="B29" s="7">
        <v>-322044.88</v>
      </c>
      <c r="C29" s="7">
        <v>-1158782.6100000001</v>
      </c>
      <c r="D29" s="7">
        <v>-1162732.4099999999</v>
      </c>
    </row>
    <row r="30" spans="1:4" ht="20.100000000000001" customHeight="1" x14ac:dyDescent="0.15">
      <c r="A30" s="6" t="s">
        <v>115</v>
      </c>
      <c r="B30" s="7"/>
      <c r="C30" s="7"/>
      <c r="D30" s="7"/>
    </row>
    <row r="31" spans="1:4" ht="20.100000000000001" customHeight="1" x14ac:dyDescent="0.15">
      <c r="A31" s="6" t="s">
        <v>116</v>
      </c>
      <c r="B31" s="7">
        <v>0</v>
      </c>
      <c r="C31" s="7">
        <v>0</v>
      </c>
      <c r="D31" s="7">
        <v>0</v>
      </c>
    </row>
    <row r="32" spans="1:4" ht="20.100000000000001" customHeight="1" x14ac:dyDescent="0.15">
      <c r="A32" s="6" t="s">
        <v>117</v>
      </c>
      <c r="B32" s="7">
        <v>0</v>
      </c>
      <c r="C32" s="7">
        <v>0</v>
      </c>
      <c r="D32" s="7">
        <v>0</v>
      </c>
    </row>
    <row r="33" spans="1:4" ht="20.100000000000001" customHeight="1" x14ac:dyDescent="0.15">
      <c r="A33" s="6" t="s">
        <v>118</v>
      </c>
      <c r="B33" s="7"/>
      <c r="C33" s="7"/>
      <c r="D33" s="7"/>
    </row>
    <row r="34" spans="1:4" ht="20.100000000000001" customHeight="1" x14ac:dyDescent="0.15">
      <c r="A34" s="6" t="s">
        <v>119</v>
      </c>
      <c r="B34" s="7"/>
      <c r="C34" s="7"/>
      <c r="D34" s="7"/>
    </row>
    <row r="35" spans="1:4" ht="20.100000000000001" customHeight="1" x14ac:dyDescent="0.15">
      <c r="A35" s="6" t="s">
        <v>120</v>
      </c>
      <c r="B35" s="7"/>
      <c r="C35" s="7"/>
      <c r="D35" s="7"/>
    </row>
    <row r="36" spans="1:4" ht="20.100000000000001" customHeight="1" x14ac:dyDescent="0.15">
      <c r="A36" s="6" t="s">
        <v>121</v>
      </c>
      <c r="B36" s="7"/>
      <c r="C36" s="7"/>
      <c r="D36" s="7"/>
    </row>
    <row r="37" spans="1:4" ht="20.100000000000001" customHeight="1" x14ac:dyDescent="0.15">
      <c r="A37" s="6" t="s">
        <v>122</v>
      </c>
      <c r="B37" s="7"/>
      <c r="C37" s="7"/>
      <c r="D37" s="7"/>
    </row>
    <row r="38" spans="1:4" ht="20.100000000000001" customHeight="1" x14ac:dyDescent="0.15">
      <c r="A38" s="6" t="s">
        <v>123</v>
      </c>
      <c r="B38" s="7">
        <v>0</v>
      </c>
      <c r="C38" s="7">
        <v>0</v>
      </c>
      <c r="D38" s="7">
        <v>0</v>
      </c>
    </row>
    <row r="39" spans="1:4" ht="20.100000000000001" customHeight="1" x14ac:dyDescent="0.15">
      <c r="A39" s="6" t="s">
        <v>124</v>
      </c>
      <c r="B39" s="7"/>
      <c r="C39" s="7"/>
      <c r="D39" s="7"/>
    </row>
    <row r="40" spans="1:4" ht="20.100000000000001" customHeight="1" x14ac:dyDescent="0.15">
      <c r="A40" s="6" t="s">
        <v>125</v>
      </c>
      <c r="B40" s="7"/>
      <c r="C40" s="7"/>
      <c r="D40" s="7"/>
    </row>
    <row r="41" spans="1:4" ht="20.100000000000001" customHeight="1" x14ac:dyDescent="0.15">
      <c r="A41" s="6" t="s">
        <v>126</v>
      </c>
      <c r="B41" s="7"/>
      <c r="C41" s="7"/>
      <c r="D41" s="7"/>
    </row>
    <row r="42" spans="1:4" ht="20.100000000000001" customHeight="1" x14ac:dyDescent="0.15">
      <c r="A42" s="6" t="s">
        <v>127</v>
      </c>
      <c r="B42" s="7"/>
      <c r="C42" s="7"/>
      <c r="D42" s="7"/>
    </row>
    <row r="43" spans="1:4" ht="20.100000000000001" customHeight="1" x14ac:dyDescent="0.15">
      <c r="A43" s="6" t="s">
        <v>128</v>
      </c>
      <c r="B43" s="7"/>
      <c r="C43" s="7"/>
      <c r="D43" s="7"/>
    </row>
    <row r="44" spans="1:4" ht="20.100000000000001" customHeight="1" x14ac:dyDescent="0.15">
      <c r="A44" s="6" t="s">
        <v>129</v>
      </c>
      <c r="B44" s="7"/>
      <c r="C44" s="7"/>
      <c r="D44" s="7"/>
    </row>
    <row r="45" spans="1:4" ht="20.100000000000001" customHeight="1" x14ac:dyDescent="0.15">
      <c r="A45" s="6" t="s">
        <v>122</v>
      </c>
      <c r="B45" s="7"/>
      <c r="C45" s="7"/>
      <c r="D45" s="7"/>
    </row>
    <row r="46" spans="1:4" ht="20.100000000000001" customHeight="1" x14ac:dyDescent="0.15">
      <c r="A46" s="6" t="s">
        <v>130</v>
      </c>
      <c r="B46" s="7">
        <v>-322044.88</v>
      </c>
      <c r="C46" s="7">
        <v>-1158782.6100000001</v>
      </c>
      <c r="D46" s="7">
        <v>-1162732.4099999999</v>
      </c>
    </row>
    <row r="47" spans="1:4" ht="20.100000000000001" customHeight="1" x14ac:dyDescent="0.15">
      <c r="A47" s="6" t="s">
        <v>131</v>
      </c>
      <c r="B47" s="7">
        <v>0</v>
      </c>
      <c r="C47" s="7">
        <v>0</v>
      </c>
      <c r="D47" s="7">
        <v>0</v>
      </c>
    </row>
    <row r="48" spans="1:4" ht="20.100000000000001" customHeight="1" x14ac:dyDescent="0.15">
      <c r="A48" s="6" t="s">
        <v>132</v>
      </c>
      <c r="B48" s="7"/>
      <c r="C48" s="7"/>
      <c r="D48" s="7"/>
    </row>
    <row r="49" spans="1:4" ht="20.100000000000001" customHeight="1" x14ac:dyDescent="0.15">
      <c r="A49" s="6" t="s">
        <v>133</v>
      </c>
      <c r="B49" s="7"/>
      <c r="C49" s="7"/>
      <c r="D49" s="7"/>
    </row>
    <row r="50" spans="1:4" ht="15" customHeight="1" x14ac:dyDescent="0.15">
      <c r="B50" s="9"/>
      <c r="C50" s="9"/>
      <c r="D50" s="9"/>
    </row>
    <row r="51" spans="1:4" ht="15" customHeight="1" x14ac:dyDescent="0.15">
      <c r="B51" s="9"/>
      <c r="C51" s="9"/>
      <c r="D51" s="9"/>
    </row>
  </sheetData>
  <mergeCells count="1">
    <mergeCell ref="A1:D1"/>
  </mergeCells>
  <phoneticPr fontId="15" type="noConversion"/>
  <printOptions gridLines="1"/>
  <pageMargins left="0.6692913385826772" right="0.6692913385826772" top="0.70866141732283472" bottom="0.70866141732283472" header="0.31496062992125984" footer="0.31496062992125984"/>
  <pageSetup paperSize="9" scale="65" fitToHeight="0" orientation="portrait" blackAndWhite="1" useFirstPageNumber="1" r:id="rId1"/>
  <headerFooter>
    <oddFooter>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44"/>
  <sheetViews>
    <sheetView topLeftCell="A13" workbookViewId="0">
      <selection activeCell="B35" sqref="B35"/>
    </sheetView>
  </sheetViews>
  <sheetFormatPr defaultColWidth="8.625" defaultRowHeight="15" customHeight="1" x14ac:dyDescent="0.15"/>
  <cols>
    <col min="1" max="1" width="56.5" style="1" customWidth="1"/>
    <col min="2" max="4" width="23.625" style="1" customWidth="1"/>
    <col min="5" max="7" width="8.625" style="1" customWidth="1"/>
    <col min="8" max="16384" width="8.625" style="1"/>
  </cols>
  <sheetData>
    <row r="1" spans="1:4" ht="30" customHeight="1" x14ac:dyDescent="0.25">
      <c r="A1" s="21" t="s">
        <v>134</v>
      </c>
      <c r="B1" s="22"/>
      <c r="C1" s="22"/>
      <c r="D1" s="22"/>
    </row>
    <row r="2" spans="1:4" ht="20.100000000000001" customHeight="1" x14ac:dyDescent="0.15">
      <c r="A2" s="13">
        <v>46112</v>
      </c>
      <c r="B2" s="3"/>
      <c r="C2" s="9"/>
      <c r="D2" s="2" t="s">
        <v>135</v>
      </c>
    </row>
    <row r="3" spans="1:4" ht="20.100000000000001" customHeight="1" x14ac:dyDescent="0.15">
      <c r="A3" s="11" t="s">
        <v>175</v>
      </c>
      <c r="B3" s="3"/>
      <c r="C3" s="9"/>
      <c r="D3" s="2" t="s">
        <v>2</v>
      </c>
    </row>
    <row r="4" spans="1:4" ht="20.100000000000001" customHeight="1" x14ac:dyDescent="0.15">
      <c r="A4" s="4" t="s">
        <v>86</v>
      </c>
      <c r="B4" s="4" t="s">
        <v>87</v>
      </c>
      <c r="C4" s="4" t="s">
        <v>88</v>
      </c>
      <c r="D4" s="4" t="s">
        <v>89</v>
      </c>
    </row>
    <row r="5" spans="1:4" ht="20.100000000000001" customHeight="1" x14ac:dyDescent="0.15">
      <c r="A5" s="6" t="s">
        <v>136</v>
      </c>
      <c r="B5" s="7"/>
      <c r="C5" s="7"/>
      <c r="D5" s="7"/>
    </row>
    <row r="6" spans="1:4" ht="20.100000000000001" customHeight="1" x14ac:dyDescent="0.15">
      <c r="A6" s="6" t="s">
        <v>137</v>
      </c>
      <c r="B6" s="7">
        <v>0</v>
      </c>
      <c r="C6" s="7">
        <v>0</v>
      </c>
      <c r="D6" s="7">
        <v>0</v>
      </c>
    </row>
    <row r="7" spans="1:4" ht="20.100000000000001" customHeight="1" x14ac:dyDescent="0.15">
      <c r="A7" s="6" t="s">
        <v>138</v>
      </c>
      <c r="B7" s="7">
        <v>0</v>
      </c>
      <c r="C7" s="7">
        <v>982.4</v>
      </c>
      <c r="D7" s="7">
        <v>939.51</v>
      </c>
    </row>
    <row r="8" spans="1:4" ht="20.100000000000001" customHeight="1" x14ac:dyDescent="0.15">
      <c r="A8" s="6" t="s">
        <v>139</v>
      </c>
      <c r="B8" s="7">
        <v>0</v>
      </c>
      <c r="C8" s="7">
        <v>21693.24</v>
      </c>
      <c r="D8" s="7">
        <v>139.5</v>
      </c>
    </row>
    <row r="9" spans="1:4" ht="20.100000000000001" customHeight="1" x14ac:dyDescent="0.15">
      <c r="A9" s="6" t="s">
        <v>140</v>
      </c>
      <c r="B9" s="7">
        <v>0</v>
      </c>
      <c r="C9" s="7">
        <v>22675.64</v>
      </c>
      <c r="D9" s="7">
        <v>1079.01</v>
      </c>
    </row>
    <row r="10" spans="1:4" ht="20.100000000000001" customHeight="1" x14ac:dyDescent="0.15">
      <c r="A10" s="6" t="s">
        <v>141</v>
      </c>
      <c r="B10" s="7">
        <v>0</v>
      </c>
      <c r="C10" s="7">
        <v>0</v>
      </c>
      <c r="D10" s="7">
        <v>0</v>
      </c>
    </row>
    <row r="11" spans="1:4" ht="20.100000000000001" customHeight="1" x14ac:dyDescent="0.15">
      <c r="A11" s="6" t="s">
        <v>142</v>
      </c>
      <c r="B11" s="7">
        <v>135211</v>
      </c>
      <c r="C11" s="7">
        <v>543199.24</v>
      </c>
      <c r="D11" s="7">
        <v>894166.37</v>
      </c>
    </row>
    <row r="12" spans="1:4" ht="20.100000000000001" customHeight="1" x14ac:dyDescent="0.15">
      <c r="A12" s="6" t="s">
        <v>143</v>
      </c>
      <c r="B12" s="7">
        <v>107268.68</v>
      </c>
      <c r="C12" s="7">
        <v>183836.9</v>
      </c>
      <c r="D12" s="7">
        <v>183812.81</v>
      </c>
    </row>
    <row r="13" spans="1:4" ht="20.100000000000001" customHeight="1" x14ac:dyDescent="0.15">
      <c r="A13" s="6" t="s">
        <v>144</v>
      </c>
      <c r="B13" s="7">
        <v>10.8</v>
      </c>
      <c r="C13" s="7">
        <v>12555.11</v>
      </c>
      <c r="D13" s="7">
        <v>72165.97</v>
      </c>
    </row>
    <row r="14" spans="1:4" ht="20.100000000000001" customHeight="1" x14ac:dyDescent="0.15">
      <c r="A14" s="6" t="s">
        <v>145</v>
      </c>
      <c r="B14" s="7">
        <v>242490.48</v>
      </c>
      <c r="C14" s="7">
        <v>739591.25</v>
      </c>
      <c r="D14" s="7">
        <v>1150145.1499999999</v>
      </c>
    </row>
    <row r="15" spans="1:4" ht="20.100000000000001" customHeight="1" x14ac:dyDescent="0.15">
      <c r="A15" s="6" t="s">
        <v>146</v>
      </c>
      <c r="B15" s="7">
        <v>-242490.48</v>
      </c>
      <c r="C15" s="7">
        <v>-716915.61</v>
      </c>
      <c r="D15" s="7">
        <v>-1149066.1399999999</v>
      </c>
    </row>
    <row r="16" spans="1:4" ht="20.100000000000001" customHeight="1" x14ac:dyDescent="0.15">
      <c r="A16" s="6" t="s">
        <v>147</v>
      </c>
      <c r="B16" s="7"/>
      <c r="C16" s="7"/>
      <c r="D16" s="7"/>
    </row>
    <row r="17" spans="1:4" ht="20.100000000000001" customHeight="1" x14ac:dyDescent="0.15">
      <c r="A17" s="6" t="s">
        <v>148</v>
      </c>
      <c r="B17" s="7">
        <v>0</v>
      </c>
      <c r="C17" s="7">
        <v>0</v>
      </c>
      <c r="D17" s="7">
        <v>0</v>
      </c>
    </row>
    <row r="18" spans="1:4" ht="20.100000000000001" customHeight="1" x14ac:dyDescent="0.15">
      <c r="A18" s="6" t="s">
        <v>149</v>
      </c>
      <c r="B18" s="7">
        <v>0</v>
      </c>
      <c r="C18" s="7">
        <v>0</v>
      </c>
      <c r="D18" s="7">
        <v>0</v>
      </c>
    </row>
    <row r="19" spans="1:4" ht="20.100000000000001" customHeight="1" x14ac:dyDescent="0.15">
      <c r="A19" s="6" t="s">
        <v>150</v>
      </c>
      <c r="B19" s="7">
        <v>0</v>
      </c>
      <c r="C19" s="7">
        <v>0</v>
      </c>
      <c r="D19" s="7">
        <v>0</v>
      </c>
    </row>
    <row r="20" spans="1:4" ht="20.100000000000001" customHeight="1" x14ac:dyDescent="0.15">
      <c r="A20" s="6" t="s">
        <v>151</v>
      </c>
      <c r="B20" s="7">
        <v>0</v>
      </c>
      <c r="C20" s="7">
        <v>0</v>
      </c>
      <c r="D20" s="7">
        <v>0</v>
      </c>
    </row>
    <row r="21" spans="1:4" ht="20.100000000000001" customHeight="1" x14ac:dyDescent="0.15">
      <c r="A21" s="6" t="s">
        <v>152</v>
      </c>
      <c r="B21" s="7">
        <v>0</v>
      </c>
      <c r="C21" s="7">
        <v>0</v>
      </c>
      <c r="D21" s="7">
        <v>0</v>
      </c>
    </row>
    <row r="22" spans="1:4" ht="20.100000000000001" customHeight="1" x14ac:dyDescent="0.15">
      <c r="A22" s="6" t="s">
        <v>153</v>
      </c>
      <c r="B22" s="7">
        <v>0</v>
      </c>
      <c r="C22" s="7">
        <v>0</v>
      </c>
      <c r="D22" s="7">
        <v>0</v>
      </c>
    </row>
    <row r="23" spans="1:4" ht="20.100000000000001" customHeight="1" x14ac:dyDescent="0.15">
      <c r="A23" s="6" t="s">
        <v>154</v>
      </c>
      <c r="B23" s="7">
        <v>7452.67</v>
      </c>
      <c r="C23" s="7">
        <v>580284.55000000005</v>
      </c>
      <c r="D23" s="7">
        <v>497542.37</v>
      </c>
    </row>
    <row r="24" spans="1:4" ht="20.100000000000001" customHeight="1" x14ac:dyDescent="0.15">
      <c r="A24" s="6" t="s">
        <v>155</v>
      </c>
      <c r="B24" s="7">
        <v>0</v>
      </c>
      <c r="C24" s="7">
        <v>0</v>
      </c>
      <c r="D24" s="7">
        <v>0</v>
      </c>
    </row>
    <row r="25" spans="1:4" ht="20.100000000000001" customHeight="1" x14ac:dyDescent="0.15">
      <c r="A25" s="6" t="s">
        <v>156</v>
      </c>
      <c r="B25" s="7">
        <v>0</v>
      </c>
      <c r="C25" s="7">
        <v>0</v>
      </c>
      <c r="D25" s="7">
        <v>0</v>
      </c>
    </row>
    <row r="26" spans="1:4" ht="20.100000000000001" customHeight="1" x14ac:dyDescent="0.15">
      <c r="A26" s="6" t="s">
        <v>157</v>
      </c>
      <c r="B26" s="7">
        <v>0</v>
      </c>
      <c r="C26" s="7">
        <v>0</v>
      </c>
      <c r="D26" s="7">
        <v>0</v>
      </c>
    </row>
    <row r="27" spans="1:4" ht="20.100000000000001" customHeight="1" x14ac:dyDescent="0.15">
      <c r="A27" s="6" t="s">
        <v>158</v>
      </c>
      <c r="B27" s="7">
        <v>7452.67</v>
      </c>
      <c r="C27" s="7">
        <v>580284.55000000005</v>
      </c>
      <c r="D27" s="7">
        <v>497542.37</v>
      </c>
    </row>
    <row r="28" spans="1:4" ht="20.100000000000001" customHeight="1" x14ac:dyDescent="0.15">
      <c r="A28" s="6" t="s">
        <v>159</v>
      </c>
      <c r="B28" s="7">
        <v>-7452.67</v>
      </c>
      <c r="C28" s="7">
        <v>-580284.55000000005</v>
      </c>
      <c r="D28" s="7">
        <v>-497542.37</v>
      </c>
    </row>
    <row r="29" spans="1:4" ht="20.100000000000001" customHeight="1" x14ac:dyDescent="0.15">
      <c r="A29" s="6" t="s">
        <v>160</v>
      </c>
      <c r="B29" s="7"/>
      <c r="C29" s="7"/>
      <c r="D29" s="7"/>
    </row>
    <row r="30" spans="1:4" ht="20.100000000000001" customHeight="1" x14ac:dyDescent="0.15">
      <c r="A30" s="6" t="s">
        <v>161</v>
      </c>
      <c r="B30" s="7">
        <v>0</v>
      </c>
      <c r="C30" s="7">
        <v>0</v>
      </c>
      <c r="D30" s="7">
        <v>0</v>
      </c>
    </row>
    <row r="31" spans="1:4" ht="20.100000000000001" customHeight="1" x14ac:dyDescent="0.15">
      <c r="A31" s="6" t="s">
        <v>162</v>
      </c>
      <c r="B31" s="7">
        <v>0</v>
      </c>
      <c r="C31" s="7">
        <v>1500000</v>
      </c>
      <c r="D31" s="7">
        <v>1700000</v>
      </c>
    </row>
    <row r="32" spans="1:4" ht="20.100000000000001" customHeight="1" x14ac:dyDescent="0.15">
      <c r="A32" s="6" t="s">
        <v>163</v>
      </c>
      <c r="B32" s="7">
        <v>0</v>
      </c>
      <c r="C32" s="7">
        <v>0</v>
      </c>
      <c r="D32" s="7">
        <v>0</v>
      </c>
    </row>
    <row r="33" spans="1:4" ht="20.100000000000001" customHeight="1" x14ac:dyDescent="0.15">
      <c r="A33" s="6" t="s">
        <v>164</v>
      </c>
      <c r="B33" s="7">
        <v>0</v>
      </c>
      <c r="C33" s="7">
        <v>1500000</v>
      </c>
      <c r="D33" s="7">
        <v>1700000</v>
      </c>
    </row>
    <row r="34" spans="1:4" ht="20.100000000000001" customHeight="1" x14ac:dyDescent="0.15">
      <c r="A34" s="6" t="s">
        <v>165</v>
      </c>
      <c r="B34" s="7">
        <v>0</v>
      </c>
      <c r="C34" s="7">
        <v>0</v>
      </c>
      <c r="D34" s="7">
        <v>0</v>
      </c>
    </row>
    <row r="35" spans="1:4" ht="20.100000000000001" customHeight="1" x14ac:dyDescent="0.15">
      <c r="A35" s="6" t="s">
        <v>166</v>
      </c>
      <c r="B35" s="7">
        <v>0</v>
      </c>
      <c r="C35" s="7">
        <v>0</v>
      </c>
      <c r="D35" s="7">
        <v>0</v>
      </c>
    </row>
    <row r="36" spans="1:4" ht="20.100000000000001" customHeight="1" x14ac:dyDescent="0.15">
      <c r="A36" s="6" t="s">
        <v>167</v>
      </c>
      <c r="B36" s="7">
        <v>0</v>
      </c>
      <c r="C36" s="7">
        <v>0</v>
      </c>
      <c r="D36" s="7">
        <v>0</v>
      </c>
    </row>
    <row r="37" spans="1:4" ht="20.100000000000001" customHeight="1" x14ac:dyDescent="0.15">
      <c r="A37" s="6" t="s">
        <v>168</v>
      </c>
      <c r="B37" s="7">
        <v>0</v>
      </c>
      <c r="C37" s="7">
        <v>0</v>
      </c>
      <c r="D37" s="7">
        <v>0</v>
      </c>
    </row>
    <row r="38" spans="1:4" ht="20.100000000000001" customHeight="1" x14ac:dyDescent="0.15">
      <c r="A38" s="6" t="s">
        <v>169</v>
      </c>
      <c r="B38" s="7">
        <v>0</v>
      </c>
      <c r="C38" s="7">
        <v>1500000</v>
      </c>
      <c r="D38" s="7">
        <v>1700000</v>
      </c>
    </row>
    <row r="39" spans="1:4" ht="20.100000000000001" customHeight="1" x14ac:dyDescent="0.15">
      <c r="A39" s="6" t="s">
        <v>170</v>
      </c>
      <c r="B39" s="7"/>
      <c r="C39" s="7"/>
      <c r="D39" s="7"/>
    </row>
    <row r="40" spans="1:4" ht="20.100000000000001" customHeight="1" x14ac:dyDescent="0.15">
      <c r="A40" s="6" t="s">
        <v>171</v>
      </c>
      <c r="B40" s="7">
        <v>-249943.15</v>
      </c>
      <c r="C40" s="7">
        <v>202799.84</v>
      </c>
      <c r="D40" s="7">
        <v>53391.490000000202</v>
      </c>
    </row>
    <row r="41" spans="1:4" ht="20.100000000000001" customHeight="1" x14ac:dyDescent="0.15">
      <c r="A41" s="6" t="s">
        <v>172</v>
      </c>
      <c r="B41" s="7">
        <v>1673413.53</v>
      </c>
      <c r="C41" s="7">
        <v>1220670.54</v>
      </c>
      <c r="D41" s="7">
        <v>1349171.79</v>
      </c>
    </row>
    <row r="42" spans="1:4" ht="20.100000000000001" customHeight="1" x14ac:dyDescent="0.15">
      <c r="A42" s="6" t="s">
        <v>173</v>
      </c>
      <c r="B42" s="7">
        <v>1423470.38</v>
      </c>
      <c r="C42" s="7">
        <v>1423470.38</v>
      </c>
      <c r="D42" s="7">
        <v>1402563.28</v>
      </c>
    </row>
    <row r="43" spans="1:4" ht="15" customHeight="1" x14ac:dyDescent="0.15">
      <c r="B43" s="9"/>
      <c r="C43" s="9"/>
      <c r="D43" s="9"/>
    </row>
    <row r="44" spans="1:4" ht="15" customHeight="1" x14ac:dyDescent="0.15">
      <c r="B44" s="9"/>
      <c r="C44" s="9"/>
      <c r="D44" s="9"/>
    </row>
  </sheetData>
  <mergeCells count="1">
    <mergeCell ref="A1:D1"/>
  </mergeCells>
  <phoneticPr fontId="15" type="noConversion"/>
  <printOptions gridLines="1"/>
  <pageMargins left="0.6692913385826772" right="0.6692913385826772" top="0.70866141732283472" bottom="0.70866141732283472" header="0.31496062992125984" footer="0.31496062992125984"/>
  <pageSetup paperSize="9" scale="70" fitToHeight="0" orientation="portrait" blackAndWhite="1" useFirstPageNumber="1" r:id="rId1"/>
  <headerFooter>
    <oddFooter>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9ABB-C721-4FD8-B516-DA90AC55FDB5}">
  <sheetPr>
    <pageSetUpPr fitToPage="1"/>
  </sheetPr>
  <dimension ref="A1:L284"/>
  <sheetViews>
    <sheetView workbookViewId="0">
      <selection activeCell="D32" sqref="D32"/>
    </sheetView>
  </sheetViews>
  <sheetFormatPr defaultRowHeight="14.25" x14ac:dyDescent="0.15"/>
  <cols>
    <col min="1" max="1" width="19.125" style="14" customWidth="1" collapsed="1"/>
    <col min="2" max="2" width="34.125" style="14" bestFit="1" customWidth="1" collapsed="1"/>
    <col min="3" max="3" width="19.125" style="14" customWidth="1" collapsed="1"/>
    <col min="4" max="4" width="42.125" style="14" bestFit="1" customWidth="1" collapsed="1"/>
    <col min="5" max="12" width="19.125" style="14" customWidth="1" collapsed="1"/>
    <col min="13" max="16384" width="9" style="14"/>
  </cols>
  <sheetData>
    <row r="1" spans="1:12" ht="15" customHeight="1" x14ac:dyDescent="0.15">
      <c r="A1" s="15" t="s">
        <v>176</v>
      </c>
      <c r="B1" s="15" t="s">
        <v>177</v>
      </c>
      <c r="C1" s="15" t="s">
        <v>524</v>
      </c>
      <c r="D1" s="15"/>
      <c r="E1" s="15"/>
      <c r="F1" s="15"/>
      <c r="G1" s="15"/>
      <c r="H1" s="15"/>
      <c r="I1" s="15"/>
      <c r="J1" s="15"/>
      <c r="K1" s="15"/>
      <c r="L1" s="15"/>
    </row>
    <row r="2" spans="1:12" ht="15" customHeight="1" x14ac:dyDescent="0.15">
      <c r="A2" s="23" t="s">
        <v>178</v>
      </c>
      <c r="B2" s="23" t="s">
        <v>179</v>
      </c>
      <c r="C2" s="23" t="s">
        <v>180</v>
      </c>
      <c r="D2" s="23" t="s">
        <v>181</v>
      </c>
      <c r="E2" s="23" t="s">
        <v>182</v>
      </c>
      <c r="F2" s="24" t="s">
        <v>182</v>
      </c>
      <c r="G2" s="23" t="s">
        <v>183</v>
      </c>
      <c r="H2" s="24" t="s">
        <v>183</v>
      </c>
      <c r="I2" s="23" t="s">
        <v>184</v>
      </c>
      <c r="J2" s="24" t="s">
        <v>184</v>
      </c>
      <c r="K2" s="23" t="s">
        <v>4</v>
      </c>
      <c r="L2" s="24" t="s">
        <v>4</v>
      </c>
    </row>
    <row r="3" spans="1:12" ht="15" customHeight="1" x14ac:dyDescent="0.15">
      <c r="A3" s="24" t="s">
        <v>178</v>
      </c>
      <c r="B3" s="24" t="s">
        <v>179</v>
      </c>
      <c r="C3" s="24" t="s">
        <v>180</v>
      </c>
      <c r="D3" s="24" t="s">
        <v>181</v>
      </c>
      <c r="E3" s="15" t="s">
        <v>185</v>
      </c>
      <c r="F3" s="15" t="s">
        <v>186</v>
      </c>
      <c r="G3" s="15" t="s">
        <v>185</v>
      </c>
      <c r="H3" s="15" t="s">
        <v>186</v>
      </c>
      <c r="I3" s="15" t="s">
        <v>185</v>
      </c>
      <c r="J3" s="15" t="s">
        <v>186</v>
      </c>
      <c r="K3" s="15" t="s">
        <v>185</v>
      </c>
      <c r="L3" s="15" t="s">
        <v>186</v>
      </c>
    </row>
    <row r="4" spans="1:12" ht="15" customHeight="1" x14ac:dyDescent="0.2">
      <c r="A4" s="15" t="s">
        <v>187</v>
      </c>
      <c r="B4" s="15" t="s">
        <v>188</v>
      </c>
      <c r="C4" s="15"/>
      <c r="D4" s="15"/>
      <c r="E4" s="16">
        <v>1220670.54</v>
      </c>
      <c r="F4" s="15"/>
      <c r="G4" s="16">
        <v>2791875.4</v>
      </c>
      <c r="H4" s="16">
        <v>2589075.56</v>
      </c>
      <c r="I4" s="16">
        <v>2791875.4</v>
      </c>
      <c r="J4" s="16">
        <v>2589075.56</v>
      </c>
      <c r="K4" s="16">
        <v>1423470.38</v>
      </c>
      <c r="L4" s="15"/>
    </row>
    <row r="5" spans="1:12" ht="15" customHeight="1" x14ac:dyDescent="0.2">
      <c r="A5" s="15" t="s">
        <v>189</v>
      </c>
      <c r="B5" s="15" t="s">
        <v>190</v>
      </c>
      <c r="C5" s="15"/>
      <c r="D5" s="15"/>
      <c r="E5" s="16">
        <v>199164.67</v>
      </c>
      <c r="F5" s="15"/>
      <c r="G5" s="16">
        <v>11533.33</v>
      </c>
      <c r="H5" s="15"/>
      <c r="I5" s="16">
        <v>11533.33</v>
      </c>
      <c r="J5" s="15"/>
      <c r="K5" s="16">
        <v>210698</v>
      </c>
      <c r="L5" s="15"/>
    </row>
    <row r="6" spans="1:12" ht="15" customHeight="1" x14ac:dyDescent="0.2">
      <c r="A6" s="15" t="s">
        <v>484</v>
      </c>
      <c r="B6" s="15" t="s">
        <v>485</v>
      </c>
      <c r="C6" s="15"/>
      <c r="D6" s="15"/>
      <c r="E6" s="16">
        <v>77703.199999999997</v>
      </c>
      <c r="F6" s="15"/>
      <c r="G6" s="16">
        <v>1268214.25</v>
      </c>
      <c r="H6" s="16">
        <v>900815.74</v>
      </c>
      <c r="I6" s="16">
        <v>1268214.25</v>
      </c>
      <c r="J6" s="16">
        <v>900815.74</v>
      </c>
      <c r="K6" s="16">
        <v>445101.71</v>
      </c>
      <c r="L6" s="15"/>
    </row>
    <row r="7" spans="1:12" ht="15" customHeight="1" x14ac:dyDescent="0.2">
      <c r="A7" s="15" t="s">
        <v>191</v>
      </c>
      <c r="B7" s="15" t="s">
        <v>192</v>
      </c>
      <c r="C7" s="15"/>
      <c r="D7" s="15"/>
      <c r="E7" s="16">
        <v>412146.99</v>
      </c>
      <c r="F7" s="15"/>
      <c r="G7" s="16">
        <v>1512061.36</v>
      </c>
      <c r="H7" s="16">
        <v>1688259.82</v>
      </c>
      <c r="I7" s="16">
        <v>1512061.36</v>
      </c>
      <c r="J7" s="16">
        <v>1688259.82</v>
      </c>
      <c r="K7" s="16">
        <v>235948.53</v>
      </c>
      <c r="L7" s="15"/>
    </row>
    <row r="8" spans="1:12" ht="15" customHeight="1" x14ac:dyDescent="0.2">
      <c r="A8" s="15" t="s">
        <v>193</v>
      </c>
      <c r="B8" s="15" t="s">
        <v>194</v>
      </c>
      <c r="C8" s="15"/>
      <c r="D8" s="15"/>
      <c r="E8" s="16">
        <v>531655.68000000005</v>
      </c>
      <c r="F8" s="15"/>
      <c r="G8" s="16">
        <v>66.459999999999994</v>
      </c>
      <c r="H8" s="15"/>
      <c r="I8" s="16">
        <v>66.459999999999994</v>
      </c>
      <c r="J8" s="15"/>
      <c r="K8" s="16">
        <v>531722.14</v>
      </c>
      <c r="L8" s="15"/>
    </row>
    <row r="9" spans="1:12" ht="15" customHeight="1" x14ac:dyDescent="0.2">
      <c r="A9" s="15" t="s">
        <v>195</v>
      </c>
      <c r="B9" s="15" t="s">
        <v>196</v>
      </c>
      <c r="C9" s="15"/>
      <c r="D9" s="15"/>
      <c r="E9" s="16">
        <v>1333021405.9300001</v>
      </c>
      <c r="F9" s="15"/>
      <c r="G9" s="16">
        <v>179647.64</v>
      </c>
      <c r="H9" s="16">
        <v>179647.64</v>
      </c>
      <c r="I9" s="16">
        <v>179647.64</v>
      </c>
      <c r="J9" s="16">
        <v>179647.64</v>
      </c>
      <c r="K9" s="16">
        <v>1333021405.9300001</v>
      </c>
      <c r="L9" s="15"/>
    </row>
    <row r="10" spans="1:12" ht="15" customHeight="1" x14ac:dyDescent="0.2">
      <c r="A10" s="15" t="s">
        <v>197</v>
      </c>
      <c r="B10" s="15" t="s">
        <v>198</v>
      </c>
      <c r="C10" s="15"/>
      <c r="D10" s="15"/>
      <c r="E10" s="16">
        <v>1332986818.9300001</v>
      </c>
      <c r="F10" s="15"/>
      <c r="G10" s="15"/>
      <c r="H10" s="15"/>
      <c r="I10" s="15"/>
      <c r="J10" s="15"/>
      <c r="K10" s="16">
        <v>1332986818.9300001</v>
      </c>
      <c r="L10" s="15"/>
    </row>
    <row r="11" spans="1:12" ht="15" customHeight="1" x14ac:dyDescent="0.2">
      <c r="A11" s="15"/>
      <c r="B11" s="15"/>
      <c r="C11" s="15" t="s">
        <v>199</v>
      </c>
      <c r="D11" s="15" t="s">
        <v>200</v>
      </c>
      <c r="E11" s="16">
        <v>300000000</v>
      </c>
      <c r="F11" s="15"/>
      <c r="G11" s="15"/>
      <c r="H11" s="15"/>
      <c r="I11" s="15"/>
      <c r="J11" s="15"/>
      <c r="K11" s="16">
        <v>300000000</v>
      </c>
      <c r="L11" s="15"/>
    </row>
    <row r="12" spans="1:12" ht="15" customHeight="1" x14ac:dyDescent="0.2">
      <c r="A12" s="15"/>
      <c r="B12" s="15"/>
      <c r="C12" s="15" t="s">
        <v>201</v>
      </c>
      <c r="D12" s="15" t="s">
        <v>202</v>
      </c>
      <c r="E12" s="16">
        <v>2000</v>
      </c>
      <c r="F12" s="15"/>
      <c r="G12" s="15"/>
      <c r="H12" s="15"/>
      <c r="I12" s="15"/>
      <c r="J12" s="15"/>
      <c r="K12" s="16">
        <v>2000</v>
      </c>
      <c r="L12" s="15"/>
    </row>
    <row r="13" spans="1:12" ht="15" customHeight="1" x14ac:dyDescent="0.2">
      <c r="A13" s="15"/>
      <c r="B13" s="15"/>
      <c r="C13" s="15" t="s">
        <v>203</v>
      </c>
      <c r="D13" s="15" t="s">
        <v>204</v>
      </c>
      <c r="E13" s="16">
        <v>150000</v>
      </c>
      <c r="F13" s="15"/>
      <c r="G13" s="15"/>
      <c r="H13" s="15"/>
      <c r="I13" s="15"/>
      <c r="J13" s="15"/>
      <c r="K13" s="16">
        <v>150000</v>
      </c>
      <c r="L13" s="15"/>
    </row>
    <row r="14" spans="1:12" ht="15" customHeight="1" x14ac:dyDescent="0.2">
      <c r="A14" s="15"/>
      <c r="B14" s="15"/>
      <c r="C14" s="15" t="s">
        <v>205</v>
      </c>
      <c r="D14" s="15" t="s">
        <v>206</v>
      </c>
      <c r="E14" s="16">
        <v>1032834818.9299999</v>
      </c>
      <c r="F14" s="15"/>
      <c r="G14" s="15"/>
      <c r="H14" s="15"/>
      <c r="I14" s="15"/>
      <c r="J14" s="15"/>
      <c r="K14" s="16">
        <v>1032834818.9299999</v>
      </c>
      <c r="L14" s="15"/>
    </row>
    <row r="15" spans="1:12" ht="15" customHeight="1" x14ac:dyDescent="0.2">
      <c r="A15" s="15" t="s">
        <v>207</v>
      </c>
      <c r="B15" s="15" t="s">
        <v>208</v>
      </c>
      <c r="C15" s="15"/>
      <c r="D15" s="15"/>
      <c r="E15" s="16">
        <v>23000</v>
      </c>
      <c r="F15" s="15"/>
      <c r="G15" s="15"/>
      <c r="H15" s="15"/>
      <c r="I15" s="15"/>
      <c r="J15" s="15"/>
      <c r="K15" s="16">
        <v>23000</v>
      </c>
      <c r="L15" s="15"/>
    </row>
    <row r="16" spans="1:12" ht="15" customHeight="1" x14ac:dyDescent="0.2">
      <c r="A16" s="15"/>
      <c r="B16" s="15"/>
      <c r="C16" s="15" t="s">
        <v>209</v>
      </c>
      <c r="D16" s="15" t="s">
        <v>210</v>
      </c>
      <c r="E16" s="16">
        <v>23000</v>
      </c>
      <c r="F16" s="15"/>
      <c r="G16" s="15"/>
      <c r="H16" s="15"/>
      <c r="I16" s="15"/>
      <c r="J16" s="15"/>
      <c r="K16" s="16">
        <v>23000</v>
      </c>
      <c r="L16" s="15"/>
    </row>
    <row r="17" spans="1:12" ht="15" customHeight="1" x14ac:dyDescent="0.2">
      <c r="A17" s="15" t="s">
        <v>490</v>
      </c>
      <c r="B17" s="15" t="s">
        <v>313</v>
      </c>
      <c r="C17" s="15"/>
      <c r="D17" s="15"/>
      <c r="E17" s="15"/>
      <c r="F17" s="15"/>
      <c r="G17" s="16">
        <v>40603.64</v>
      </c>
      <c r="H17" s="16">
        <v>40603.64</v>
      </c>
      <c r="I17" s="16">
        <v>40603.64</v>
      </c>
      <c r="J17" s="16">
        <v>40603.64</v>
      </c>
      <c r="K17" s="15"/>
      <c r="L17" s="15"/>
    </row>
    <row r="18" spans="1:12" ht="15" customHeight="1" x14ac:dyDescent="0.2">
      <c r="A18" s="15" t="s">
        <v>491</v>
      </c>
      <c r="B18" s="15" t="s">
        <v>314</v>
      </c>
      <c r="C18" s="15"/>
      <c r="D18" s="15"/>
      <c r="E18" s="16">
        <v>11587</v>
      </c>
      <c r="F18" s="15"/>
      <c r="G18" s="16">
        <v>139044</v>
      </c>
      <c r="H18" s="16">
        <v>139044</v>
      </c>
      <c r="I18" s="16">
        <v>139044</v>
      </c>
      <c r="J18" s="16">
        <v>139044</v>
      </c>
      <c r="K18" s="16">
        <v>11587</v>
      </c>
      <c r="L18" s="15"/>
    </row>
    <row r="19" spans="1:12" ht="15" customHeight="1" x14ac:dyDescent="0.2">
      <c r="A19" s="15" t="s">
        <v>211</v>
      </c>
      <c r="B19" s="15" t="s">
        <v>212</v>
      </c>
      <c r="C19" s="15"/>
      <c r="D19" s="15"/>
      <c r="E19" s="15"/>
      <c r="F19" s="16">
        <v>1342508534.3599999</v>
      </c>
      <c r="G19" s="15"/>
      <c r="H19" s="15"/>
      <c r="I19" s="15"/>
      <c r="J19" s="15"/>
      <c r="K19" s="15"/>
      <c r="L19" s="16">
        <v>1342508534.3599999</v>
      </c>
    </row>
    <row r="20" spans="1:12" ht="15" customHeight="1" x14ac:dyDescent="0.2">
      <c r="A20" s="15" t="s">
        <v>213</v>
      </c>
      <c r="B20" s="15" t="s">
        <v>214</v>
      </c>
      <c r="C20" s="15"/>
      <c r="D20" s="15"/>
      <c r="E20" s="15"/>
      <c r="F20" s="16">
        <v>1320896818.9300001</v>
      </c>
      <c r="G20" s="15"/>
      <c r="H20" s="15"/>
      <c r="I20" s="15"/>
      <c r="J20" s="15"/>
      <c r="K20" s="15"/>
      <c r="L20" s="16">
        <v>1320896818.9300001</v>
      </c>
    </row>
    <row r="21" spans="1:12" ht="15" customHeight="1" x14ac:dyDescent="0.2">
      <c r="A21" s="15"/>
      <c r="B21" s="15"/>
      <c r="C21" s="15" t="s">
        <v>199</v>
      </c>
      <c r="D21" s="15" t="s">
        <v>200</v>
      </c>
      <c r="E21" s="15"/>
      <c r="F21" s="16">
        <v>287910000</v>
      </c>
      <c r="G21" s="15"/>
      <c r="H21" s="15"/>
      <c r="I21" s="15"/>
      <c r="J21" s="15"/>
      <c r="K21" s="15"/>
      <c r="L21" s="16">
        <v>287910000</v>
      </c>
    </row>
    <row r="22" spans="1:12" ht="15" customHeight="1" x14ac:dyDescent="0.2">
      <c r="A22" s="15"/>
      <c r="B22" s="15"/>
      <c r="C22" s="15" t="s">
        <v>215</v>
      </c>
      <c r="D22" s="15" t="s">
        <v>206</v>
      </c>
      <c r="E22" s="15"/>
      <c r="F22" s="16">
        <v>1032834818.9299999</v>
      </c>
      <c r="G22" s="15"/>
      <c r="H22" s="15"/>
      <c r="I22" s="15"/>
      <c r="J22" s="15"/>
      <c r="K22" s="15"/>
      <c r="L22" s="16">
        <v>1032834818.9299999</v>
      </c>
    </row>
    <row r="23" spans="1:12" ht="15" customHeight="1" x14ac:dyDescent="0.2">
      <c r="A23" s="15"/>
      <c r="B23" s="15"/>
      <c r="C23" s="15" t="s">
        <v>201</v>
      </c>
      <c r="D23" s="15" t="s">
        <v>202</v>
      </c>
      <c r="E23" s="15"/>
      <c r="F23" s="16">
        <v>2000</v>
      </c>
      <c r="G23" s="15"/>
      <c r="H23" s="15"/>
      <c r="I23" s="15"/>
      <c r="J23" s="15"/>
      <c r="K23" s="15"/>
      <c r="L23" s="16">
        <v>2000</v>
      </c>
    </row>
    <row r="24" spans="1:12" ht="15" customHeight="1" x14ac:dyDescent="0.2">
      <c r="A24" s="15"/>
      <c r="B24" s="15"/>
      <c r="C24" s="15" t="s">
        <v>203</v>
      </c>
      <c r="D24" s="15" t="s">
        <v>204</v>
      </c>
      <c r="E24" s="15"/>
      <c r="F24" s="16">
        <v>150000</v>
      </c>
      <c r="G24" s="15"/>
      <c r="H24" s="15"/>
      <c r="I24" s="15"/>
      <c r="J24" s="15"/>
      <c r="K24" s="15"/>
      <c r="L24" s="16">
        <v>150000</v>
      </c>
    </row>
    <row r="25" spans="1:12" ht="15" customHeight="1" x14ac:dyDescent="0.2">
      <c r="A25" s="15" t="s">
        <v>492</v>
      </c>
      <c r="B25" s="15" t="s">
        <v>493</v>
      </c>
      <c r="C25" s="15"/>
      <c r="D25" s="15"/>
      <c r="E25" s="15"/>
      <c r="F25" s="16">
        <v>21611715.43</v>
      </c>
      <c r="G25" s="15"/>
      <c r="H25" s="15"/>
      <c r="I25" s="15"/>
      <c r="J25" s="15"/>
      <c r="K25" s="15"/>
      <c r="L25" s="16">
        <v>21611715.43</v>
      </c>
    </row>
    <row r="26" spans="1:12" ht="15" customHeight="1" x14ac:dyDescent="0.2">
      <c r="A26" s="15"/>
      <c r="B26" s="15"/>
      <c r="C26" s="15" t="s">
        <v>199</v>
      </c>
      <c r="D26" s="15" t="s">
        <v>200</v>
      </c>
      <c r="E26" s="15"/>
      <c r="F26" s="16">
        <v>21611715.43</v>
      </c>
      <c r="G26" s="15"/>
      <c r="H26" s="15"/>
      <c r="I26" s="15"/>
      <c r="J26" s="15"/>
      <c r="K26" s="15"/>
      <c r="L26" s="16">
        <v>21611715.43</v>
      </c>
    </row>
    <row r="27" spans="1:12" ht="15" customHeight="1" x14ac:dyDescent="0.2">
      <c r="A27" s="15" t="s">
        <v>216</v>
      </c>
      <c r="B27" s="15" t="s">
        <v>217</v>
      </c>
      <c r="C27" s="15"/>
      <c r="D27" s="15"/>
      <c r="E27" s="16">
        <v>21652386.289999999</v>
      </c>
      <c r="F27" s="15"/>
      <c r="G27" s="16">
        <v>51078.86</v>
      </c>
      <c r="H27" s="15"/>
      <c r="I27" s="16">
        <v>51078.86</v>
      </c>
      <c r="J27" s="15"/>
      <c r="K27" s="16">
        <v>21703465.149999999</v>
      </c>
      <c r="L27" s="15"/>
    </row>
    <row r="28" spans="1:12" ht="15" customHeight="1" x14ac:dyDescent="0.2">
      <c r="A28" s="15"/>
      <c r="B28" s="15"/>
      <c r="C28" s="15" t="s">
        <v>218</v>
      </c>
      <c r="D28" s="15" t="s">
        <v>219</v>
      </c>
      <c r="E28" s="15"/>
      <c r="F28" s="16">
        <v>120.1</v>
      </c>
      <c r="G28" s="16">
        <v>50430.86</v>
      </c>
      <c r="H28" s="15"/>
      <c r="I28" s="16">
        <v>50430.86</v>
      </c>
      <c r="J28" s="15"/>
      <c r="K28" s="16">
        <v>50310.76</v>
      </c>
      <c r="L28" s="15"/>
    </row>
    <row r="29" spans="1:12" ht="15" customHeight="1" x14ac:dyDescent="0.2">
      <c r="A29" s="15"/>
      <c r="B29" s="15"/>
      <c r="C29" s="15" t="s">
        <v>199</v>
      </c>
      <c r="D29" s="15" t="s">
        <v>200</v>
      </c>
      <c r="E29" s="16">
        <v>21652101.390000001</v>
      </c>
      <c r="F29" s="15"/>
      <c r="G29" s="15"/>
      <c r="H29" s="15"/>
      <c r="I29" s="15"/>
      <c r="J29" s="15"/>
      <c r="K29" s="16">
        <v>21652101.390000001</v>
      </c>
      <c r="L29" s="15"/>
    </row>
    <row r="30" spans="1:12" ht="15" customHeight="1" x14ac:dyDescent="0.2">
      <c r="A30" s="15"/>
      <c r="B30" s="15"/>
      <c r="C30" s="15" t="s">
        <v>220</v>
      </c>
      <c r="D30" s="15" t="s">
        <v>221</v>
      </c>
      <c r="E30" s="16">
        <v>405</v>
      </c>
      <c r="F30" s="15"/>
      <c r="G30" s="16">
        <v>648</v>
      </c>
      <c r="H30" s="15"/>
      <c r="I30" s="16">
        <v>648</v>
      </c>
      <c r="J30" s="15"/>
      <c r="K30" s="16">
        <v>1053</v>
      </c>
      <c r="L30" s="15"/>
    </row>
    <row r="31" spans="1:12" ht="15" customHeight="1" x14ac:dyDescent="0.2">
      <c r="A31" s="15" t="s">
        <v>224</v>
      </c>
      <c r="B31" s="15" t="s">
        <v>225</v>
      </c>
      <c r="C31" s="15"/>
      <c r="D31" s="15"/>
      <c r="E31" s="16">
        <v>12048315.1</v>
      </c>
      <c r="F31" s="15"/>
      <c r="G31" s="15"/>
      <c r="H31" s="15"/>
      <c r="I31" s="15"/>
      <c r="J31" s="15"/>
      <c r="K31" s="16">
        <v>12048315.1</v>
      </c>
      <c r="L31" s="15"/>
    </row>
    <row r="32" spans="1:12" ht="15" customHeight="1" x14ac:dyDescent="0.2">
      <c r="A32" s="15" t="s">
        <v>226</v>
      </c>
      <c r="B32" s="15" t="s">
        <v>227</v>
      </c>
      <c r="C32" s="15"/>
      <c r="D32" s="15"/>
      <c r="E32" s="16">
        <v>25359.16</v>
      </c>
      <c r="F32" s="15"/>
      <c r="G32" s="15"/>
      <c r="H32" s="15"/>
      <c r="I32" s="15"/>
      <c r="J32" s="15"/>
      <c r="K32" s="16">
        <v>25359.16</v>
      </c>
      <c r="L32" s="15"/>
    </row>
    <row r="33" spans="1:12" ht="15" customHeight="1" x14ac:dyDescent="0.2">
      <c r="A33" s="15" t="s">
        <v>228</v>
      </c>
      <c r="B33" s="15" t="s">
        <v>229</v>
      </c>
      <c r="C33" s="15"/>
      <c r="D33" s="15"/>
      <c r="E33" s="16">
        <v>522641.51</v>
      </c>
      <c r="F33" s="15"/>
      <c r="G33" s="15"/>
      <c r="H33" s="15"/>
      <c r="I33" s="15"/>
      <c r="J33" s="15"/>
      <c r="K33" s="16">
        <v>522641.51</v>
      </c>
      <c r="L33" s="15"/>
    </row>
    <row r="34" spans="1:12" ht="15" customHeight="1" x14ac:dyDescent="0.2">
      <c r="A34" s="15"/>
      <c r="B34" s="15"/>
      <c r="C34" s="15" t="s">
        <v>230</v>
      </c>
      <c r="D34" s="15" t="s">
        <v>231</v>
      </c>
      <c r="E34" s="16">
        <v>102830.19</v>
      </c>
      <c r="F34" s="15"/>
      <c r="G34" s="15"/>
      <c r="H34" s="15"/>
      <c r="I34" s="15"/>
      <c r="J34" s="15"/>
      <c r="K34" s="16">
        <v>102830.19</v>
      </c>
      <c r="L34" s="15"/>
    </row>
    <row r="35" spans="1:12" ht="15" customHeight="1" x14ac:dyDescent="0.2">
      <c r="A35" s="15"/>
      <c r="B35" s="15"/>
      <c r="C35" s="15" t="s">
        <v>232</v>
      </c>
      <c r="D35" s="15" t="s">
        <v>233</v>
      </c>
      <c r="E35" s="16">
        <v>419811.32</v>
      </c>
      <c r="F35" s="15"/>
      <c r="G35" s="15"/>
      <c r="H35" s="15"/>
      <c r="I35" s="15"/>
      <c r="J35" s="15"/>
      <c r="K35" s="16">
        <v>419811.32</v>
      </c>
      <c r="L35" s="15"/>
    </row>
    <row r="36" spans="1:12" ht="15" customHeight="1" x14ac:dyDescent="0.2">
      <c r="A36" s="15" t="s">
        <v>234</v>
      </c>
      <c r="B36" s="15" t="s">
        <v>235</v>
      </c>
      <c r="C36" s="15"/>
      <c r="D36" s="15"/>
      <c r="E36" s="16">
        <v>2644924.54</v>
      </c>
      <c r="F36" s="15"/>
      <c r="G36" s="15"/>
      <c r="H36" s="15"/>
      <c r="I36" s="15"/>
      <c r="J36" s="15"/>
      <c r="K36" s="16">
        <v>2644924.54</v>
      </c>
      <c r="L36" s="15"/>
    </row>
    <row r="37" spans="1:12" ht="15" customHeight="1" x14ac:dyDescent="0.2">
      <c r="A37" s="15"/>
      <c r="B37" s="15"/>
      <c r="C37" s="15" t="s">
        <v>232</v>
      </c>
      <c r="D37" s="15" t="s">
        <v>233</v>
      </c>
      <c r="E37" s="16">
        <v>2644924.54</v>
      </c>
      <c r="F37" s="15"/>
      <c r="G37" s="15"/>
      <c r="H37" s="15"/>
      <c r="I37" s="15"/>
      <c r="J37" s="15"/>
      <c r="K37" s="16">
        <v>2644924.54</v>
      </c>
      <c r="L37" s="15"/>
    </row>
    <row r="38" spans="1:12" ht="15" customHeight="1" x14ac:dyDescent="0.2">
      <c r="A38" s="15" t="s">
        <v>236</v>
      </c>
      <c r="B38" s="15" t="s">
        <v>237</v>
      </c>
      <c r="C38" s="15"/>
      <c r="D38" s="15"/>
      <c r="E38" s="16">
        <v>1478485.85</v>
      </c>
      <c r="F38" s="15"/>
      <c r="G38" s="15"/>
      <c r="H38" s="15"/>
      <c r="I38" s="15"/>
      <c r="J38" s="15"/>
      <c r="K38" s="16">
        <v>1478485.85</v>
      </c>
      <c r="L38" s="15"/>
    </row>
    <row r="39" spans="1:12" ht="15" customHeight="1" x14ac:dyDescent="0.2">
      <c r="A39" s="15"/>
      <c r="B39" s="15"/>
      <c r="C39" s="15" t="s">
        <v>232</v>
      </c>
      <c r="D39" s="15" t="s">
        <v>233</v>
      </c>
      <c r="E39" s="16">
        <v>1478485.85</v>
      </c>
      <c r="F39" s="15"/>
      <c r="G39" s="15"/>
      <c r="H39" s="15"/>
      <c r="I39" s="15"/>
      <c r="J39" s="15"/>
      <c r="K39" s="16">
        <v>1478485.85</v>
      </c>
      <c r="L39" s="15"/>
    </row>
    <row r="40" spans="1:12" ht="15" customHeight="1" x14ac:dyDescent="0.2">
      <c r="A40" s="15" t="s">
        <v>238</v>
      </c>
      <c r="B40" s="15" t="s">
        <v>239</v>
      </c>
      <c r="C40" s="15"/>
      <c r="D40" s="15"/>
      <c r="E40" s="16">
        <v>3260768.68</v>
      </c>
      <c r="F40" s="15"/>
      <c r="G40" s="15"/>
      <c r="H40" s="15"/>
      <c r="I40" s="15"/>
      <c r="J40" s="15"/>
      <c r="K40" s="16">
        <v>3260768.68</v>
      </c>
      <c r="L40" s="15"/>
    </row>
    <row r="41" spans="1:12" ht="15" customHeight="1" x14ac:dyDescent="0.2">
      <c r="A41" s="15"/>
      <c r="B41" s="15"/>
      <c r="C41" s="15" t="s">
        <v>232</v>
      </c>
      <c r="D41" s="15" t="s">
        <v>233</v>
      </c>
      <c r="E41" s="16">
        <v>3260768.68</v>
      </c>
      <c r="F41" s="15"/>
      <c r="G41" s="15"/>
      <c r="H41" s="15"/>
      <c r="I41" s="15"/>
      <c r="J41" s="15"/>
      <c r="K41" s="16">
        <v>3260768.68</v>
      </c>
      <c r="L41" s="15"/>
    </row>
    <row r="42" spans="1:12" ht="15" customHeight="1" x14ac:dyDescent="0.2">
      <c r="A42" s="15" t="s">
        <v>240</v>
      </c>
      <c r="B42" s="15" t="s">
        <v>241</v>
      </c>
      <c r="C42" s="15"/>
      <c r="D42" s="15"/>
      <c r="E42" s="16">
        <v>625285.31000000006</v>
      </c>
      <c r="F42" s="15"/>
      <c r="G42" s="15"/>
      <c r="H42" s="15"/>
      <c r="I42" s="15"/>
      <c r="J42" s="15"/>
      <c r="K42" s="16">
        <v>625285.31000000006</v>
      </c>
      <c r="L42" s="15"/>
    </row>
    <row r="43" spans="1:12" ht="15" customHeight="1" x14ac:dyDescent="0.2">
      <c r="A43" s="15"/>
      <c r="B43" s="15"/>
      <c r="C43" s="15" t="s">
        <v>232</v>
      </c>
      <c r="D43" s="15" t="s">
        <v>233</v>
      </c>
      <c r="E43" s="16">
        <v>625285.31000000006</v>
      </c>
      <c r="F43" s="15"/>
      <c r="G43" s="15"/>
      <c r="H43" s="15"/>
      <c r="I43" s="15"/>
      <c r="J43" s="15"/>
      <c r="K43" s="16">
        <v>625285.31000000006</v>
      </c>
      <c r="L43" s="15"/>
    </row>
    <row r="44" spans="1:12" ht="15" customHeight="1" x14ac:dyDescent="0.2">
      <c r="A44" s="15" t="s">
        <v>242</v>
      </c>
      <c r="B44" s="15" t="s">
        <v>243</v>
      </c>
      <c r="C44" s="15"/>
      <c r="D44" s="15"/>
      <c r="E44" s="16">
        <v>1070149.92</v>
      </c>
      <c r="F44" s="15"/>
      <c r="G44" s="15"/>
      <c r="H44" s="15"/>
      <c r="I44" s="15"/>
      <c r="J44" s="15"/>
      <c r="K44" s="16">
        <v>1070149.92</v>
      </c>
      <c r="L44" s="15"/>
    </row>
    <row r="45" spans="1:12" ht="15" customHeight="1" x14ac:dyDescent="0.2">
      <c r="A45" s="15"/>
      <c r="B45" s="15"/>
      <c r="C45" s="15" t="s">
        <v>232</v>
      </c>
      <c r="D45" s="15" t="s">
        <v>233</v>
      </c>
      <c r="E45" s="16">
        <v>1070149.92</v>
      </c>
      <c r="F45" s="15"/>
      <c r="G45" s="15"/>
      <c r="H45" s="15"/>
      <c r="I45" s="15"/>
      <c r="J45" s="15"/>
      <c r="K45" s="16">
        <v>1070149.92</v>
      </c>
      <c r="L45" s="15"/>
    </row>
    <row r="46" spans="1:12" ht="15" customHeight="1" x14ac:dyDescent="0.2">
      <c r="A46" s="15" t="s">
        <v>244</v>
      </c>
      <c r="B46" s="15" t="s">
        <v>245</v>
      </c>
      <c r="C46" s="15"/>
      <c r="D46" s="15"/>
      <c r="E46" s="16">
        <v>2185164.0299999998</v>
      </c>
      <c r="F46" s="15"/>
      <c r="G46" s="15"/>
      <c r="H46" s="15"/>
      <c r="I46" s="15"/>
      <c r="J46" s="15"/>
      <c r="K46" s="16">
        <v>2185164.0299999998</v>
      </c>
      <c r="L46" s="15"/>
    </row>
    <row r="47" spans="1:12" ht="15" customHeight="1" x14ac:dyDescent="0.2">
      <c r="A47" s="15"/>
      <c r="B47" s="15"/>
      <c r="C47" s="15" t="s">
        <v>232</v>
      </c>
      <c r="D47" s="15" t="s">
        <v>233</v>
      </c>
      <c r="E47" s="16">
        <v>2185164.0299999998</v>
      </c>
      <c r="F47" s="15"/>
      <c r="G47" s="15"/>
      <c r="H47" s="15"/>
      <c r="I47" s="15"/>
      <c r="J47" s="15"/>
      <c r="K47" s="16">
        <v>2185164.0299999998</v>
      </c>
      <c r="L47" s="15"/>
    </row>
    <row r="48" spans="1:12" ht="15" customHeight="1" x14ac:dyDescent="0.2">
      <c r="A48" s="15" t="s">
        <v>246</v>
      </c>
      <c r="B48" s="15" t="s">
        <v>247</v>
      </c>
      <c r="C48" s="15"/>
      <c r="D48" s="15"/>
      <c r="E48" s="16">
        <v>209164.42</v>
      </c>
      <c r="F48" s="15"/>
      <c r="G48" s="15"/>
      <c r="H48" s="15"/>
      <c r="I48" s="15"/>
      <c r="J48" s="15"/>
      <c r="K48" s="16">
        <v>209164.42</v>
      </c>
      <c r="L48" s="15"/>
    </row>
    <row r="49" spans="1:12" ht="15" customHeight="1" x14ac:dyDescent="0.2">
      <c r="A49" s="15"/>
      <c r="B49" s="15"/>
      <c r="C49" s="15" t="s">
        <v>232</v>
      </c>
      <c r="D49" s="15" t="s">
        <v>233</v>
      </c>
      <c r="E49" s="16">
        <v>209164.42</v>
      </c>
      <c r="F49" s="15"/>
      <c r="G49" s="15"/>
      <c r="H49" s="15"/>
      <c r="I49" s="15"/>
      <c r="J49" s="15"/>
      <c r="K49" s="16">
        <v>209164.42</v>
      </c>
      <c r="L49" s="15"/>
    </row>
    <row r="50" spans="1:12" ht="15" customHeight="1" x14ac:dyDescent="0.2">
      <c r="A50" s="15" t="s">
        <v>248</v>
      </c>
      <c r="B50" s="15" t="s">
        <v>249</v>
      </c>
      <c r="C50" s="15"/>
      <c r="D50" s="15"/>
      <c r="E50" s="16">
        <v>26371.68</v>
      </c>
      <c r="F50" s="15"/>
      <c r="G50" s="15"/>
      <c r="H50" s="15"/>
      <c r="I50" s="15"/>
      <c r="J50" s="15"/>
      <c r="K50" s="16">
        <v>26371.68</v>
      </c>
      <c r="L50" s="15"/>
    </row>
    <row r="51" spans="1:12" ht="15" customHeight="1" x14ac:dyDescent="0.2">
      <c r="A51" s="15"/>
      <c r="B51" s="15"/>
      <c r="C51" s="15" t="s">
        <v>232</v>
      </c>
      <c r="D51" s="15" t="s">
        <v>233</v>
      </c>
      <c r="E51" s="16">
        <v>26371.68</v>
      </c>
      <c r="F51" s="15"/>
      <c r="G51" s="15"/>
      <c r="H51" s="15"/>
      <c r="I51" s="15"/>
      <c r="J51" s="15"/>
      <c r="K51" s="16">
        <v>26371.68</v>
      </c>
      <c r="L51" s="15"/>
    </row>
    <row r="52" spans="1:12" ht="15" customHeight="1" x14ac:dyDescent="0.2">
      <c r="A52" s="15" t="s">
        <v>250</v>
      </c>
      <c r="B52" s="15" t="s">
        <v>251</v>
      </c>
      <c r="C52" s="15"/>
      <c r="D52" s="15"/>
      <c r="E52" s="15"/>
      <c r="F52" s="16">
        <v>10705445.220000001</v>
      </c>
      <c r="G52" s="15"/>
      <c r="H52" s="16">
        <v>456583.96</v>
      </c>
      <c r="I52" s="15"/>
      <c r="J52" s="16">
        <v>456583.96</v>
      </c>
      <c r="K52" s="15"/>
      <c r="L52" s="16">
        <v>11162029.18</v>
      </c>
    </row>
    <row r="53" spans="1:12" ht="15" customHeight="1" x14ac:dyDescent="0.2">
      <c r="A53" s="15" t="s">
        <v>252</v>
      </c>
      <c r="B53" s="15" t="s">
        <v>227</v>
      </c>
      <c r="C53" s="15"/>
      <c r="D53" s="15"/>
      <c r="E53" s="15"/>
      <c r="F53" s="16">
        <v>19048.61</v>
      </c>
      <c r="G53" s="15"/>
      <c r="H53" s="16">
        <v>722.88</v>
      </c>
      <c r="I53" s="15"/>
      <c r="J53" s="16">
        <v>722.88</v>
      </c>
      <c r="K53" s="15"/>
      <c r="L53" s="16">
        <v>19771.490000000002</v>
      </c>
    </row>
    <row r="54" spans="1:12" ht="15" customHeight="1" x14ac:dyDescent="0.2">
      <c r="A54" s="15" t="s">
        <v>253</v>
      </c>
      <c r="B54" s="15" t="s">
        <v>229</v>
      </c>
      <c r="C54" s="15"/>
      <c r="D54" s="15"/>
      <c r="E54" s="15"/>
      <c r="F54" s="16">
        <v>487013.15</v>
      </c>
      <c r="G54" s="15"/>
      <c r="H54" s="16">
        <v>6649.68</v>
      </c>
      <c r="I54" s="15"/>
      <c r="J54" s="16">
        <v>6649.68</v>
      </c>
      <c r="K54" s="15"/>
      <c r="L54" s="16">
        <v>493662.83</v>
      </c>
    </row>
    <row r="55" spans="1:12" ht="15" customHeight="1" x14ac:dyDescent="0.2">
      <c r="A55" s="15"/>
      <c r="B55" s="15"/>
      <c r="C55" s="15" t="s">
        <v>232</v>
      </c>
      <c r="D55" s="15" t="s">
        <v>233</v>
      </c>
      <c r="E55" s="15"/>
      <c r="F55" s="16">
        <v>487013.15</v>
      </c>
      <c r="G55" s="15"/>
      <c r="H55" s="16">
        <v>6649.68</v>
      </c>
      <c r="I55" s="15"/>
      <c r="J55" s="16">
        <v>6649.68</v>
      </c>
      <c r="K55" s="15"/>
      <c r="L55" s="16">
        <v>493662.83</v>
      </c>
    </row>
    <row r="56" spans="1:12" ht="15" customHeight="1" x14ac:dyDescent="0.2">
      <c r="A56" s="15" t="s">
        <v>254</v>
      </c>
      <c r="B56" s="15" t="s">
        <v>235</v>
      </c>
      <c r="C56" s="15"/>
      <c r="D56" s="15"/>
      <c r="E56" s="15"/>
      <c r="F56" s="16">
        <v>2531441.02</v>
      </c>
      <c r="G56" s="15"/>
      <c r="H56" s="16">
        <v>7186.44</v>
      </c>
      <c r="I56" s="15"/>
      <c r="J56" s="16">
        <v>7186.44</v>
      </c>
      <c r="K56" s="15"/>
      <c r="L56" s="16">
        <v>2538627.46</v>
      </c>
    </row>
    <row r="57" spans="1:12" ht="15" customHeight="1" x14ac:dyDescent="0.2">
      <c r="A57" s="15"/>
      <c r="B57" s="15"/>
      <c r="C57" s="15" t="s">
        <v>232</v>
      </c>
      <c r="D57" s="15" t="s">
        <v>233</v>
      </c>
      <c r="E57" s="15"/>
      <c r="F57" s="16">
        <v>2531441.02</v>
      </c>
      <c r="G57" s="15"/>
      <c r="H57" s="16">
        <v>7186.44</v>
      </c>
      <c r="I57" s="15"/>
      <c r="J57" s="16">
        <v>7186.44</v>
      </c>
      <c r="K57" s="15"/>
      <c r="L57" s="16">
        <v>2538627.46</v>
      </c>
    </row>
    <row r="58" spans="1:12" ht="15" customHeight="1" x14ac:dyDescent="0.2">
      <c r="A58" s="15" t="s">
        <v>255</v>
      </c>
      <c r="B58" s="15" t="s">
        <v>237</v>
      </c>
      <c r="C58" s="15"/>
      <c r="D58" s="15"/>
      <c r="E58" s="15"/>
      <c r="F58" s="16">
        <v>1434131.28</v>
      </c>
      <c r="G58" s="15"/>
      <c r="H58" s="15"/>
      <c r="I58" s="15"/>
      <c r="J58" s="15"/>
      <c r="K58" s="15"/>
      <c r="L58" s="16">
        <v>1434131.28</v>
      </c>
    </row>
    <row r="59" spans="1:12" ht="15" customHeight="1" x14ac:dyDescent="0.2">
      <c r="A59" s="15"/>
      <c r="B59" s="15"/>
      <c r="C59" s="15" t="s">
        <v>232</v>
      </c>
      <c r="D59" s="15" t="s">
        <v>233</v>
      </c>
      <c r="E59" s="15"/>
      <c r="F59" s="16">
        <v>1434131.28</v>
      </c>
      <c r="G59" s="15"/>
      <c r="H59" s="15"/>
      <c r="I59" s="15"/>
      <c r="J59" s="15"/>
      <c r="K59" s="15"/>
      <c r="L59" s="16">
        <v>1434131.28</v>
      </c>
    </row>
    <row r="60" spans="1:12" ht="15" customHeight="1" x14ac:dyDescent="0.2">
      <c r="A60" s="15" t="s">
        <v>256</v>
      </c>
      <c r="B60" s="15" t="s">
        <v>239</v>
      </c>
      <c r="C60" s="15"/>
      <c r="D60" s="15"/>
      <c r="E60" s="15"/>
      <c r="F60" s="16">
        <v>2747318.72</v>
      </c>
      <c r="G60" s="15"/>
      <c r="H60" s="16">
        <v>210863.04</v>
      </c>
      <c r="I60" s="15"/>
      <c r="J60" s="16">
        <v>210863.04</v>
      </c>
      <c r="K60" s="15"/>
      <c r="L60" s="16">
        <v>2958181.76</v>
      </c>
    </row>
    <row r="61" spans="1:12" ht="15" customHeight="1" x14ac:dyDescent="0.2">
      <c r="A61" s="15"/>
      <c r="B61" s="15"/>
      <c r="C61" s="15" t="s">
        <v>232</v>
      </c>
      <c r="D61" s="15" t="s">
        <v>233</v>
      </c>
      <c r="E61" s="15"/>
      <c r="F61" s="16">
        <v>2747318.72</v>
      </c>
      <c r="G61" s="15"/>
      <c r="H61" s="16">
        <v>210863.04</v>
      </c>
      <c r="I61" s="15"/>
      <c r="J61" s="16">
        <v>210863.04</v>
      </c>
      <c r="K61" s="15"/>
      <c r="L61" s="16">
        <v>2958181.76</v>
      </c>
    </row>
    <row r="62" spans="1:12" ht="15" customHeight="1" x14ac:dyDescent="0.2">
      <c r="A62" s="15" t="s">
        <v>257</v>
      </c>
      <c r="B62" s="15" t="s">
        <v>241</v>
      </c>
      <c r="C62" s="15"/>
      <c r="D62" s="15"/>
      <c r="E62" s="15"/>
      <c r="F62" s="16">
        <v>566540.67000000004</v>
      </c>
      <c r="G62" s="15"/>
      <c r="H62" s="16">
        <v>21588.880000000001</v>
      </c>
      <c r="I62" s="15"/>
      <c r="J62" s="16">
        <v>21588.880000000001</v>
      </c>
      <c r="K62" s="15"/>
      <c r="L62" s="16">
        <v>588129.55000000005</v>
      </c>
    </row>
    <row r="63" spans="1:12" ht="15" customHeight="1" x14ac:dyDescent="0.2">
      <c r="A63" s="15"/>
      <c r="B63" s="15"/>
      <c r="C63" s="15" t="s">
        <v>232</v>
      </c>
      <c r="D63" s="15" t="s">
        <v>233</v>
      </c>
      <c r="E63" s="15"/>
      <c r="F63" s="16">
        <v>566540.67000000004</v>
      </c>
      <c r="G63" s="15"/>
      <c r="H63" s="16">
        <v>21588.880000000001</v>
      </c>
      <c r="I63" s="15"/>
      <c r="J63" s="16">
        <v>21588.880000000001</v>
      </c>
      <c r="K63" s="15"/>
      <c r="L63" s="16">
        <v>588129.55000000005</v>
      </c>
    </row>
    <row r="64" spans="1:12" ht="15" customHeight="1" x14ac:dyDescent="0.2">
      <c r="A64" s="15" t="s">
        <v>258</v>
      </c>
      <c r="B64" s="15" t="s">
        <v>243</v>
      </c>
      <c r="C64" s="15"/>
      <c r="D64" s="15"/>
      <c r="E64" s="15"/>
      <c r="F64" s="16">
        <v>911860.32</v>
      </c>
      <c r="G64" s="15"/>
      <c r="H64" s="16">
        <v>54739.8</v>
      </c>
      <c r="I64" s="15"/>
      <c r="J64" s="16">
        <v>54739.8</v>
      </c>
      <c r="K64" s="15"/>
      <c r="L64" s="16">
        <v>966600.12</v>
      </c>
    </row>
    <row r="65" spans="1:12" ht="15" customHeight="1" x14ac:dyDescent="0.2">
      <c r="A65" s="15"/>
      <c r="B65" s="15"/>
      <c r="C65" s="15" t="s">
        <v>232</v>
      </c>
      <c r="D65" s="15" t="s">
        <v>233</v>
      </c>
      <c r="E65" s="15"/>
      <c r="F65" s="16">
        <v>911860.32</v>
      </c>
      <c r="G65" s="15"/>
      <c r="H65" s="16">
        <v>54739.8</v>
      </c>
      <c r="I65" s="15"/>
      <c r="J65" s="16">
        <v>54739.8</v>
      </c>
      <c r="K65" s="15"/>
      <c r="L65" s="16">
        <v>966600.12</v>
      </c>
    </row>
    <row r="66" spans="1:12" ht="15" customHeight="1" x14ac:dyDescent="0.2">
      <c r="A66" s="15" t="s">
        <v>259</v>
      </c>
      <c r="B66" s="15" t="s">
        <v>245</v>
      </c>
      <c r="C66" s="15"/>
      <c r="D66" s="15"/>
      <c r="E66" s="15"/>
      <c r="F66" s="16">
        <v>1807762.08</v>
      </c>
      <c r="G66" s="15"/>
      <c r="H66" s="16">
        <v>141307.28</v>
      </c>
      <c r="I66" s="15"/>
      <c r="J66" s="16">
        <v>141307.28</v>
      </c>
      <c r="K66" s="15"/>
      <c r="L66" s="16">
        <v>1949069.36</v>
      </c>
    </row>
    <row r="67" spans="1:12" ht="15" customHeight="1" x14ac:dyDescent="0.2">
      <c r="A67" s="15"/>
      <c r="B67" s="15"/>
      <c r="C67" s="15" t="s">
        <v>232</v>
      </c>
      <c r="D67" s="15" t="s">
        <v>233</v>
      </c>
      <c r="E67" s="15"/>
      <c r="F67" s="16">
        <v>1807762.08</v>
      </c>
      <c r="G67" s="15"/>
      <c r="H67" s="16">
        <v>141307.28</v>
      </c>
      <c r="I67" s="15"/>
      <c r="J67" s="16">
        <v>141307.28</v>
      </c>
      <c r="K67" s="15"/>
      <c r="L67" s="16">
        <v>1949069.36</v>
      </c>
    </row>
    <row r="68" spans="1:12" ht="15" customHeight="1" x14ac:dyDescent="0.2">
      <c r="A68" s="15" t="s">
        <v>260</v>
      </c>
      <c r="B68" s="15" t="s">
        <v>261</v>
      </c>
      <c r="C68" s="15"/>
      <c r="D68" s="15"/>
      <c r="E68" s="15"/>
      <c r="F68" s="16">
        <v>174748.88</v>
      </c>
      <c r="G68" s="15"/>
      <c r="H68" s="16">
        <v>13525.96</v>
      </c>
      <c r="I68" s="15"/>
      <c r="J68" s="16">
        <v>13525.96</v>
      </c>
      <c r="K68" s="15"/>
      <c r="L68" s="16">
        <v>188274.84</v>
      </c>
    </row>
    <row r="69" spans="1:12" ht="15" customHeight="1" x14ac:dyDescent="0.2">
      <c r="A69" s="15"/>
      <c r="B69" s="15"/>
      <c r="C69" s="15" t="s">
        <v>232</v>
      </c>
      <c r="D69" s="15" t="s">
        <v>233</v>
      </c>
      <c r="E69" s="15"/>
      <c r="F69" s="16">
        <v>174748.88</v>
      </c>
      <c r="G69" s="15"/>
      <c r="H69" s="16">
        <v>13525.96</v>
      </c>
      <c r="I69" s="15"/>
      <c r="J69" s="16">
        <v>13525.96</v>
      </c>
      <c r="K69" s="15"/>
      <c r="L69" s="16">
        <v>188274.84</v>
      </c>
    </row>
    <row r="70" spans="1:12" ht="15" customHeight="1" x14ac:dyDescent="0.2">
      <c r="A70" s="15" t="s">
        <v>262</v>
      </c>
      <c r="B70" s="15" t="s">
        <v>249</v>
      </c>
      <c r="C70" s="15"/>
      <c r="D70" s="15"/>
      <c r="E70" s="15"/>
      <c r="F70" s="16">
        <v>25580.49</v>
      </c>
      <c r="G70" s="15"/>
      <c r="H70" s="15"/>
      <c r="I70" s="15"/>
      <c r="J70" s="15"/>
      <c r="K70" s="15"/>
      <c r="L70" s="16">
        <v>25580.49</v>
      </c>
    </row>
    <row r="71" spans="1:12" ht="15" customHeight="1" x14ac:dyDescent="0.2">
      <c r="A71" s="15"/>
      <c r="B71" s="15"/>
      <c r="C71" s="15" t="s">
        <v>232</v>
      </c>
      <c r="D71" s="15" t="s">
        <v>233</v>
      </c>
      <c r="E71" s="15"/>
      <c r="F71" s="16">
        <v>25580.49</v>
      </c>
      <c r="G71" s="15"/>
      <c r="H71" s="15"/>
      <c r="I71" s="15"/>
      <c r="J71" s="15"/>
      <c r="K71" s="15"/>
      <c r="L71" s="16">
        <v>25580.49</v>
      </c>
    </row>
    <row r="72" spans="1:12" ht="15" customHeight="1" x14ac:dyDescent="0.2">
      <c r="A72" s="15" t="s">
        <v>499</v>
      </c>
      <c r="B72" s="15" t="s">
        <v>500</v>
      </c>
      <c r="C72" s="15"/>
      <c r="D72" s="15"/>
      <c r="E72" s="16">
        <v>668414247.19000006</v>
      </c>
      <c r="F72" s="15"/>
      <c r="G72" s="16">
        <v>572614.93000000005</v>
      </c>
      <c r="H72" s="15"/>
      <c r="I72" s="16">
        <v>572614.93000000005</v>
      </c>
      <c r="J72" s="15"/>
      <c r="K72" s="16">
        <v>668986862.12</v>
      </c>
      <c r="L72" s="15"/>
    </row>
    <row r="73" spans="1:12" ht="15" customHeight="1" x14ac:dyDescent="0.2">
      <c r="A73" s="15" t="s">
        <v>501</v>
      </c>
      <c r="B73" s="15" t="s">
        <v>502</v>
      </c>
      <c r="C73" s="15"/>
      <c r="D73" s="15"/>
      <c r="E73" s="16">
        <v>668414247.19000006</v>
      </c>
      <c r="F73" s="15"/>
      <c r="G73" s="16">
        <v>572614.93000000005</v>
      </c>
      <c r="H73" s="15"/>
      <c r="I73" s="16">
        <v>572614.93000000005</v>
      </c>
      <c r="J73" s="15"/>
      <c r="K73" s="16">
        <v>668986862.12</v>
      </c>
      <c r="L73" s="15"/>
    </row>
    <row r="74" spans="1:12" ht="15" customHeight="1" x14ac:dyDescent="0.2">
      <c r="A74" s="15"/>
      <c r="B74" s="15"/>
      <c r="C74" s="15" t="s">
        <v>230</v>
      </c>
      <c r="D74" s="15" t="s">
        <v>231</v>
      </c>
      <c r="E74" s="16">
        <v>668414247.19000006</v>
      </c>
      <c r="F74" s="15"/>
      <c r="G74" s="16">
        <v>572614.93000000005</v>
      </c>
      <c r="H74" s="15"/>
      <c r="I74" s="16">
        <v>572614.93000000005</v>
      </c>
      <c r="J74" s="15"/>
      <c r="K74" s="16">
        <v>668986862.12</v>
      </c>
      <c r="L74" s="15"/>
    </row>
    <row r="75" spans="1:12" ht="15" customHeight="1" x14ac:dyDescent="0.2">
      <c r="A75" s="15" t="s">
        <v>263</v>
      </c>
      <c r="B75" s="15" t="s">
        <v>264</v>
      </c>
      <c r="C75" s="15"/>
      <c r="D75" s="15"/>
      <c r="E75" s="16">
        <v>17750.18</v>
      </c>
      <c r="F75" s="15"/>
      <c r="G75" s="15"/>
      <c r="H75" s="16">
        <v>11833.32</v>
      </c>
      <c r="I75" s="15"/>
      <c r="J75" s="16">
        <v>11833.32</v>
      </c>
      <c r="K75" s="16">
        <v>5916.86</v>
      </c>
      <c r="L75" s="15"/>
    </row>
    <row r="76" spans="1:12" ht="15" customHeight="1" x14ac:dyDescent="0.2">
      <c r="A76" s="15" t="s">
        <v>265</v>
      </c>
      <c r="B76" s="15" t="s">
        <v>266</v>
      </c>
      <c r="C76" s="15"/>
      <c r="D76" s="15"/>
      <c r="E76" s="16">
        <v>17750.18</v>
      </c>
      <c r="F76" s="15"/>
      <c r="G76" s="15"/>
      <c r="H76" s="16">
        <v>11833.32</v>
      </c>
      <c r="I76" s="15"/>
      <c r="J76" s="16">
        <v>11833.32</v>
      </c>
      <c r="K76" s="16">
        <v>5916.86</v>
      </c>
      <c r="L76" s="15"/>
    </row>
    <row r="77" spans="1:12" ht="15" customHeight="1" x14ac:dyDescent="0.2">
      <c r="A77" s="15" t="s">
        <v>267</v>
      </c>
      <c r="B77" s="15" t="s">
        <v>268</v>
      </c>
      <c r="C77" s="15"/>
      <c r="D77" s="15"/>
      <c r="E77" s="16">
        <v>210849.16</v>
      </c>
      <c r="F77" s="15"/>
      <c r="G77" s="15"/>
      <c r="H77" s="16">
        <v>46855.360000000001</v>
      </c>
      <c r="I77" s="15"/>
      <c r="J77" s="16">
        <v>46855.360000000001</v>
      </c>
      <c r="K77" s="16">
        <v>163993.79999999999</v>
      </c>
      <c r="L77" s="15"/>
    </row>
    <row r="78" spans="1:12" ht="15" customHeight="1" x14ac:dyDescent="0.2">
      <c r="A78" s="15" t="s">
        <v>269</v>
      </c>
      <c r="B78" s="15" t="s">
        <v>270</v>
      </c>
      <c r="C78" s="15"/>
      <c r="D78" s="15"/>
      <c r="E78" s="16">
        <v>210849.16</v>
      </c>
      <c r="F78" s="15"/>
      <c r="G78" s="15"/>
      <c r="H78" s="16">
        <v>46855.360000000001</v>
      </c>
      <c r="I78" s="15"/>
      <c r="J78" s="16">
        <v>46855.360000000001</v>
      </c>
      <c r="K78" s="16">
        <v>163993.79999999999</v>
      </c>
      <c r="L78" s="15"/>
    </row>
    <row r="79" spans="1:12" ht="15" customHeight="1" x14ac:dyDescent="0.2">
      <c r="A79" s="15"/>
      <c r="B79" s="15"/>
      <c r="C79" s="15" t="s">
        <v>232</v>
      </c>
      <c r="D79" s="15" t="s">
        <v>233</v>
      </c>
      <c r="E79" s="16">
        <v>210849.16</v>
      </c>
      <c r="F79" s="15"/>
      <c r="G79" s="15"/>
      <c r="H79" s="16">
        <v>46855.360000000001</v>
      </c>
      <c r="I79" s="15"/>
      <c r="J79" s="16">
        <v>46855.360000000001</v>
      </c>
      <c r="K79" s="16">
        <v>163993.79999999999</v>
      </c>
      <c r="L79" s="15"/>
    </row>
    <row r="80" spans="1:12" ht="15" customHeight="1" x14ac:dyDescent="0.2">
      <c r="A80" s="15" t="s">
        <v>271</v>
      </c>
      <c r="B80" s="15" t="s">
        <v>272</v>
      </c>
      <c r="C80" s="15"/>
      <c r="D80" s="15"/>
      <c r="E80" s="15"/>
      <c r="F80" s="16">
        <v>1077205.3799999999</v>
      </c>
      <c r="G80" s="16">
        <v>411288.09</v>
      </c>
      <c r="H80" s="16">
        <v>10021.99</v>
      </c>
      <c r="I80" s="16">
        <v>411288.09</v>
      </c>
      <c r="J80" s="16">
        <v>10021.99</v>
      </c>
      <c r="K80" s="15"/>
      <c r="L80" s="16">
        <v>675939.28</v>
      </c>
    </row>
    <row r="81" spans="1:12" ht="15" customHeight="1" x14ac:dyDescent="0.2">
      <c r="A81" s="15"/>
      <c r="B81" s="15"/>
      <c r="C81" s="15" t="s">
        <v>273</v>
      </c>
      <c r="D81" s="15" t="s">
        <v>274</v>
      </c>
      <c r="E81" s="15"/>
      <c r="F81" s="16">
        <v>47969.47</v>
      </c>
      <c r="G81" s="15"/>
      <c r="H81" s="15"/>
      <c r="I81" s="15"/>
      <c r="J81" s="15"/>
      <c r="K81" s="15"/>
      <c r="L81" s="16">
        <v>47969.47</v>
      </c>
    </row>
    <row r="82" spans="1:12" ht="15" customHeight="1" x14ac:dyDescent="0.2">
      <c r="A82" s="15"/>
      <c r="B82" s="15"/>
      <c r="C82" s="15" t="s">
        <v>199</v>
      </c>
      <c r="D82" s="15" t="s">
        <v>200</v>
      </c>
      <c r="E82" s="15"/>
      <c r="F82" s="16">
        <v>603993.91</v>
      </c>
      <c r="G82" s="15"/>
      <c r="H82" s="15"/>
      <c r="I82" s="15"/>
      <c r="J82" s="15"/>
      <c r="K82" s="15"/>
      <c r="L82" s="16">
        <v>603993.91</v>
      </c>
    </row>
    <row r="83" spans="1:12" ht="15" customHeight="1" x14ac:dyDescent="0.2">
      <c r="A83" s="15"/>
      <c r="B83" s="15"/>
      <c r="C83" s="15" t="s">
        <v>222</v>
      </c>
      <c r="D83" s="15" t="s">
        <v>223</v>
      </c>
      <c r="E83" s="15"/>
      <c r="F83" s="16">
        <v>300000</v>
      </c>
      <c r="G83" s="16">
        <v>300000</v>
      </c>
      <c r="H83" s="15"/>
      <c r="I83" s="16">
        <v>300000</v>
      </c>
      <c r="J83" s="15"/>
      <c r="K83" s="15"/>
      <c r="L83" s="15"/>
    </row>
    <row r="84" spans="1:12" ht="15" customHeight="1" x14ac:dyDescent="0.2">
      <c r="A84" s="15"/>
      <c r="B84" s="15"/>
      <c r="C84" s="15" t="s">
        <v>275</v>
      </c>
      <c r="D84" s="15" t="s">
        <v>276</v>
      </c>
      <c r="E84" s="15"/>
      <c r="F84" s="16">
        <v>0.9</v>
      </c>
      <c r="G84" s="15"/>
      <c r="H84" s="15"/>
      <c r="I84" s="15"/>
      <c r="J84" s="15"/>
      <c r="K84" s="15"/>
      <c r="L84" s="16">
        <v>0.9</v>
      </c>
    </row>
    <row r="85" spans="1:12" ht="15" customHeight="1" x14ac:dyDescent="0.2">
      <c r="A85" s="15"/>
      <c r="B85" s="15"/>
      <c r="C85" s="15" t="s">
        <v>277</v>
      </c>
      <c r="D85" s="15" t="s">
        <v>278</v>
      </c>
      <c r="E85" s="15"/>
      <c r="F85" s="16">
        <v>1450</v>
      </c>
      <c r="G85" s="16">
        <v>11471.99</v>
      </c>
      <c r="H85" s="16">
        <v>10021.99</v>
      </c>
      <c r="I85" s="16">
        <v>11471.99</v>
      </c>
      <c r="J85" s="16">
        <v>10021.99</v>
      </c>
      <c r="K85" s="15"/>
      <c r="L85" s="15"/>
    </row>
    <row r="86" spans="1:12" ht="15" customHeight="1" x14ac:dyDescent="0.2">
      <c r="A86" s="15"/>
      <c r="B86" s="15"/>
      <c r="C86" s="15" t="s">
        <v>279</v>
      </c>
      <c r="D86" s="15" t="s">
        <v>280</v>
      </c>
      <c r="E86" s="15"/>
      <c r="F86" s="16">
        <v>743.1</v>
      </c>
      <c r="G86" s="16">
        <v>743.1</v>
      </c>
      <c r="H86" s="15"/>
      <c r="I86" s="16">
        <v>743.1</v>
      </c>
      <c r="J86" s="15"/>
      <c r="K86" s="15"/>
      <c r="L86" s="15"/>
    </row>
    <row r="87" spans="1:12" ht="15" customHeight="1" x14ac:dyDescent="0.2">
      <c r="A87" s="15"/>
      <c r="B87" s="15"/>
      <c r="C87" s="15" t="s">
        <v>281</v>
      </c>
      <c r="D87" s="15" t="s">
        <v>282</v>
      </c>
      <c r="E87" s="15"/>
      <c r="F87" s="16">
        <v>23975</v>
      </c>
      <c r="G87" s="15"/>
      <c r="H87" s="15"/>
      <c r="I87" s="15"/>
      <c r="J87" s="15"/>
      <c r="K87" s="15"/>
      <c r="L87" s="16">
        <v>23975</v>
      </c>
    </row>
    <row r="88" spans="1:12" ht="15" customHeight="1" x14ac:dyDescent="0.2">
      <c r="A88" s="15"/>
      <c r="B88" s="15"/>
      <c r="C88" s="15" t="s">
        <v>494</v>
      </c>
      <c r="D88" s="15" t="s">
        <v>495</v>
      </c>
      <c r="E88" s="15"/>
      <c r="F88" s="16">
        <v>99073</v>
      </c>
      <c r="G88" s="16">
        <v>99073</v>
      </c>
      <c r="H88" s="15"/>
      <c r="I88" s="16">
        <v>99073</v>
      </c>
      <c r="J88" s="15"/>
      <c r="K88" s="15"/>
      <c r="L88" s="15"/>
    </row>
    <row r="89" spans="1:12" ht="15" customHeight="1" x14ac:dyDescent="0.2">
      <c r="A89" s="15" t="s">
        <v>283</v>
      </c>
      <c r="B89" s="15" t="s">
        <v>284</v>
      </c>
      <c r="C89" s="15"/>
      <c r="D89" s="15"/>
      <c r="E89" s="15"/>
      <c r="F89" s="16">
        <v>230081.78</v>
      </c>
      <c r="G89" s="16">
        <v>535054.41</v>
      </c>
      <c r="H89" s="16">
        <v>586261.80000000005</v>
      </c>
      <c r="I89" s="16">
        <v>535054.41</v>
      </c>
      <c r="J89" s="16">
        <v>586261.80000000005</v>
      </c>
      <c r="K89" s="15"/>
      <c r="L89" s="16">
        <v>281289.17</v>
      </c>
    </row>
    <row r="90" spans="1:12" ht="15" customHeight="1" x14ac:dyDescent="0.2">
      <c r="A90" s="15" t="s">
        <v>285</v>
      </c>
      <c r="B90" s="15" t="s">
        <v>286</v>
      </c>
      <c r="C90" s="15"/>
      <c r="D90" s="15"/>
      <c r="E90" s="15"/>
      <c r="F90" s="16">
        <v>204300</v>
      </c>
      <c r="G90" s="16">
        <v>385579.29</v>
      </c>
      <c r="H90" s="16">
        <v>436786.68</v>
      </c>
      <c r="I90" s="16">
        <v>385579.29</v>
      </c>
      <c r="J90" s="16">
        <v>436786.68</v>
      </c>
      <c r="K90" s="15"/>
      <c r="L90" s="16">
        <v>255507.39</v>
      </c>
    </row>
    <row r="91" spans="1:12" ht="15" customHeight="1" x14ac:dyDescent="0.2">
      <c r="A91" s="15" t="s">
        <v>287</v>
      </c>
      <c r="B91" s="15" t="s">
        <v>288</v>
      </c>
      <c r="C91" s="15"/>
      <c r="D91" s="15"/>
      <c r="E91" s="15"/>
      <c r="F91" s="16">
        <v>25781.78</v>
      </c>
      <c r="G91" s="16">
        <v>103127.12</v>
      </c>
      <c r="H91" s="16">
        <v>103127.12</v>
      </c>
      <c r="I91" s="16">
        <v>103127.12</v>
      </c>
      <c r="J91" s="16">
        <v>103127.12</v>
      </c>
      <c r="K91" s="15"/>
      <c r="L91" s="16">
        <v>25781.78</v>
      </c>
    </row>
    <row r="92" spans="1:12" ht="15" customHeight="1" x14ac:dyDescent="0.2">
      <c r="A92" s="15" t="s">
        <v>289</v>
      </c>
      <c r="B92" s="15" t="s">
        <v>290</v>
      </c>
      <c r="C92" s="15"/>
      <c r="D92" s="15"/>
      <c r="E92" s="15"/>
      <c r="F92" s="15"/>
      <c r="G92" s="16">
        <v>46348</v>
      </c>
      <c r="H92" s="16">
        <v>46348</v>
      </c>
      <c r="I92" s="16">
        <v>46348</v>
      </c>
      <c r="J92" s="16">
        <v>46348</v>
      </c>
      <c r="K92" s="15"/>
      <c r="L92" s="15"/>
    </row>
    <row r="93" spans="1:12" ht="15" customHeight="1" x14ac:dyDescent="0.2">
      <c r="A93" s="15" t="s">
        <v>291</v>
      </c>
      <c r="B93" s="15" t="s">
        <v>292</v>
      </c>
      <c r="C93" s="15"/>
      <c r="D93" s="15"/>
      <c r="E93" s="16">
        <v>16098075.390000001</v>
      </c>
      <c r="F93" s="15"/>
      <c r="G93" s="16">
        <v>203518.09</v>
      </c>
      <c r="H93" s="16">
        <v>191036.37</v>
      </c>
      <c r="I93" s="16">
        <v>203518.09</v>
      </c>
      <c r="J93" s="16">
        <v>191036.37</v>
      </c>
      <c r="K93" s="16">
        <v>16110557.109999999</v>
      </c>
      <c r="L93" s="15"/>
    </row>
    <row r="94" spans="1:12" ht="15" customHeight="1" x14ac:dyDescent="0.2">
      <c r="A94" s="15" t="s">
        <v>293</v>
      </c>
      <c r="B94" s="15" t="s">
        <v>294</v>
      </c>
      <c r="C94" s="15"/>
      <c r="D94" s="15"/>
      <c r="E94" s="16">
        <v>15541997.109999999</v>
      </c>
      <c r="F94" s="15"/>
      <c r="G94" s="16">
        <v>9540.5</v>
      </c>
      <c r="H94" s="16">
        <v>55.61</v>
      </c>
      <c r="I94" s="16">
        <v>9540.5</v>
      </c>
      <c r="J94" s="16">
        <v>55.61</v>
      </c>
      <c r="K94" s="16">
        <v>15551482</v>
      </c>
      <c r="L94" s="15"/>
    </row>
    <row r="95" spans="1:12" ht="15" customHeight="1" x14ac:dyDescent="0.2">
      <c r="A95" s="15" t="s">
        <v>295</v>
      </c>
      <c r="B95" s="15" t="s">
        <v>296</v>
      </c>
      <c r="C95" s="15"/>
      <c r="D95" s="15"/>
      <c r="E95" s="16">
        <v>23415764.25</v>
      </c>
      <c r="F95" s="15"/>
      <c r="G95" s="16">
        <v>9540.5</v>
      </c>
      <c r="H95" s="15"/>
      <c r="I95" s="16">
        <v>9540.5</v>
      </c>
      <c r="J95" s="15"/>
      <c r="K95" s="16">
        <v>23425304.75</v>
      </c>
      <c r="L95" s="15"/>
    </row>
    <row r="96" spans="1:12" ht="15" customHeight="1" x14ac:dyDescent="0.2">
      <c r="A96" s="15" t="s">
        <v>297</v>
      </c>
      <c r="B96" s="15" t="s">
        <v>298</v>
      </c>
      <c r="C96" s="15"/>
      <c r="D96" s="15"/>
      <c r="E96" s="16">
        <v>1600</v>
      </c>
      <c r="F96" s="15"/>
      <c r="G96" s="15"/>
      <c r="H96" s="15"/>
      <c r="I96" s="15"/>
      <c r="J96" s="15"/>
      <c r="K96" s="16">
        <v>1600</v>
      </c>
      <c r="L96" s="15"/>
    </row>
    <row r="97" spans="1:12" ht="15" customHeight="1" x14ac:dyDescent="0.2">
      <c r="A97" s="15" t="s">
        <v>299</v>
      </c>
      <c r="B97" s="15" t="s">
        <v>300</v>
      </c>
      <c r="C97" s="15"/>
      <c r="D97" s="15"/>
      <c r="E97" s="15"/>
      <c r="F97" s="16">
        <v>25132.17</v>
      </c>
      <c r="G97" s="15"/>
      <c r="H97" s="16">
        <v>55.61</v>
      </c>
      <c r="I97" s="15"/>
      <c r="J97" s="16">
        <v>55.61</v>
      </c>
      <c r="K97" s="15"/>
      <c r="L97" s="16">
        <v>25187.78</v>
      </c>
    </row>
    <row r="98" spans="1:12" ht="15" customHeight="1" x14ac:dyDescent="0.2">
      <c r="A98" s="15" t="s">
        <v>301</v>
      </c>
      <c r="B98" s="15" t="s">
        <v>302</v>
      </c>
      <c r="C98" s="15"/>
      <c r="D98" s="15"/>
      <c r="E98" s="15"/>
      <c r="F98" s="16">
        <v>7850234.9699999997</v>
      </c>
      <c r="G98" s="15"/>
      <c r="H98" s="15"/>
      <c r="I98" s="15"/>
      <c r="J98" s="15"/>
      <c r="K98" s="15"/>
      <c r="L98" s="16">
        <v>7850234.9699999997</v>
      </c>
    </row>
    <row r="99" spans="1:12" ht="15" customHeight="1" x14ac:dyDescent="0.2">
      <c r="A99" s="15" t="s">
        <v>303</v>
      </c>
      <c r="B99" s="15" t="s">
        <v>304</v>
      </c>
      <c r="C99" s="15"/>
      <c r="D99" s="15"/>
      <c r="E99" s="16">
        <v>564618.18999999994</v>
      </c>
      <c r="F99" s="15"/>
      <c r="G99" s="15"/>
      <c r="H99" s="15"/>
      <c r="I99" s="15"/>
      <c r="J99" s="15"/>
      <c r="K99" s="16">
        <v>564618.18999999994</v>
      </c>
      <c r="L99" s="15"/>
    </row>
    <row r="100" spans="1:12" ht="15" customHeight="1" x14ac:dyDescent="0.2">
      <c r="A100" s="15" t="s">
        <v>525</v>
      </c>
      <c r="B100" s="15" t="s">
        <v>526</v>
      </c>
      <c r="C100" s="15"/>
      <c r="D100" s="15"/>
      <c r="E100" s="15"/>
      <c r="F100" s="15"/>
      <c r="G100" s="16">
        <v>30676.37</v>
      </c>
      <c r="H100" s="16">
        <v>30676.37</v>
      </c>
      <c r="I100" s="16">
        <v>30676.37</v>
      </c>
      <c r="J100" s="16">
        <v>30676.37</v>
      </c>
      <c r="K100" s="15"/>
      <c r="L100" s="15"/>
    </row>
    <row r="101" spans="1:12" ht="15" customHeight="1" x14ac:dyDescent="0.2">
      <c r="A101" s="15" t="s">
        <v>305</v>
      </c>
      <c r="B101" s="15" t="s">
        <v>306</v>
      </c>
      <c r="C101" s="15"/>
      <c r="D101" s="15"/>
      <c r="E101" s="15"/>
      <c r="F101" s="16">
        <v>8539.91</v>
      </c>
      <c r="G101" s="16">
        <v>10067.84</v>
      </c>
      <c r="H101" s="16">
        <v>7071.01</v>
      </c>
      <c r="I101" s="16">
        <v>10067.84</v>
      </c>
      <c r="J101" s="16">
        <v>7071.01</v>
      </c>
      <c r="K101" s="15"/>
      <c r="L101" s="16">
        <v>5543.08</v>
      </c>
    </row>
    <row r="102" spans="1:12" ht="15" customHeight="1" x14ac:dyDescent="0.2">
      <c r="A102" s="15" t="s">
        <v>503</v>
      </c>
      <c r="B102" s="15" t="s">
        <v>504</v>
      </c>
      <c r="C102" s="15"/>
      <c r="D102" s="15"/>
      <c r="E102" s="15"/>
      <c r="F102" s="15"/>
      <c r="G102" s="16">
        <v>72.849999999999994</v>
      </c>
      <c r="H102" s="16">
        <v>72.849999999999994</v>
      </c>
      <c r="I102" s="16">
        <v>72.849999999999994</v>
      </c>
      <c r="J102" s="16">
        <v>72.849999999999994</v>
      </c>
      <c r="K102" s="15"/>
      <c r="L102" s="15"/>
    </row>
    <row r="103" spans="1:12" ht="15" customHeight="1" x14ac:dyDescent="0.2">
      <c r="A103" s="15" t="s">
        <v>307</v>
      </c>
      <c r="B103" s="15" t="s">
        <v>308</v>
      </c>
      <c r="C103" s="15"/>
      <c r="D103" s="15"/>
      <c r="E103" s="15"/>
      <c r="F103" s="15"/>
      <c r="G103" s="16">
        <v>153136.44</v>
      </c>
      <c r="H103" s="16">
        <v>153136.44</v>
      </c>
      <c r="I103" s="16">
        <v>153136.44</v>
      </c>
      <c r="J103" s="16">
        <v>153136.44</v>
      </c>
      <c r="K103" s="15"/>
      <c r="L103" s="15"/>
    </row>
    <row r="104" spans="1:12" ht="15" customHeight="1" x14ac:dyDescent="0.2">
      <c r="A104" s="15" t="s">
        <v>527</v>
      </c>
      <c r="B104" s="15" t="s">
        <v>528</v>
      </c>
      <c r="C104" s="15"/>
      <c r="D104" s="15"/>
      <c r="E104" s="15"/>
      <c r="F104" s="15"/>
      <c r="G104" s="16">
        <v>24.09</v>
      </c>
      <c r="H104" s="16">
        <v>24.09</v>
      </c>
      <c r="I104" s="16">
        <v>24.09</v>
      </c>
      <c r="J104" s="16">
        <v>24.09</v>
      </c>
      <c r="K104" s="15"/>
      <c r="L104" s="15"/>
    </row>
    <row r="105" spans="1:12" ht="15" customHeight="1" x14ac:dyDescent="0.2">
      <c r="A105" s="15" t="s">
        <v>309</v>
      </c>
      <c r="B105" s="15" t="s">
        <v>310</v>
      </c>
      <c r="C105" s="15"/>
      <c r="D105" s="15"/>
      <c r="E105" s="15"/>
      <c r="F105" s="16">
        <v>47783146.130000003</v>
      </c>
      <c r="G105" s="15"/>
      <c r="H105" s="16">
        <v>1832544.03</v>
      </c>
      <c r="I105" s="15"/>
      <c r="J105" s="16">
        <v>1832544.03</v>
      </c>
      <c r="K105" s="15"/>
      <c r="L105" s="16">
        <v>49615690.159999996</v>
      </c>
    </row>
    <row r="106" spans="1:12" ht="15" customHeight="1" x14ac:dyDescent="0.2">
      <c r="A106" s="15" t="s">
        <v>311</v>
      </c>
      <c r="B106" s="15" t="s">
        <v>198</v>
      </c>
      <c r="C106" s="15"/>
      <c r="D106" s="15"/>
      <c r="E106" s="15"/>
      <c r="F106" s="16">
        <v>44783146.130000003</v>
      </c>
      <c r="G106" s="15"/>
      <c r="H106" s="16">
        <v>1832544.03</v>
      </c>
      <c r="I106" s="15"/>
      <c r="J106" s="16">
        <v>1832544.03</v>
      </c>
      <c r="K106" s="15"/>
      <c r="L106" s="16">
        <v>46615690.159999996</v>
      </c>
    </row>
    <row r="107" spans="1:12" ht="15" customHeight="1" x14ac:dyDescent="0.2">
      <c r="A107" s="15"/>
      <c r="B107" s="15"/>
      <c r="C107" s="15" t="s">
        <v>209</v>
      </c>
      <c r="D107" s="15" t="s">
        <v>312</v>
      </c>
      <c r="E107" s="15"/>
      <c r="F107" s="16">
        <v>44783146.130000003</v>
      </c>
      <c r="G107" s="15"/>
      <c r="H107" s="16">
        <v>1832544.03</v>
      </c>
      <c r="I107" s="15"/>
      <c r="J107" s="16">
        <v>1832544.03</v>
      </c>
      <c r="K107" s="15"/>
      <c r="L107" s="16">
        <v>46615690.159999996</v>
      </c>
    </row>
    <row r="108" spans="1:12" ht="15" customHeight="1" x14ac:dyDescent="0.2">
      <c r="A108" s="15" t="s">
        <v>315</v>
      </c>
      <c r="B108" s="15" t="s">
        <v>316</v>
      </c>
      <c r="C108" s="15"/>
      <c r="D108" s="15"/>
      <c r="E108" s="15"/>
      <c r="F108" s="16">
        <v>3000000</v>
      </c>
      <c r="G108" s="15"/>
      <c r="H108" s="15"/>
      <c r="I108" s="15"/>
      <c r="J108" s="15"/>
      <c r="K108" s="15"/>
      <c r="L108" s="16">
        <v>3000000</v>
      </c>
    </row>
    <row r="109" spans="1:12" ht="15" customHeight="1" x14ac:dyDescent="0.2">
      <c r="A109" s="15"/>
      <c r="B109" s="15"/>
      <c r="C109" s="15" t="s">
        <v>317</v>
      </c>
      <c r="D109" s="15" t="s">
        <v>318</v>
      </c>
      <c r="E109" s="15"/>
      <c r="F109" s="16">
        <v>3000000</v>
      </c>
      <c r="G109" s="15"/>
      <c r="H109" s="15"/>
      <c r="I109" s="15"/>
      <c r="J109" s="15"/>
      <c r="K109" s="15"/>
      <c r="L109" s="16">
        <v>3000000</v>
      </c>
    </row>
    <row r="110" spans="1:12" ht="15" customHeight="1" x14ac:dyDescent="0.2">
      <c r="A110" s="15" t="s">
        <v>319</v>
      </c>
      <c r="B110" s="15" t="s">
        <v>320</v>
      </c>
      <c r="C110" s="15"/>
      <c r="D110" s="15"/>
      <c r="E110" s="15"/>
      <c r="F110" s="16">
        <v>2050000000</v>
      </c>
      <c r="G110" s="15"/>
      <c r="H110" s="15"/>
      <c r="I110" s="15"/>
      <c r="J110" s="15"/>
      <c r="K110" s="15"/>
      <c r="L110" s="16">
        <v>2050000000</v>
      </c>
    </row>
    <row r="111" spans="1:12" ht="15" customHeight="1" x14ac:dyDescent="0.2">
      <c r="A111" s="15" t="s">
        <v>321</v>
      </c>
      <c r="B111" s="15" t="s">
        <v>322</v>
      </c>
      <c r="C111" s="15"/>
      <c r="D111" s="15"/>
      <c r="E111" s="15"/>
      <c r="F111" s="16">
        <v>2050000000</v>
      </c>
      <c r="G111" s="15"/>
      <c r="H111" s="15"/>
      <c r="I111" s="15"/>
      <c r="J111" s="15"/>
      <c r="K111" s="15"/>
      <c r="L111" s="16">
        <v>2050000000</v>
      </c>
    </row>
    <row r="112" spans="1:12" ht="15" customHeight="1" x14ac:dyDescent="0.2">
      <c r="A112" s="15" t="s">
        <v>323</v>
      </c>
      <c r="B112" s="15" t="s">
        <v>324</v>
      </c>
      <c r="C112" s="15"/>
      <c r="D112" s="15"/>
      <c r="E112" s="16">
        <v>2943848.65</v>
      </c>
      <c r="F112" s="15"/>
      <c r="G112" s="16">
        <v>1159709.3999999999</v>
      </c>
      <c r="H112" s="16">
        <v>926.79</v>
      </c>
      <c r="I112" s="16">
        <v>1159709.3999999999</v>
      </c>
      <c r="J112" s="16">
        <v>926.79</v>
      </c>
      <c r="K112" s="16">
        <v>4102631.26</v>
      </c>
      <c r="L112" s="15"/>
    </row>
    <row r="113" spans="1:12" ht="15" customHeight="1" x14ac:dyDescent="0.2">
      <c r="A113" s="15" t="s">
        <v>325</v>
      </c>
      <c r="B113" s="15" t="s">
        <v>326</v>
      </c>
      <c r="C113" s="15"/>
      <c r="D113" s="15"/>
      <c r="E113" s="16">
        <v>1396676864.4400001</v>
      </c>
      <c r="F113" s="15"/>
      <c r="G113" s="15"/>
      <c r="H113" s="15"/>
      <c r="I113" s="15"/>
      <c r="J113" s="15"/>
      <c r="K113" s="16">
        <v>1396676864.4400001</v>
      </c>
      <c r="L113" s="15"/>
    </row>
    <row r="114" spans="1:12" ht="15" customHeight="1" x14ac:dyDescent="0.2">
      <c r="A114" s="15" t="s">
        <v>327</v>
      </c>
      <c r="B114" s="15" t="s">
        <v>328</v>
      </c>
      <c r="C114" s="15"/>
      <c r="D114" s="15"/>
      <c r="E114" s="16">
        <v>1396676864.4400001</v>
      </c>
      <c r="F114" s="15"/>
      <c r="G114" s="15"/>
      <c r="H114" s="15"/>
      <c r="I114" s="15"/>
      <c r="J114" s="15"/>
      <c r="K114" s="16">
        <v>1396676864.4400001</v>
      </c>
      <c r="L114" s="15"/>
    </row>
    <row r="115" spans="1:12" ht="15" customHeight="1" x14ac:dyDescent="0.2">
      <c r="A115" s="15" t="s">
        <v>329</v>
      </c>
      <c r="B115" s="15" t="s">
        <v>330</v>
      </c>
      <c r="C115" s="15"/>
      <c r="D115" s="15"/>
      <c r="E115" s="15"/>
      <c r="F115" s="15"/>
      <c r="G115" s="16">
        <v>572614.93000000005</v>
      </c>
      <c r="H115" s="16">
        <v>572614.93000000005</v>
      </c>
      <c r="I115" s="16">
        <v>572614.93000000005</v>
      </c>
      <c r="J115" s="16">
        <v>572614.93000000005</v>
      </c>
      <c r="K115" s="15"/>
      <c r="L115" s="15"/>
    </row>
    <row r="116" spans="1:12" ht="15" customHeight="1" x14ac:dyDescent="0.2">
      <c r="A116" s="15" t="s">
        <v>331</v>
      </c>
      <c r="B116" s="15" t="s">
        <v>332</v>
      </c>
      <c r="C116" s="15"/>
      <c r="D116" s="15"/>
      <c r="E116" s="16">
        <v>370167603.41000003</v>
      </c>
      <c r="F116" s="15"/>
      <c r="G116" s="15"/>
      <c r="H116" s="15"/>
      <c r="I116" s="15"/>
      <c r="J116" s="15"/>
      <c r="K116" s="16">
        <v>370167603.41000003</v>
      </c>
      <c r="L116" s="15"/>
    </row>
    <row r="117" spans="1:12" ht="15" customHeight="1" x14ac:dyDescent="0.2">
      <c r="A117" s="15" t="s">
        <v>333</v>
      </c>
      <c r="B117" s="15" t="s">
        <v>334</v>
      </c>
      <c r="C117" s="15"/>
      <c r="D117" s="15"/>
      <c r="E117" s="16">
        <v>359208688.69</v>
      </c>
      <c r="F117" s="15"/>
      <c r="G117" s="15"/>
      <c r="H117" s="15"/>
      <c r="I117" s="15"/>
      <c r="J117" s="15"/>
      <c r="K117" s="16">
        <v>359208688.69</v>
      </c>
      <c r="L117" s="15"/>
    </row>
    <row r="118" spans="1:12" ht="15" customHeight="1" x14ac:dyDescent="0.2">
      <c r="A118" s="15"/>
      <c r="B118" s="15"/>
      <c r="C118" s="15" t="s">
        <v>335</v>
      </c>
      <c r="D118" s="15" t="s">
        <v>336</v>
      </c>
      <c r="E118" s="16">
        <v>296766856.74000001</v>
      </c>
      <c r="F118" s="15"/>
      <c r="G118" s="15"/>
      <c r="H118" s="15"/>
      <c r="I118" s="15"/>
      <c r="J118" s="15"/>
      <c r="K118" s="16">
        <v>296766856.74000001</v>
      </c>
      <c r="L118" s="15"/>
    </row>
    <row r="119" spans="1:12" ht="15" customHeight="1" x14ac:dyDescent="0.2">
      <c r="A119" s="15"/>
      <c r="B119" s="15"/>
      <c r="C119" s="15" t="s">
        <v>337</v>
      </c>
      <c r="D119" s="15" t="s">
        <v>338</v>
      </c>
      <c r="E119" s="16">
        <v>62441831.950000003</v>
      </c>
      <c r="F119" s="15"/>
      <c r="G119" s="15"/>
      <c r="H119" s="15"/>
      <c r="I119" s="15"/>
      <c r="J119" s="15"/>
      <c r="K119" s="16">
        <v>62441831.950000003</v>
      </c>
      <c r="L119" s="15"/>
    </row>
    <row r="120" spans="1:12" ht="15" customHeight="1" x14ac:dyDescent="0.2">
      <c r="A120" s="15" t="s">
        <v>339</v>
      </c>
      <c r="B120" s="15" t="s">
        <v>340</v>
      </c>
      <c r="C120" s="15"/>
      <c r="D120" s="15"/>
      <c r="E120" s="16">
        <v>10776273.439999999</v>
      </c>
      <c r="F120" s="15"/>
      <c r="G120" s="15"/>
      <c r="H120" s="15"/>
      <c r="I120" s="15"/>
      <c r="J120" s="15"/>
      <c r="K120" s="16">
        <v>10776273.439999999</v>
      </c>
      <c r="L120" s="15"/>
    </row>
    <row r="121" spans="1:12" ht="15" customHeight="1" x14ac:dyDescent="0.2">
      <c r="A121" s="15"/>
      <c r="B121" s="15"/>
      <c r="C121" s="15" t="s">
        <v>335</v>
      </c>
      <c r="D121" s="15" t="s">
        <v>336</v>
      </c>
      <c r="E121" s="16">
        <v>8903015.0800000001</v>
      </c>
      <c r="F121" s="15"/>
      <c r="G121" s="15"/>
      <c r="H121" s="15"/>
      <c r="I121" s="15"/>
      <c r="J121" s="15"/>
      <c r="K121" s="16">
        <v>8903015.0800000001</v>
      </c>
      <c r="L121" s="15"/>
    </row>
    <row r="122" spans="1:12" ht="15" customHeight="1" x14ac:dyDescent="0.2">
      <c r="A122" s="15"/>
      <c r="B122" s="15"/>
      <c r="C122" s="15" t="s">
        <v>337</v>
      </c>
      <c r="D122" s="15" t="s">
        <v>338</v>
      </c>
      <c r="E122" s="16">
        <v>1873258.36</v>
      </c>
      <c r="F122" s="15"/>
      <c r="G122" s="15"/>
      <c r="H122" s="15"/>
      <c r="I122" s="15"/>
      <c r="J122" s="15"/>
      <c r="K122" s="16">
        <v>1873258.36</v>
      </c>
      <c r="L122" s="15"/>
    </row>
    <row r="123" spans="1:12" ht="15" customHeight="1" x14ac:dyDescent="0.2">
      <c r="A123" s="15" t="s">
        <v>341</v>
      </c>
      <c r="B123" s="15" t="s">
        <v>342</v>
      </c>
      <c r="C123" s="15"/>
      <c r="D123" s="15"/>
      <c r="E123" s="16">
        <v>182641.28</v>
      </c>
      <c r="F123" s="15"/>
      <c r="G123" s="15"/>
      <c r="H123" s="15"/>
      <c r="I123" s="15"/>
      <c r="J123" s="15"/>
      <c r="K123" s="16">
        <v>182641.28</v>
      </c>
      <c r="L123" s="15"/>
    </row>
    <row r="124" spans="1:12" ht="15" customHeight="1" x14ac:dyDescent="0.2">
      <c r="A124" s="15"/>
      <c r="B124" s="15"/>
      <c r="C124" s="15" t="s">
        <v>335</v>
      </c>
      <c r="D124" s="15" t="s">
        <v>336</v>
      </c>
      <c r="E124" s="16">
        <v>150959.59</v>
      </c>
      <c r="F124" s="15"/>
      <c r="G124" s="15"/>
      <c r="H124" s="15"/>
      <c r="I124" s="15"/>
      <c r="J124" s="15"/>
      <c r="K124" s="16">
        <v>150959.59</v>
      </c>
      <c r="L124" s="15"/>
    </row>
    <row r="125" spans="1:12" ht="15" customHeight="1" x14ac:dyDescent="0.2">
      <c r="A125" s="15"/>
      <c r="B125" s="15"/>
      <c r="C125" s="15" t="s">
        <v>337</v>
      </c>
      <c r="D125" s="15" t="s">
        <v>338</v>
      </c>
      <c r="E125" s="16">
        <v>31681.69</v>
      </c>
      <c r="F125" s="15"/>
      <c r="G125" s="15"/>
      <c r="H125" s="15"/>
      <c r="I125" s="15"/>
      <c r="J125" s="15"/>
      <c r="K125" s="16">
        <v>31681.69</v>
      </c>
      <c r="L125" s="15"/>
    </row>
    <row r="126" spans="1:12" ht="15" customHeight="1" x14ac:dyDescent="0.2">
      <c r="A126" s="15" t="s">
        <v>343</v>
      </c>
      <c r="B126" s="15" t="s">
        <v>344</v>
      </c>
      <c r="C126" s="15"/>
      <c r="D126" s="15"/>
      <c r="E126" s="16">
        <v>93397458.150000006</v>
      </c>
      <c r="F126" s="15"/>
      <c r="G126" s="16">
        <v>106711.01</v>
      </c>
      <c r="H126" s="15"/>
      <c r="I126" s="16">
        <v>106711.01</v>
      </c>
      <c r="J126" s="15"/>
      <c r="K126" s="16">
        <v>93504169.159999996</v>
      </c>
      <c r="L126" s="15"/>
    </row>
    <row r="127" spans="1:12" ht="15" customHeight="1" x14ac:dyDescent="0.2">
      <c r="A127" s="15" t="s">
        <v>345</v>
      </c>
      <c r="B127" s="15" t="s">
        <v>346</v>
      </c>
      <c r="C127" s="15"/>
      <c r="D127" s="15"/>
      <c r="E127" s="16">
        <v>43969766.770000003</v>
      </c>
      <c r="F127" s="15"/>
      <c r="G127" s="16">
        <v>37232.699999999997</v>
      </c>
      <c r="H127" s="15"/>
      <c r="I127" s="16">
        <v>37232.699999999997</v>
      </c>
      <c r="J127" s="15"/>
      <c r="K127" s="16">
        <v>44006999.469999999</v>
      </c>
      <c r="L127" s="15"/>
    </row>
    <row r="128" spans="1:12" ht="15" customHeight="1" x14ac:dyDescent="0.2">
      <c r="A128" s="15" t="s">
        <v>347</v>
      </c>
      <c r="B128" s="15" t="s">
        <v>348</v>
      </c>
      <c r="C128" s="15"/>
      <c r="D128" s="15"/>
      <c r="E128" s="16">
        <v>40761983.68</v>
      </c>
      <c r="F128" s="15"/>
      <c r="G128" s="15"/>
      <c r="H128" s="15"/>
      <c r="I128" s="15"/>
      <c r="J128" s="15"/>
      <c r="K128" s="16">
        <v>40761983.68</v>
      </c>
      <c r="L128" s="15"/>
    </row>
    <row r="129" spans="1:12" ht="15" customHeight="1" x14ac:dyDescent="0.2">
      <c r="A129" s="15"/>
      <c r="B129" s="15"/>
      <c r="C129" s="15" t="s">
        <v>335</v>
      </c>
      <c r="D129" s="15" t="s">
        <v>336</v>
      </c>
      <c r="E129" s="16">
        <v>34119962.259999998</v>
      </c>
      <c r="F129" s="15"/>
      <c r="G129" s="15"/>
      <c r="H129" s="15"/>
      <c r="I129" s="15"/>
      <c r="J129" s="15"/>
      <c r="K129" s="16">
        <v>34119962.259999998</v>
      </c>
      <c r="L129" s="15"/>
    </row>
    <row r="130" spans="1:12" ht="15" customHeight="1" x14ac:dyDescent="0.2">
      <c r="A130" s="15"/>
      <c r="B130" s="15"/>
      <c r="C130" s="15" t="s">
        <v>337</v>
      </c>
      <c r="D130" s="15" t="s">
        <v>338</v>
      </c>
      <c r="E130" s="16">
        <v>6514662.9299999997</v>
      </c>
      <c r="F130" s="15"/>
      <c r="G130" s="15"/>
      <c r="H130" s="15"/>
      <c r="I130" s="15"/>
      <c r="J130" s="15"/>
      <c r="K130" s="16">
        <v>6514662.9299999997</v>
      </c>
      <c r="L130" s="15"/>
    </row>
    <row r="131" spans="1:12" ht="15" customHeight="1" x14ac:dyDescent="0.2">
      <c r="A131" s="15"/>
      <c r="B131" s="15"/>
      <c r="C131" s="15" t="s">
        <v>349</v>
      </c>
      <c r="D131" s="15" t="s">
        <v>350</v>
      </c>
      <c r="E131" s="16">
        <v>105265.99</v>
      </c>
      <c r="F131" s="15"/>
      <c r="G131" s="15"/>
      <c r="H131" s="15"/>
      <c r="I131" s="15"/>
      <c r="J131" s="15"/>
      <c r="K131" s="16">
        <v>105265.99</v>
      </c>
      <c r="L131" s="15"/>
    </row>
    <row r="132" spans="1:12" ht="15" customHeight="1" x14ac:dyDescent="0.2">
      <c r="A132" s="15"/>
      <c r="B132" s="15"/>
      <c r="C132" s="15" t="s">
        <v>351</v>
      </c>
      <c r="D132" s="15" t="s">
        <v>352</v>
      </c>
      <c r="E132" s="16">
        <v>22092.5</v>
      </c>
      <c r="F132" s="15"/>
      <c r="G132" s="15"/>
      <c r="H132" s="15"/>
      <c r="I132" s="15"/>
      <c r="J132" s="15"/>
      <c r="K132" s="16">
        <v>22092.5</v>
      </c>
      <c r="L132" s="15"/>
    </row>
    <row r="133" spans="1:12" ht="15" customHeight="1" x14ac:dyDescent="0.2">
      <c r="A133" s="15" t="s">
        <v>353</v>
      </c>
      <c r="B133" s="15" t="s">
        <v>354</v>
      </c>
      <c r="C133" s="15"/>
      <c r="D133" s="15"/>
      <c r="E133" s="16">
        <v>3207783.09</v>
      </c>
      <c r="F133" s="15"/>
      <c r="G133" s="16">
        <v>37232.699999999997</v>
      </c>
      <c r="H133" s="15"/>
      <c r="I133" s="16">
        <v>37232.699999999997</v>
      </c>
      <c r="J133" s="15"/>
      <c r="K133" s="16">
        <v>3245015.79</v>
      </c>
      <c r="L133" s="15"/>
    </row>
    <row r="134" spans="1:12" ht="15" customHeight="1" x14ac:dyDescent="0.2">
      <c r="A134" s="15"/>
      <c r="B134" s="15"/>
      <c r="C134" s="15" t="s">
        <v>335</v>
      </c>
      <c r="D134" s="15" t="s">
        <v>336</v>
      </c>
      <c r="E134" s="16">
        <v>2585453.0099999998</v>
      </c>
      <c r="F134" s="15"/>
      <c r="G134" s="16">
        <v>30774.06</v>
      </c>
      <c r="H134" s="15"/>
      <c r="I134" s="16">
        <v>30774.06</v>
      </c>
      <c r="J134" s="15"/>
      <c r="K134" s="16">
        <v>2616227.0699999998</v>
      </c>
      <c r="L134" s="15"/>
    </row>
    <row r="135" spans="1:12" ht="15" customHeight="1" x14ac:dyDescent="0.2">
      <c r="A135" s="15"/>
      <c r="B135" s="15"/>
      <c r="C135" s="15" t="s">
        <v>337</v>
      </c>
      <c r="D135" s="15" t="s">
        <v>338</v>
      </c>
      <c r="E135" s="16">
        <v>482235.74</v>
      </c>
      <c r="F135" s="15"/>
      <c r="G135" s="16">
        <v>6458.64</v>
      </c>
      <c r="H135" s="15"/>
      <c r="I135" s="16">
        <v>6458.64</v>
      </c>
      <c r="J135" s="15"/>
      <c r="K135" s="16">
        <v>488694.38</v>
      </c>
      <c r="L135" s="15"/>
    </row>
    <row r="136" spans="1:12" ht="15" customHeight="1" x14ac:dyDescent="0.2">
      <c r="A136" s="15"/>
      <c r="B136" s="15"/>
      <c r="C136" s="15" t="s">
        <v>349</v>
      </c>
      <c r="D136" s="15" t="s">
        <v>350</v>
      </c>
      <c r="E136" s="16">
        <v>140094.34</v>
      </c>
      <c r="F136" s="15"/>
      <c r="G136" s="15"/>
      <c r="H136" s="15"/>
      <c r="I136" s="15"/>
      <c r="J136" s="15"/>
      <c r="K136" s="16">
        <v>140094.34</v>
      </c>
      <c r="L136" s="15"/>
    </row>
    <row r="137" spans="1:12" ht="15" customHeight="1" x14ac:dyDescent="0.2">
      <c r="A137" s="15" t="s">
        <v>355</v>
      </c>
      <c r="B137" s="15" t="s">
        <v>356</v>
      </c>
      <c r="C137" s="15"/>
      <c r="D137" s="15"/>
      <c r="E137" s="16">
        <v>3061800.11</v>
      </c>
      <c r="F137" s="15"/>
      <c r="G137" s="15"/>
      <c r="H137" s="15"/>
      <c r="I137" s="15"/>
      <c r="J137" s="15"/>
      <c r="K137" s="16">
        <v>3061800.11</v>
      </c>
      <c r="L137" s="15"/>
    </row>
    <row r="138" spans="1:12" ht="15" customHeight="1" x14ac:dyDescent="0.2">
      <c r="A138" s="15"/>
      <c r="B138" s="15"/>
      <c r="C138" s="15" t="s">
        <v>230</v>
      </c>
      <c r="D138" s="15" t="s">
        <v>231</v>
      </c>
      <c r="E138" s="16">
        <v>23975</v>
      </c>
      <c r="F138" s="15"/>
      <c r="G138" s="15"/>
      <c r="H138" s="15"/>
      <c r="I138" s="15"/>
      <c r="J138" s="15"/>
      <c r="K138" s="16">
        <v>23975</v>
      </c>
      <c r="L138" s="15"/>
    </row>
    <row r="139" spans="1:12" ht="15" customHeight="1" x14ac:dyDescent="0.2">
      <c r="A139" s="15"/>
      <c r="B139" s="15"/>
      <c r="C139" s="15" t="s">
        <v>335</v>
      </c>
      <c r="D139" s="15" t="s">
        <v>336</v>
      </c>
      <c r="E139" s="16">
        <v>2109369.6800000002</v>
      </c>
      <c r="F139" s="15"/>
      <c r="G139" s="15"/>
      <c r="H139" s="15"/>
      <c r="I139" s="15"/>
      <c r="J139" s="15"/>
      <c r="K139" s="16">
        <v>2109369.6800000002</v>
      </c>
      <c r="L139" s="15"/>
    </row>
    <row r="140" spans="1:12" ht="15" customHeight="1" x14ac:dyDescent="0.2">
      <c r="A140" s="15"/>
      <c r="B140" s="15"/>
      <c r="C140" s="15" t="s">
        <v>337</v>
      </c>
      <c r="D140" s="15" t="s">
        <v>338</v>
      </c>
      <c r="E140" s="16">
        <v>928455.43</v>
      </c>
      <c r="F140" s="15"/>
      <c r="G140" s="15"/>
      <c r="H140" s="15"/>
      <c r="I140" s="15"/>
      <c r="J140" s="15"/>
      <c r="K140" s="16">
        <v>928455.43</v>
      </c>
      <c r="L140" s="15"/>
    </row>
    <row r="141" spans="1:12" ht="15" customHeight="1" x14ac:dyDescent="0.2">
      <c r="A141" s="15" t="s">
        <v>357</v>
      </c>
      <c r="B141" s="15" t="s">
        <v>358</v>
      </c>
      <c r="C141" s="15"/>
      <c r="D141" s="15"/>
      <c r="E141" s="16">
        <v>202830.18</v>
      </c>
      <c r="F141" s="15"/>
      <c r="G141" s="15"/>
      <c r="H141" s="15"/>
      <c r="I141" s="15"/>
      <c r="J141" s="15"/>
      <c r="K141" s="16">
        <v>202830.18</v>
      </c>
      <c r="L141" s="15"/>
    </row>
    <row r="142" spans="1:12" ht="15" customHeight="1" x14ac:dyDescent="0.2">
      <c r="A142" s="15"/>
      <c r="B142" s="15"/>
      <c r="C142" s="15" t="s">
        <v>335</v>
      </c>
      <c r="D142" s="15" t="s">
        <v>336</v>
      </c>
      <c r="E142" s="16">
        <v>101415.09</v>
      </c>
      <c r="F142" s="15"/>
      <c r="G142" s="15"/>
      <c r="H142" s="15"/>
      <c r="I142" s="15"/>
      <c r="J142" s="15"/>
      <c r="K142" s="16">
        <v>101415.09</v>
      </c>
      <c r="L142" s="15"/>
    </row>
    <row r="143" spans="1:12" ht="15" customHeight="1" x14ac:dyDescent="0.2">
      <c r="A143" s="15"/>
      <c r="B143" s="15"/>
      <c r="C143" s="15" t="s">
        <v>337</v>
      </c>
      <c r="D143" s="15" t="s">
        <v>338</v>
      </c>
      <c r="E143" s="16">
        <v>101415.09</v>
      </c>
      <c r="F143" s="15"/>
      <c r="G143" s="15"/>
      <c r="H143" s="15"/>
      <c r="I143" s="15"/>
      <c r="J143" s="15"/>
      <c r="K143" s="16">
        <v>101415.09</v>
      </c>
      <c r="L143" s="15"/>
    </row>
    <row r="144" spans="1:12" ht="15" customHeight="1" x14ac:dyDescent="0.2">
      <c r="A144" s="15" t="s">
        <v>359</v>
      </c>
      <c r="B144" s="15" t="s">
        <v>360</v>
      </c>
      <c r="C144" s="15"/>
      <c r="D144" s="15"/>
      <c r="E144" s="16">
        <v>36406989.420000002</v>
      </c>
      <c r="F144" s="15"/>
      <c r="G144" s="16">
        <v>34746.559999999998</v>
      </c>
      <c r="H144" s="15"/>
      <c r="I144" s="16">
        <v>34746.559999999998</v>
      </c>
      <c r="J144" s="15"/>
      <c r="K144" s="16">
        <v>36441735.979999997</v>
      </c>
      <c r="L144" s="15"/>
    </row>
    <row r="145" spans="1:12" ht="15" customHeight="1" x14ac:dyDescent="0.2">
      <c r="A145" s="15"/>
      <c r="B145" s="15"/>
      <c r="C145" s="15" t="s">
        <v>335</v>
      </c>
      <c r="D145" s="15" t="s">
        <v>336</v>
      </c>
      <c r="E145" s="16">
        <v>30089385.07</v>
      </c>
      <c r="F145" s="15"/>
      <c r="G145" s="16">
        <v>28719.18</v>
      </c>
      <c r="H145" s="15"/>
      <c r="I145" s="16">
        <v>28719.18</v>
      </c>
      <c r="J145" s="15"/>
      <c r="K145" s="16">
        <v>30118104.25</v>
      </c>
      <c r="L145" s="15"/>
    </row>
    <row r="146" spans="1:12" ht="15" customHeight="1" x14ac:dyDescent="0.2">
      <c r="A146" s="15"/>
      <c r="B146" s="15"/>
      <c r="C146" s="15" t="s">
        <v>337</v>
      </c>
      <c r="D146" s="15" t="s">
        <v>338</v>
      </c>
      <c r="E146" s="16">
        <v>6317604.3499999996</v>
      </c>
      <c r="F146" s="15"/>
      <c r="G146" s="16">
        <v>6027.38</v>
      </c>
      <c r="H146" s="15"/>
      <c r="I146" s="16">
        <v>6027.38</v>
      </c>
      <c r="J146" s="15"/>
      <c r="K146" s="16">
        <v>6323631.7300000004</v>
      </c>
      <c r="L146" s="15"/>
    </row>
    <row r="147" spans="1:12" ht="15" customHeight="1" x14ac:dyDescent="0.2">
      <c r="A147" s="15" t="s">
        <v>361</v>
      </c>
      <c r="B147" s="15" t="s">
        <v>362</v>
      </c>
      <c r="C147" s="15"/>
      <c r="D147" s="15"/>
      <c r="E147" s="16">
        <v>7273430.1900000004</v>
      </c>
      <c r="F147" s="15"/>
      <c r="G147" s="16">
        <v>34731.75</v>
      </c>
      <c r="H147" s="15"/>
      <c r="I147" s="16">
        <v>34731.75</v>
      </c>
      <c r="J147" s="15"/>
      <c r="K147" s="16">
        <v>7308161.9400000004</v>
      </c>
      <c r="L147" s="15"/>
    </row>
    <row r="148" spans="1:12" ht="15" customHeight="1" x14ac:dyDescent="0.2">
      <c r="A148" s="15" t="s">
        <v>363</v>
      </c>
      <c r="B148" s="15" t="s">
        <v>364</v>
      </c>
      <c r="C148" s="15"/>
      <c r="D148" s="15"/>
      <c r="E148" s="16">
        <v>7273430.1900000004</v>
      </c>
      <c r="F148" s="15"/>
      <c r="G148" s="16">
        <v>34731.75</v>
      </c>
      <c r="H148" s="15"/>
      <c r="I148" s="16">
        <v>34731.75</v>
      </c>
      <c r="J148" s="15"/>
      <c r="K148" s="16">
        <v>7308161.9400000004</v>
      </c>
      <c r="L148" s="15"/>
    </row>
    <row r="149" spans="1:12" ht="15" customHeight="1" x14ac:dyDescent="0.2">
      <c r="A149" s="15"/>
      <c r="B149" s="15"/>
      <c r="C149" s="15" t="s">
        <v>230</v>
      </c>
      <c r="D149" s="15" t="s">
        <v>231</v>
      </c>
      <c r="E149" s="16">
        <v>82378.55</v>
      </c>
      <c r="F149" s="15"/>
      <c r="G149" s="15"/>
      <c r="H149" s="15"/>
      <c r="I149" s="15"/>
      <c r="J149" s="15"/>
      <c r="K149" s="16">
        <v>82378.55</v>
      </c>
      <c r="L149" s="15"/>
    </row>
    <row r="150" spans="1:12" ht="15" customHeight="1" x14ac:dyDescent="0.2">
      <c r="A150" s="15"/>
      <c r="B150" s="15"/>
      <c r="C150" s="15" t="s">
        <v>335</v>
      </c>
      <c r="D150" s="15" t="s">
        <v>336</v>
      </c>
      <c r="E150" s="16">
        <v>5912444.5800000001</v>
      </c>
      <c r="F150" s="15"/>
      <c r="G150" s="16">
        <v>28706.94</v>
      </c>
      <c r="H150" s="15"/>
      <c r="I150" s="16">
        <v>28706.94</v>
      </c>
      <c r="J150" s="15"/>
      <c r="K150" s="16">
        <v>5941151.5199999996</v>
      </c>
      <c r="L150" s="15"/>
    </row>
    <row r="151" spans="1:12" ht="15" customHeight="1" x14ac:dyDescent="0.2">
      <c r="A151" s="15"/>
      <c r="B151" s="15"/>
      <c r="C151" s="15" t="s">
        <v>337</v>
      </c>
      <c r="D151" s="15" t="s">
        <v>338</v>
      </c>
      <c r="E151" s="16">
        <v>1278607.06</v>
      </c>
      <c r="F151" s="15"/>
      <c r="G151" s="16">
        <v>6024.81</v>
      </c>
      <c r="H151" s="15"/>
      <c r="I151" s="16">
        <v>6024.81</v>
      </c>
      <c r="J151" s="15"/>
      <c r="K151" s="16">
        <v>1284631.8700000001</v>
      </c>
      <c r="L151" s="15"/>
    </row>
    <row r="152" spans="1:12" ht="15" customHeight="1" x14ac:dyDescent="0.2">
      <c r="A152" s="15" t="s">
        <v>365</v>
      </c>
      <c r="B152" s="15" t="s">
        <v>366</v>
      </c>
      <c r="C152" s="15"/>
      <c r="D152" s="15"/>
      <c r="E152" s="16">
        <v>2482641.48</v>
      </c>
      <c r="F152" s="15"/>
      <c r="G152" s="15"/>
      <c r="H152" s="15"/>
      <c r="I152" s="15"/>
      <c r="J152" s="15"/>
      <c r="K152" s="16">
        <v>2482641.48</v>
      </c>
      <c r="L152" s="15"/>
    </row>
    <row r="153" spans="1:12" ht="15" customHeight="1" x14ac:dyDescent="0.2">
      <c r="A153" s="15"/>
      <c r="B153" s="15"/>
      <c r="C153" s="15" t="s">
        <v>335</v>
      </c>
      <c r="D153" s="15" t="s">
        <v>336</v>
      </c>
      <c r="E153" s="16">
        <v>2010570.69</v>
      </c>
      <c r="F153" s="15"/>
      <c r="G153" s="15"/>
      <c r="H153" s="15"/>
      <c r="I153" s="15"/>
      <c r="J153" s="15"/>
      <c r="K153" s="16">
        <v>2010570.69</v>
      </c>
      <c r="L153" s="15"/>
    </row>
    <row r="154" spans="1:12" ht="15" customHeight="1" x14ac:dyDescent="0.2">
      <c r="A154" s="15"/>
      <c r="B154" s="15"/>
      <c r="C154" s="15" t="s">
        <v>337</v>
      </c>
      <c r="D154" s="15" t="s">
        <v>338</v>
      </c>
      <c r="E154" s="16">
        <v>472070.79</v>
      </c>
      <c r="F154" s="15"/>
      <c r="G154" s="15"/>
      <c r="H154" s="15"/>
      <c r="I154" s="15"/>
      <c r="J154" s="15"/>
      <c r="K154" s="16">
        <v>472070.79</v>
      </c>
      <c r="L154" s="15"/>
    </row>
    <row r="155" spans="1:12" ht="15" customHeight="1" x14ac:dyDescent="0.2">
      <c r="A155" s="15" t="s">
        <v>367</v>
      </c>
      <c r="B155" s="15" t="s">
        <v>368</v>
      </c>
      <c r="C155" s="15"/>
      <c r="D155" s="15"/>
      <c r="E155" s="16">
        <v>195191201.41999999</v>
      </c>
      <c r="F155" s="15"/>
      <c r="G155" s="16">
        <v>12701.48</v>
      </c>
      <c r="H155" s="15"/>
      <c r="I155" s="16">
        <v>12701.48</v>
      </c>
      <c r="J155" s="15"/>
      <c r="K155" s="16">
        <v>195203902.90000001</v>
      </c>
      <c r="L155" s="15"/>
    </row>
    <row r="156" spans="1:12" ht="15" customHeight="1" x14ac:dyDescent="0.2">
      <c r="A156" s="15" t="s">
        <v>369</v>
      </c>
      <c r="B156" s="15" t="s">
        <v>370</v>
      </c>
      <c r="C156" s="15"/>
      <c r="D156" s="15"/>
      <c r="E156" s="16">
        <v>157865358.16999999</v>
      </c>
      <c r="F156" s="15"/>
      <c r="G156" s="15"/>
      <c r="H156" s="15"/>
      <c r="I156" s="15"/>
      <c r="J156" s="15"/>
      <c r="K156" s="16">
        <v>157865358.16999999</v>
      </c>
      <c r="L156" s="15"/>
    </row>
    <row r="157" spans="1:12" ht="15" customHeight="1" x14ac:dyDescent="0.2">
      <c r="A157" s="15" t="s">
        <v>371</v>
      </c>
      <c r="B157" s="15" t="s">
        <v>372</v>
      </c>
      <c r="C157" s="15"/>
      <c r="D157" s="15"/>
      <c r="E157" s="16">
        <v>120346105.68000001</v>
      </c>
      <c r="F157" s="15"/>
      <c r="G157" s="15"/>
      <c r="H157" s="15"/>
      <c r="I157" s="15"/>
      <c r="J157" s="15"/>
      <c r="K157" s="16">
        <v>120346105.68000001</v>
      </c>
      <c r="L157" s="15"/>
    </row>
    <row r="158" spans="1:12" ht="15" customHeight="1" x14ac:dyDescent="0.2">
      <c r="A158" s="15"/>
      <c r="B158" s="15"/>
      <c r="C158" s="15" t="s">
        <v>335</v>
      </c>
      <c r="D158" s="15" t="s">
        <v>336</v>
      </c>
      <c r="E158" s="16">
        <v>99470027.780000001</v>
      </c>
      <c r="F158" s="15"/>
      <c r="G158" s="15"/>
      <c r="H158" s="15"/>
      <c r="I158" s="15"/>
      <c r="J158" s="15"/>
      <c r="K158" s="16">
        <v>99470027.780000001</v>
      </c>
      <c r="L158" s="15"/>
    </row>
    <row r="159" spans="1:12" ht="15" customHeight="1" x14ac:dyDescent="0.2">
      <c r="A159" s="15"/>
      <c r="B159" s="15"/>
      <c r="C159" s="15" t="s">
        <v>337</v>
      </c>
      <c r="D159" s="15" t="s">
        <v>338</v>
      </c>
      <c r="E159" s="16">
        <v>20876077.899999999</v>
      </c>
      <c r="F159" s="15"/>
      <c r="G159" s="15"/>
      <c r="H159" s="15"/>
      <c r="I159" s="15"/>
      <c r="J159" s="15"/>
      <c r="K159" s="16">
        <v>20876077.899999999</v>
      </c>
      <c r="L159" s="15"/>
    </row>
    <row r="160" spans="1:12" ht="15" customHeight="1" x14ac:dyDescent="0.2">
      <c r="A160" s="15" t="s">
        <v>373</v>
      </c>
      <c r="B160" s="15" t="s">
        <v>374</v>
      </c>
      <c r="C160" s="15"/>
      <c r="D160" s="15"/>
      <c r="E160" s="16">
        <v>37519252.490000002</v>
      </c>
      <c r="F160" s="15"/>
      <c r="G160" s="15"/>
      <c r="H160" s="15"/>
      <c r="I160" s="15"/>
      <c r="J160" s="15"/>
      <c r="K160" s="16">
        <v>37519252.490000002</v>
      </c>
      <c r="L160" s="15"/>
    </row>
    <row r="161" spans="1:12" ht="15" customHeight="1" x14ac:dyDescent="0.2">
      <c r="A161" s="15"/>
      <c r="B161" s="15"/>
      <c r="C161" s="15" t="s">
        <v>335</v>
      </c>
      <c r="D161" s="15" t="s">
        <v>336</v>
      </c>
      <c r="E161" s="16">
        <v>31010900.32</v>
      </c>
      <c r="F161" s="15"/>
      <c r="G161" s="15"/>
      <c r="H161" s="15"/>
      <c r="I161" s="15"/>
      <c r="J161" s="15"/>
      <c r="K161" s="16">
        <v>31010900.32</v>
      </c>
      <c r="L161" s="15"/>
    </row>
    <row r="162" spans="1:12" ht="15" customHeight="1" x14ac:dyDescent="0.2">
      <c r="A162" s="15"/>
      <c r="B162" s="15"/>
      <c r="C162" s="15" t="s">
        <v>337</v>
      </c>
      <c r="D162" s="15" t="s">
        <v>338</v>
      </c>
      <c r="E162" s="16">
        <v>6508352.1699999999</v>
      </c>
      <c r="F162" s="15"/>
      <c r="G162" s="15"/>
      <c r="H162" s="15"/>
      <c r="I162" s="15"/>
      <c r="J162" s="15"/>
      <c r="K162" s="16">
        <v>6508352.1699999999</v>
      </c>
      <c r="L162" s="15"/>
    </row>
    <row r="163" spans="1:12" ht="15" customHeight="1" x14ac:dyDescent="0.2">
      <c r="A163" s="15" t="s">
        <v>375</v>
      </c>
      <c r="B163" s="15" t="s">
        <v>376</v>
      </c>
      <c r="C163" s="15"/>
      <c r="D163" s="15"/>
      <c r="E163" s="16">
        <v>37017094.960000001</v>
      </c>
      <c r="F163" s="15"/>
      <c r="G163" s="16">
        <v>12701.48</v>
      </c>
      <c r="H163" s="15"/>
      <c r="I163" s="16">
        <v>12701.48</v>
      </c>
      <c r="J163" s="15"/>
      <c r="K163" s="16">
        <v>37029796.439999998</v>
      </c>
      <c r="L163" s="15"/>
    </row>
    <row r="164" spans="1:12" ht="15" customHeight="1" x14ac:dyDescent="0.2">
      <c r="A164" s="15" t="s">
        <v>377</v>
      </c>
      <c r="B164" s="15" t="s">
        <v>378</v>
      </c>
      <c r="C164" s="15"/>
      <c r="D164" s="15"/>
      <c r="E164" s="16">
        <v>5138318.41</v>
      </c>
      <c r="F164" s="15"/>
      <c r="G164" s="15"/>
      <c r="H164" s="15"/>
      <c r="I164" s="15"/>
      <c r="J164" s="15"/>
      <c r="K164" s="16">
        <v>5138318.41</v>
      </c>
      <c r="L164" s="15"/>
    </row>
    <row r="165" spans="1:12" ht="15" customHeight="1" x14ac:dyDescent="0.2">
      <c r="A165" s="15"/>
      <c r="B165" s="15"/>
      <c r="C165" s="15" t="s">
        <v>335</v>
      </c>
      <c r="D165" s="15" t="s">
        <v>336</v>
      </c>
      <c r="E165" s="16">
        <v>4248787.88</v>
      </c>
      <c r="F165" s="15"/>
      <c r="G165" s="15"/>
      <c r="H165" s="15"/>
      <c r="I165" s="15"/>
      <c r="J165" s="15"/>
      <c r="K165" s="16">
        <v>4248787.88</v>
      </c>
      <c r="L165" s="15"/>
    </row>
    <row r="166" spans="1:12" ht="15" customHeight="1" x14ac:dyDescent="0.2">
      <c r="A166" s="15"/>
      <c r="B166" s="15"/>
      <c r="C166" s="15" t="s">
        <v>337</v>
      </c>
      <c r="D166" s="15" t="s">
        <v>338</v>
      </c>
      <c r="E166" s="16">
        <v>889530.53</v>
      </c>
      <c r="F166" s="15"/>
      <c r="G166" s="15"/>
      <c r="H166" s="15"/>
      <c r="I166" s="15"/>
      <c r="J166" s="15"/>
      <c r="K166" s="16">
        <v>889530.53</v>
      </c>
      <c r="L166" s="15"/>
    </row>
    <row r="167" spans="1:12" ht="15" customHeight="1" x14ac:dyDescent="0.2">
      <c r="A167" s="15" t="s">
        <v>379</v>
      </c>
      <c r="B167" s="15" t="s">
        <v>380</v>
      </c>
      <c r="C167" s="15"/>
      <c r="D167" s="15"/>
      <c r="E167" s="16">
        <v>4444906.3899999997</v>
      </c>
      <c r="F167" s="15"/>
      <c r="G167" s="16">
        <v>12701.48</v>
      </c>
      <c r="H167" s="15"/>
      <c r="I167" s="16">
        <v>12701.48</v>
      </c>
      <c r="J167" s="15"/>
      <c r="K167" s="16">
        <v>4457607.87</v>
      </c>
      <c r="L167" s="15"/>
    </row>
    <row r="168" spans="1:12" ht="15" customHeight="1" x14ac:dyDescent="0.2">
      <c r="A168" s="15"/>
      <c r="B168" s="15"/>
      <c r="C168" s="15" t="s">
        <v>335</v>
      </c>
      <c r="D168" s="15" t="s">
        <v>336</v>
      </c>
      <c r="E168" s="16">
        <v>3673833.79</v>
      </c>
      <c r="F168" s="15"/>
      <c r="G168" s="16">
        <v>10498.19</v>
      </c>
      <c r="H168" s="15"/>
      <c r="I168" s="16">
        <v>10498.19</v>
      </c>
      <c r="J168" s="15"/>
      <c r="K168" s="16">
        <v>3684331.98</v>
      </c>
      <c r="L168" s="15"/>
    </row>
    <row r="169" spans="1:12" ht="15" customHeight="1" x14ac:dyDescent="0.2">
      <c r="A169" s="15"/>
      <c r="B169" s="15"/>
      <c r="C169" s="15" t="s">
        <v>337</v>
      </c>
      <c r="D169" s="15" t="s">
        <v>338</v>
      </c>
      <c r="E169" s="16">
        <v>771072.6</v>
      </c>
      <c r="F169" s="15"/>
      <c r="G169" s="16">
        <v>2203.29</v>
      </c>
      <c r="H169" s="15"/>
      <c r="I169" s="16">
        <v>2203.29</v>
      </c>
      <c r="J169" s="15"/>
      <c r="K169" s="16">
        <v>773275.89</v>
      </c>
      <c r="L169" s="15"/>
    </row>
    <row r="170" spans="1:12" ht="15" customHeight="1" x14ac:dyDescent="0.2">
      <c r="A170" s="15" t="s">
        <v>381</v>
      </c>
      <c r="B170" s="15" t="s">
        <v>382</v>
      </c>
      <c r="C170" s="15"/>
      <c r="D170" s="15"/>
      <c r="E170" s="16">
        <v>27433870.16</v>
      </c>
      <c r="F170" s="15"/>
      <c r="G170" s="15"/>
      <c r="H170" s="15"/>
      <c r="I170" s="15"/>
      <c r="J170" s="15"/>
      <c r="K170" s="16">
        <v>27433870.16</v>
      </c>
      <c r="L170" s="15"/>
    </row>
    <row r="171" spans="1:12" ht="15" customHeight="1" x14ac:dyDescent="0.2">
      <c r="A171" s="15"/>
      <c r="B171" s="15"/>
      <c r="C171" s="15" t="s">
        <v>335</v>
      </c>
      <c r="D171" s="15" t="s">
        <v>336</v>
      </c>
      <c r="E171" s="16">
        <v>22688090.829999998</v>
      </c>
      <c r="F171" s="15"/>
      <c r="G171" s="15"/>
      <c r="H171" s="15"/>
      <c r="I171" s="15"/>
      <c r="J171" s="15"/>
      <c r="K171" s="16">
        <v>22688090.829999998</v>
      </c>
      <c r="L171" s="15"/>
    </row>
    <row r="172" spans="1:12" ht="15" customHeight="1" x14ac:dyDescent="0.2">
      <c r="A172" s="15"/>
      <c r="B172" s="15"/>
      <c r="C172" s="15" t="s">
        <v>337</v>
      </c>
      <c r="D172" s="15" t="s">
        <v>338</v>
      </c>
      <c r="E172" s="16">
        <v>4745779.33</v>
      </c>
      <c r="F172" s="15"/>
      <c r="G172" s="15"/>
      <c r="H172" s="15"/>
      <c r="I172" s="15"/>
      <c r="J172" s="15"/>
      <c r="K172" s="16">
        <v>4745779.33</v>
      </c>
      <c r="L172" s="15"/>
    </row>
    <row r="173" spans="1:12" ht="15" customHeight="1" x14ac:dyDescent="0.2">
      <c r="A173" s="15" t="s">
        <v>383</v>
      </c>
      <c r="B173" s="15" t="s">
        <v>384</v>
      </c>
      <c r="C173" s="15"/>
      <c r="D173" s="15"/>
      <c r="E173" s="16">
        <v>308748.28999999998</v>
      </c>
      <c r="F173" s="15"/>
      <c r="G173" s="15"/>
      <c r="H173" s="15"/>
      <c r="I173" s="15"/>
      <c r="J173" s="15"/>
      <c r="K173" s="16">
        <v>308748.28999999998</v>
      </c>
      <c r="L173" s="15"/>
    </row>
    <row r="174" spans="1:12" ht="15" customHeight="1" x14ac:dyDescent="0.2">
      <c r="A174" s="15"/>
      <c r="B174" s="15"/>
      <c r="C174" s="15" t="s">
        <v>335</v>
      </c>
      <c r="D174" s="15" t="s">
        <v>336</v>
      </c>
      <c r="E174" s="16">
        <v>255190.65</v>
      </c>
      <c r="F174" s="15"/>
      <c r="G174" s="15"/>
      <c r="H174" s="15"/>
      <c r="I174" s="15"/>
      <c r="J174" s="15"/>
      <c r="K174" s="16">
        <v>255190.65</v>
      </c>
      <c r="L174" s="15"/>
    </row>
    <row r="175" spans="1:12" ht="15" customHeight="1" x14ac:dyDescent="0.2">
      <c r="A175" s="15"/>
      <c r="B175" s="15"/>
      <c r="C175" s="15" t="s">
        <v>337</v>
      </c>
      <c r="D175" s="15" t="s">
        <v>338</v>
      </c>
      <c r="E175" s="16">
        <v>53557.64</v>
      </c>
      <c r="F175" s="15"/>
      <c r="G175" s="15"/>
      <c r="H175" s="15"/>
      <c r="I175" s="15"/>
      <c r="J175" s="15"/>
      <c r="K175" s="16">
        <v>53557.64</v>
      </c>
      <c r="L175" s="15"/>
    </row>
    <row r="176" spans="1:12" ht="15" customHeight="1" x14ac:dyDescent="0.2">
      <c r="A176" s="15" t="s">
        <v>385</v>
      </c>
      <c r="B176" s="15" t="s">
        <v>386</v>
      </c>
      <c r="C176" s="15"/>
      <c r="D176" s="15"/>
      <c r="E176" s="16">
        <v>9657984.2100000009</v>
      </c>
      <c r="F176" s="15"/>
      <c r="G176" s="16">
        <v>453202.44</v>
      </c>
      <c r="H176" s="15"/>
      <c r="I176" s="16">
        <v>453202.44</v>
      </c>
      <c r="J176" s="15"/>
      <c r="K176" s="16">
        <v>10111186.65</v>
      </c>
      <c r="L176" s="15"/>
    </row>
    <row r="177" spans="1:12" ht="15" customHeight="1" x14ac:dyDescent="0.2">
      <c r="A177" s="15" t="s">
        <v>387</v>
      </c>
      <c r="B177" s="15" t="s">
        <v>388</v>
      </c>
      <c r="C177" s="15"/>
      <c r="D177" s="15"/>
      <c r="E177" s="16">
        <v>358541.42</v>
      </c>
      <c r="F177" s="15"/>
      <c r="G177" s="16">
        <v>728</v>
      </c>
      <c r="H177" s="15"/>
      <c r="I177" s="16">
        <v>728</v>
      </c>
      <c r="J177" s="15"/>
      <c r="K177" s="16">
        <v>359269.42</v>
      </c>
      <c r="L177" s="15"/>
    </row>
    <row r="178" spans="1:12" ht="15" customHeight="1" x14ac:dyDescent="0.2">
      <c r="A178" s="15" t="s">
        <v>389</v>
      </c>
      <c r="B178" s="15" t="s">
        <v>390</v>
      </c>
      <c r="C178" s="15"/>
      <c r="D178" s="15"/>
      <c r="E178" s="16">
        <v>115968.44</v>
      </c>
      <c r="F178" s="15"/>
      <c r="G178" s="16">
        <v>400</v>
      </c>
      <c r="H178" s="15"/>
      <c r="I178" s="16">
        <v>400</v>
      </c>
      <c r="J178" s="15"/>
      <c r="K178" s="16">
        <v>116368.44</v>
      </c>
      <c r="L178" s="15"/>
    </row>
    <row r="179" spans="1:12" ht="15" customHeight="1" x14ac:dyDescent="0.2">
      <c r="A179" s="15"/>
      <c r="B179" s="15"/>
      <c r="C179" s="15" t="s">
        <v>230</v>
      </c>
      <c r="D179" s="15" t="s">
        <v>231</v>
      </c>
      <c r="E179" s="15"/>
      <c r="F179" s="15"/>
      <c r="G179" s="16">
        <v>400</v>
      </c>
      <c r="H179" s="15"/>
      <c r="I179" s="16">
        <v>400</v>
      </c>
      <c r="J179" s="15"/>
      <c r="K179" s="16">
        <v>400</v>
      </c>
      <c r="L179" s="15"/>
    </row>
    <row r="180" spans="1:12" ht="15" customHeight="1" x14ac:dyDescent="0.2">
      <c r="A180" s="15"/>
      <c r="B180" s="15"/>
      <c r="C180" s="15" t="s">
        <v>335</v>
      </c>
      <c r="D180" s="15" t="s">
        <v>336</v>
      </c>
      <c r="E180" s="16">
        <v>95851.78</v>
      </c>
      <c r="F180" s="15"/>
      <c r="G180" s="15"/>
      <c r="H180" s="15"/>
      <c r="I180" s="15"/>
      <c r="J180" s="15"/>
      <c r="K180" s="16">
        <v>95851.78</v>
      </c>
      <c r="L180" s="15"/>
    </row>
    <row r="181" spans="1:12" ht="15" customHeight="1" x14ac:dyDescent="0.2">
      <c r="A181" s="15"/>
      <c r="B181" s="15"/>
      <c r="C181" s="15" t="s">
        <v>337</v>
      </c>
      <c r="D181" s="15" t="s">
        <v>338</v>
      </c>
      <c r="E181" s="16">
        <v>20116.66</v>
      </c>
      <c r="F181" s="15"/>
      <c r="G181" s="15"/>
      <c r="H181" s="15"/>
      <c r="I181" s="15"/>
      <c r="J181" s="15"/>
      <c r="K181" s="16">
        <v>20116.66</v>
      </c>
      <c r="L181" s="15"/>
    </row>
    <row r="182" spans="1:12" ht="15" customHeight="1" x14ac:dyDescent="0.2">
      <c r="A182" s="15" t="s">
        <v>391</v>
      </c>
      <c r="B182" s="15" t="s">
        <v>392</v>
      </c>
      <c r="C182" s="15"/>
      <c r="D182" s="15"/>
      <c r="E182" s="16">
        <v>5000</v>
      </c>
      <c r="F182" s="15"/>
      <c r="G182" s="15"/>
      <c r="H182" s="15"/>
      <c r="I182" s="15"/>
      <c r="J182" s="15"/>
      <c r="K182" s="16">
        <v>5000</v>
      </c>
      <c r="L182" s="15"/>
    </row>
    <row r="183" spans="1:12" ht="15" customHeight="1" x14ac:dyDescent="0.2">
      <c r="A183" s="15"/>
      <c r="B183" s="15"/>
      <c r="C183" s="15" t="s">
        <v>335</v>
      </c>
      <c r="D183" s="15" t="s">
        <v>336</v>
      </c>
      <c r="E183" s="16">
        <v>4132.67</v>
      </c>
      <c r="F183" s="15"/>
      <c r="G183" s="15"/>
      <c r="H183" s="15"/>
      <c r="I183" s="15"/>
      <c r="J183" s="15"/>
      <c r="K183" s="16">
        <v>4132.67</v>
      </c>
      <c r="L183" s="15"/>
    </row>
    <row r="184" spans="1:12" ht="15" customHeight="1" x14ac:dyDescent="0.2">
      <c r="A184" s="15"/>
      <c r="B184" s="15"/>
      <c r="C184" s="15" t="s">
        <v>337</v>
      </c>
      <c r="D184" s="15" t="s">
        <v>338</v>
      </c>
      <c r="E184" s="16">
        <v>867.33</v>
      </c>
      <c r="F184" s="15"/>
      <c r="G184" s="15"/>
      <c r="H184" s="15"/>
      <c r="I184" s="15"/>
      <c r="J184" s="15"/>
      <c r="K184" s="16">
        <v>867.33</v>
      </c>
      <c r="L184" s="15"/>
    </row>
    <row r="185" spans="1:12" ht="15" customHeight="1" x14ac:dyDescent="0.2">
      <c r="A185" s="15" t="s">
        <v>393</v>
      </c>
      <c r="B185" s="15" t="s">
        <v>394</v>
      </c>
      <c r="C185" s="15"/>
      <c r="D185" s="15"/>
      <c r="E185" s="16">
        <v>45516.39</v>
      </c>
      <c r="F185" s="15"/>
      <c r="G185" s="15"/>
      <c r="H185" s="15"/>
      <c r="I185" s="15"/>
      <c r="J185" s="15"/>
      <c r="K185" s="16">
        <v>45516.39</v>
      </c>
      <c r="L185" s="15"/>
    </row>
    <row r="186" spans="1:12" ht="15" customHeight="1" x14ac:dyDescent="0.2">
      <c r="A186" s="15"/>
      <c r="B186" s="15"/>
      <c r="C186" s="15" t="s">
        <v>335</v>
      </c>
      <c r="D186" s="15" t="s">
        <v>336</v>
      </c>
      <c r="E186" s="16">
        <v>37620.79</v>
      </c>
      <c r="F186" s="15"/>
      <c r="G186" s="15"/>
      <c r="H186" s="15"/>
      <c r="I186" s="15"/>
      <c r="J186" s="15"/>
      <c r="K186" s="16">
        <v>37620.79</v>
      </c>
      <c r="L186" s="15"/>
    </row>
    <row r="187" spans="1:12" ht="15" customHeight="1" x14ac:dyDescent="0.2">
      <c r="A187" s="15"/>
      <c r="B187" s="15"/>
      <c r="C187" s="15" t="s">
        <v>337</v>
      </c>
      <c r="D187" s="15" t="s">
        <v>338</v>
      </c>
      <c r="E187" s="16">
        <v>7895.6</v>
      </c>
      <c r="F187" s="15"/>
      <c r="G187" s="15"/>
      <c r="H187" s="15"/>
      <c r="I187" s="15"/>
      <c r="J187" s="15"/>
      <c r="K187" s="16">
        <v>7895.6</v>
      </c>
      <c r="L187" s="15"/>
    </row>
    <row r="188" spans="1:12" ht="15" customHeight="1" x14ac:dyDescent="0.2">
      <c r="A188" s="15" t="s">
        <v>395</v>
      </c>
      <c r="B188" s="15" t="s">
        <v>396</v>
      </c>
      <c r="C188" s="15"/>
      <c r="D188" s="15"/>
      <c r="E188" s="16">
        <v>251.1</v>
      </c>
      <c r="F188" s="15"/>
      <c r="G188" s="15"/>
      <c r="H188" s="15"/>
      <c r="I188" s="15"/>
      <c r="J188" s="15"/>
      <c r="K188" s="16">
        <v>251.1</v>
      </c>
      <c r="L188" s="15"/>
    </row>
    <row r="189" spans="1:12" ht="15" customHeight="1" x14ac:dyDescent="0.2">
      <c r="A189" s="15"/>
      <c r="B189" s="15"/>
      <c r="C189" s="15" t="s">
        <v>335</v>
      </c>
      <c r="D189" s="15" t="s">
        <v>336</v>
      </c>
      <c r="E189" s="16">
        <v>207.55</v>
      </c>
      <c r="F189" s="15"/>
      <c r="G189" s="15"/>
      <c r="H189" s="15"/>
      <c r="I189" s="15"/>
      <c r="J189" s="15"/>
      <c r="K189" s="16">
        <v>207.55</v>
      </c>
      <c r="L189" s="15"/>
    </row>
    <row r="190" spans="1:12" ht="15" customHeight="1" x14ac:dyDescent="0.2">
      <c r="A190" s="15"/>
      <c r="B190" s="15"/>
      <c r="C190" s="15" t="s">
        <v>337</v>
      </c>
      <c r="D190" s="15" t="s">
        <v>338</v>
      </c>
      <c r="E190" s="16">
        <v>43.55</v>
      </c>
      <c r="F190" s="15"/>
      <c r="G190" s="15"/>
      <c r="H190" s="15"/>
      <c r="I190" s="15"/>
      <c r="J190" s="15"/>
      <c r="K190" s="16">
        <v>43.55</v>
      </c>
      <c r="L190" s="15"/>
    </row>
    <row r="191" spans="1:12" ht="15" customHeight="1" x14ac:dyDescent="0.2">
      <c r="A191" s="15" t="s">
        <v>397</v>
      </c>
      <c r="B191" s="15" t="s">
        <v>398</v>
      </c>
      <c r="C191" s="15"/>
      <c r="D191" s="15"/>
      <c r="E191" s="16">
        <v>602</v>
      </c>
      <c r="F191" s="15"/>
      <c r="G191" s="15"/>
      <c r="H191" s="15"/>
      <c r="I191" s="15"/>
      <c r="J191" s="15"/>
      <c r="K191" s="16">
        <v>602</v>
      </c>
      <c r="L191" s="15"/>
    </row>
    <row r="192" spans="1:12" ht="15" customHeight="1" x14ac:dyDescent="0.2">
      <c r="A192" s="15"/>
      <c r="B192" s="15"/>
      <c r="C192" s="15" t="s">
        <v>335</v>
      </c>
      <c r="D192" s="15" t="s">
        <v>336</v>
      </c>
      <c r="E192" s="16">
        <v>497.57</v>
      </c>
      <c r="F192" s="15"/>
      <c r="G192" s="15"/>
      <c r="H192" s="15"/>
      <c r="I192" s="15"/>
      <c r="J192" s="15"/>
      <c r="K192" s="16">
        <v>497.57</v>
      </c>
      <c r="L192" s="15"/>
    </row>
    <row r="193" spans="1:12" ht="15" customHeight="1" x14ac:dyDescent="0.2">
      <c r="A193" s="15"/>
      <c r="B193" s="15"/>
      <c r="C193" s="15" t="s">
        <v>337</v>
      </c>
      <c r="D193" s="15" t="s">
        <v>338</v>
      </c>
      <c r="E193" s="16">
        <v>104.43</v>
      </c>
      <c r="F193" s="15"/>
      <c r="G193" s="15"/>
      <c r="H193" s="15"/>
      <c r="I193" s="15"/>
      <c r="J193" s="15"/>
      <c r="K193" s="16">
        <v>104.43</v>
      </c>
      <c r="L193" s="15"/>
    </row>
    <row r="194" spans="1:12" ht="15" customHeight="1" x14ac:dyDescent="0.2">
      <c r="A194" s="15" t="s">
        <v>399</v>
      </c>
      <c r="B194" s="15" t="s">
        <v>400</v>
      </c>
      <c r="C194" s="15"/>
      <c r="D194" s="15"/>
      <c r="E194" s="16">
        <v>182448.74</v>
      </c>
      <c r="F194" s="15"/>
      <c r="G194" s="16">
        <v>328</v>
      </c>
      <c r="H194" s="15"/>
      <c r="I194" s="16">
        <v>328</v>
      </c>
      <c r="J194" s="15"/>
      <c r="K194" s="16">
        <v>182776.74</v>
      </c>
      <c r="L194" s="15"/>
    </row>
    <row r="195" spans="1:12" ht="15" customHeight="1" x14ac:dyDescent="0.15">
      <c r="A195" s="15"/>
      <c r="B195" s="15"/>
      <c r="C195" s="15" t="s">
        <v>230</v>
      </c>
      <c r="D195" s="15" t="s">
        <v>231</v>
      </c>
      <c r="E195" s="15"/>
      <c r="F195" s="15"/>
      <c r="G195" s="15"/>
      <c r="H195" s="15"/>
      <c r="I195" s="15"/>
      <c r="J195" s="15"/>
      <c r="K195" s="15"/>
      <c r="L195" s="15"/>
    </row>
    <row r="196" spans="1:12" ht="15" customHeight="1" x14ac:dyDescent="0.2">
      <c r="A196" s="15"/>
      <c r="B196" s="15"/>
      <c r="C196" s="15" t="s">
        <v>335</v>
      </c>
      <c r="D196" s="15" t="s">
        <v>336</v>
      </c>
      <c r="E196" s="16">
        <v>150799.9</v>
      </c>
      <c r="F196" s="15"/>
      <c r="G196" s="16">
        <v>271.10000000000002</v>
      </c>
      <c r="H196" s="15"/>
      <c r="I196" s="16">
        <v>271.10000000000002</v>
      </c>
      <c r="J196" s="15"/>
      <c r="K196" s="16">
        <v>151071</v>
      </c>
      <c r="L196" s="15"/>
    </row>
    <row r="197" spans="1:12" ht="15" customHeight="1" x14ac:dyDescent="0.2">
      <c r="A197" s="15"/>
      <c r="B197" s="15"/>
      <c r="C197" s="15" t="s">
        <v>337</v>
      </c>
      <c r="D197" s="15" t="s">
        <v>338</v>
      </c>
      <c r="E197" s="16">
        <v>31648.84</v>
      </c>
      <c r="F197" s="15"/>
      <c r="G197" s="16">
        <v>56.9</v>
      </c>
      <c r="H197" s="15"/>
      <c r="I197" s="16">
        <v>56.9</v>
      </c>
      <c r="J197" s="15"/>
      <c r="K197" s="16">
        <v>31705.74</v>
      </c>
      <c r="L197" s="15"/>
    </row>
    <row r="198" spans="1:12" ht="15" customHeight="1" x14ac:dyDescent="0.2">
      <c r="A198" s="15" t="s">
        <v>401</v>
      </c>
      <c r="B198" s="15" t="s">
        <v>402</v>
      </c>
      <c r="C198" s="15"/>
      <c r="D198" s="15"/>
      <c r="E198" s="16">
        <v>8188.71</v>
      </c>
      <c r="F198" s="15"/>
      <c r="G198" s="15"/>
      <c r="H198" s="15"/>
      <c r="I198" s="15"/>
      <c r="J198" s="15"/>
      <c r="K198" s="16">
        <v>8188.71</v>
      </c>
      <c r="L198" s="15"/>
    </row>
    <row r="199" spans="1:12" ht="15" customHeight="1" x14ac:dyDescent="0.2">
      <c r="A199" s="15"/>
      <c r="B199" s="15"/>
      <c r="C199" s="15" t="s">
        <v>335</v>
      </c>
      <c r="D199" s="15" t="s">
        <v>336</v>
      </c>
      <c r="E199" s="16">
        <v>6768.24</v>
      </c>
      <c r="F199" s="15"/>
      <c r="G199" s="15"/>
      <c r="H199" s="15"/>
      <c r="I199" s="15"/>
      <c r="J199" s="15"/>
      <c r="K199" s="16">
        <v>6768.24</v>
      </c>
      <c r="L199" s="15"/>
    </row>
    <row r="200" spans="1:12" ht="15" customHeight="1" x14ac:dyDescent="0.2">
      <c r="A200" s="15"/>
      <c r="B200" s="15"/>
      <c r="C200" s="15" t="s">
        <v>337</v>
      </c>
      <c r="D200" s="15" t="s">
        <v>338</v>
      </c>
      <c r="E200" s="16">
        <v>1420.47</v>
      </c>
      <c r="F200" s="15"/>
      <c r="G200" s="15"/>
      <c r="H200" s="15"/>
      <c r="I200" s="15"/>
      <c r="J200" s="15"/>
      <c r="K200" s="16">
        <v>1420.47</v>
      </c>
      <c r="L200" s="15"/>
    </row>
    <row r="201" spans="1:12" ht="15" customHeight="1" x14ac:dyDescent="0.2">
      <c r="A201" s="15" t="s">
        <v>488</v>
      </c>
      <c r="B201" s="15" t="s">
        <v>489</v>
      </c>
      <c r="C201" s="15"/>
      <c r="D201" s="15"/>
      <c r="E201" s="16">
        <v>566.04</v>
      </c>
      <c r="F201" s="15"/>
      <c r="G201" s="15"/>
      <c r="H201" s="15"/>
      <c r="I201" s="15"/>
      <c r="J201" s="15"/>
      <c r="K201" s="16">
        <v>566.04</v>
      </c>
      <c r="L201" s="15"/>
    </row>
    <row r="202" spans="1:12" ht="15" customHeight="1" x14ac:dyDescent="0.2">
      <c r="A202" s="15"/>
      <c r="B202" s="15"/>
      <c r="C202" s="15" t="s">
        <v>335</v>
      </c>
      <c r="D202" s="15" t="s">
        <v>336</v>
      </c>
      <c r="E202" s="16">
        <v>467.85</v>
      </c>
      <c r="F202" s="15"/>
      <c r="G202" s="15"/>
      <c r="H202" s="15"/>
      <c r="I202" s="15"/>
      <c r="J202" s="15"/>
      <c r="K202" s="16">
        <v>467.85</v>
      </c>
      <c r="L202" s="15"/>
    </row>
    <row r="203" spans="1:12" ht="15" customHeight="1" x14ac:dyDescent="0.2">
      <c r="A203" s="15"/>
      <c r="B203" s="15"/>
      <c r="C203" s="15" t="s">
        <v>337</v>
      </c>
      <c r="D203" s="15" t="s">
        <v>338</v>
      </c>
      <c r="E203" s="16">
        <v>98.19</v>
      </c>
      <c r="F203" s="15"/>
      <c r="G203" s="15"/>
      <c r="H203" s="15"/>
      <c r="I203" s="15"/>
      <c r="J203" s="15"/>
      <c r="K203" s="16">
        <v>98.19</v>
      </c>
      <c r="L203" s="15"/>
    </row>
    <row r="204" spans="1:12" ht="15" customHeight="1" x14ac:dyDescent="0.2">
      <c r="A204" s="15" t="s">
        <v>403</v>
      </c>
      <c r="B204" s="15" t="s">
        <v>404</v>
      </c>
      <c r="C204" s="15"/>
      <c r="D204" s="15"/>
      <c r="E204" s="16">
        <v>132075.47</v>
      </c>
      <c r="F204" s="15"/>
      <c r="G204" s="15"/>
      <c r="H204" s="15"/>
      <c r="I204" s="15"/>
      <c r="J204" s="15"/>
      <c r="K204" s="16">
        <v>132075.47</v>
      </c>
      <c r="L204" s="15"/>
    </row>
    <row r="205" spans="1:12" ht="15" customHeight="1" x14ac:dyDescent="0.2">
      <c r="A205" s="15" t="s">
        <v>405</v>
      </c>
      <c r="B205" s="15" t="s">
        <v>406</v>
      </c>
      <c r="C205" s="15"/>
      <c r="D205" s="15"/>
      <c r="E205" s="16">
        <v>37735.85</v>
      </c>
      <c r="F205" s="15"/>
      <c r="G205" s="15"/>
      <c r="H205" s="15"/>
      <c r="I205" s="15"/>
      <c r="J205" s="15"/>
      <c r="K205" s="16">
        <v>37735.85</v>
      </c>
      <c r="L205" s="15"/>
    </row>
    <row r="206" spans="1:12" ht="15" customHeight="1" x14ac:dyDescent="0.2">
      <c r="A206" s="15"/>
      <c r="B206" s="15"/>
      <c r="C206" s="15" t="s">
        <v>335</v>
      </c>
      <c r="D206" s="15" t="s">
        <v>336</v>
      </c>
      <c r="E206" s="16">
        <v>31189.93</v>
      </c>
      <c r="F206" s="15"/>
      <c r="G206" s="15"/>
      <c r="H206" s="15"/>
      <c r="I206" s="15"/>
      <c r="J206" s="15"/>
      <c r="K206" s="16">
        <v>31189.93</v>
      </c>
      <c r="L206" s="15"/>
    </row>
    <row r="207" spans="1:12" ht="15" customHeight="1" x14ac:dyDescent="0.2">
      <c r="A207" s="15"/>
      <c r="B207" s="15"/>
      <c r="C207" s="15" t="s">
        <v>337</v>
      </c>
      <c r="D207" s="15" t="s">
        <v>338</v>
      </c>
      <c r="E207" s="16">
        <v>6545.92</v>
      </c>
      <c r="F207" s="15"/>
      <c r="G207" s="15"/>
      <c r="H207" s="15"/>
      <c r="I207" s="15"/>
      <c r="J207" s="15"/>
      <c r="K207" s="16">
        <v>6545.92</v>
      </c>
      <c r="L207" s="15"/>
    </row>
    <row r="208" spans="1:12" ht="15" customHeight="1" x14ac:dyDescent="0.2">
      <c r="A208" s="15" t="s">
        <v>407</v>
      </c>
      <c r="B208" s="15" t="s">
        <v>408</v>
      </c>
      <c r="C208" s="15"/>
      <c r="D208" s="15"/>
      <c r="E208" s="16">
        <v>94339.62</v>
      </c>
      <c r="F208" s="15"/>
      <c r="G208" s="15"/>
      <c r="H208" s="15"/>
      <c r="I208" s="15"/>
      <c r="J208" s="15"/>
      <c r="K208" s="16">
        <v>94339.62</v>
      </c>
      <c r="L208" s="15"/>
    </row>
    <row r="209" spans="1:12" ht="15" customHeight="1" x14ac:dyDescent="0.2">
      <c r="A209" s="15"/>
      <c r="B209" s="15"/>
      <c r="C209" s="15" t="s">
        <v>335</v>
      </c>
      <c r="D209" s="15" t="s">
        <v>336</v>
      </c>
      <c r="E209" s="16">
        <v>77974.81</v>
      </c>
      <c r="F209" s="15"/>
      <c r="G209" s="15"/>
      <c r="H209" s="15"/>
      <c r="I209" s="15"/>
      <c r="J209" s="15"/>
      <c r="K209" s="16">
        <v>77974.81</v>
      </c>
      <c r="L209" s="15"/>
    </row>
    <row r="210" spans="1:12" ht="15" customHeight="1" x14ac:dyDescent="0.2">
      <c r="A210" s="15"/>
      <c r="B210" s="15"/>
      <c r="C210" s="15" t="s">
        <v>337</v>
      </c>
      <c r="D210" s="15" t="s">
        <v>338</v>
      </c>
      <c r="E210" s="16">
        <v>16364.81</v>
      </c>
      <c r="F210" s="15"/>
      <c r="G210" s="15"/>
      <c r="H210" s="15"/>
      <c r="I210" s="15"/>
      <c r="J210" s="15"/>
      <c r="K210" s="16">
        <v>16364.81</v>
      </c>
      <c r="L210" s="15"/>
    </row>
    <row r="211" spans="1:12" ht="15" customHeight="1" x14ac:dyDescent="0.2">
      <c r="A211" s="15" t="s">
        <v>409</v>
      </c>
      <c r="B211" s="15" t="s">
        <v>410</v>
      </c>
      <c r="C211" s="15"/>
      <c r="D211" s="15"/>
      <c r="E211" s="16">
        <v>8996312.0899999999</v>
      </c>
      <c r="F211" s="15"/>
      <c r="G211" s="16">
        <v>452474.44</v>
      </c>
      <c r="H211" s="15"/>
      <c r="I211" s="16">
        <v>452474.44</v>
      </c>
      <c r="J211" s="15"/>
      <c r="K211" s="16">
        <v>9448786.5299999993</v>
      </c>
      <c r="L211" s="15"/>
    </row>
    <row r="212" spans="1:12" ht="15" customHeight="1" x14ac:dyDescent="0.2">
      <c r="A212" s="15" t="s">
        <v>411</v>
      </c>
      <c r="B212" s="15" t="s">
        <v>412</v>
      </c>
      <c r="C212" s="15"/>
      <c r="D212" s="15"/>
      <c r="E212" s="16">
        <v>5367404.82</v>
      </c>
      <c r="F212" s="15"/>
      <c r="G212" s="16">
        <v>319241.84000000003</v>
      </c>
      <c r="H212" s="15"/>
      <c r="I212" s="16">
        <v>319241.84000000003</v>
      </c>
      <c r="J212" s="15"/>
      <c r="K212" s="16">
        <v>5686646.6600000001</v>
      </c>
      <c r="L212" s="15"/>
    </row>
    <row r="213" spans="1:12" ht="15" customHeight="1" x14ac:dyDescent="0.2">
      <c r="A213" s="15"/>
      <c r="B213" s="15"/>
      <c r="C213" s="15" t="s">
        <v>230</v>
      </c>
      <c r="D213" s="15" t="s">
        <v>231</v>
      </c>
      <c r="E213" s="16">
        <v>95400</v>
      </c>
      <c r="F213" s="15"/>
      <c r="G213" s="16">
        <v>-26812.66</v>
      </c>
      <c r="H213" s="15"/>
      <c r="I213" s="16">
        <v>-26812.66</v>
      </c>
      <c r="J213" s="15"/>
      <c r="K213" s="16">
        <v>68587.34</v>
      </c>
      <c r="L213" s="15"/>
    </row>
    <row r="214" spans="1:12" ht="15" customHeight="1" x14ac:dyDescent="0.2">
      <c r="A214" s="15"/>
      <c r="B214" s="15"/>
      <c r="C214" s="15" t="s">
        <v>335</v>
      </c>
      <c r="D214" s="15" t="s">
        <v>336</v>
      </c>
      <c r="E214" s="16">
        <v>4357485.97</v>
      </c>
      <c r="F214" s="15"/>
      <c r="G214" s="16">
        <v>286025.46000000002</v>
      </c>
      <c r="H214" s="15"/>
      <c r="I214" s="16">
        <v>286025.46000000002</v>
      </c>
      <c r="J214" s="15"/>
      <c r="K214" s="16">
        <v>4643511.43</v>
      </c>
      <c r="L214" s="15"/>
    </row>
    <row r="215" spans="1:12" ht="15" customHeight="1" x14ac:dyDescent="0.2">
      <c r="A215" s="15"/>
      <c r="B215" s="15"/>
      <c r="C215" s="15" t="s">
        <v>337</v>
      </c>
      <c r="D215" s="15" t="s">
        <v>338</v>
      </c>
      <c r="E215" s="16">
        <v>914518.85</v>
      </c>
      <c r="F215" s="15"/>
      <c r="G215" s="16">
        <v>60029.04</v>
      </c>
      <c r="H215" s="15"/>
      <c r="I215" s="16">
        <v>60029.04</v>
      </c>
      <c r="J215" s="15"/>
      <c r="K215" s="16">
        <v>974547.89</v>
      </c>
      <c r="L215" s="15"/>
    </row>
    <row r="216" spans="1:12" ht="15" customHeight="1" x14ac:dyDescent="0.2">
      <c r="A216" s="15" t="s">
        <v>413</v>
      </c>
      <c r="B216" s="15" t="s">
        <v>414</v>
      </c>
      <c r="C216" s="15"/>
      <c r="D216" s="15"/>
      <c r="E216" s="16">
        <v>1800000</v>
      </c>
      <c r="F216" s="15"/>
      <c r="G216" s="15"/>
      <c r="H216" s="15"/>
      <c r="I216" s="15"/>
      <c r="J216" s="15"/>
      <c r="K216" s="16">
        <v>1800000</v>
      </c>
      <c r="L216" s="15"/>
    </row>
    <row r="217" spans="1:12" ht="15" customHeight="1" x14ac:dyDescent="0.2">
      <c r="A217" s="15"/>
      <c r="B217" s="15"/>
      <c r="C217" s="15" t="s">
        <v>335</v>
      </c>
      <c r="D217" s="15" t="s">
        <v>336</v>
      </c>
      <c r="E217" s="16">
        <v>1487759.4</v>
      </c>
      <c r="F217" s="15"/>
      <c r="G217" s="15"/>
      <c r="H217" s="15"/>
      <c r="I217" s="15"/>
      <c r="J217" s="15"/>
      <c r="K217" s="16">
        <v>1487759.4</v>
      </c>
      <c r="L217" s="15"/>
    </row>
    <row r="218" spans="1:12" ht="15" customHeight="1" x14ac:dyDescent="0.2">
      <c r="A218" s="15"/>
      <c r="B218" s="15"/>
      <c r="C218" s="15" t="s">
        <v>337</v>
      </c>
      <c r="D218" s="15" t="s">
        <v>338</v>
      </c>
      <c r="E218" s="16">
        <v>312240.59999999998</v>
      </c>
      <c r="F218" s="15"/>
      <c r="G218" s="15"/>
      <c r="H218" s="15"/>
      <c r="I218" s="15"/>
      <c r="J218" s="15"/>
      <c r="K218" s="16">
        <v>312240.59999999998</v>
      </c>
      <c r="L218" s="15"/>
    </row>
    <row r="219" spans="1:12" ht="15" customHeight="1" x14ac:dyDescent="0.2">
      <c r="A219" s="15" t="s">
        <v>415</v>
      </c>
      <c r="B219" s="15" t="s">
        <v>416</v>
      </c>
      <c r="C219" s="15"/>
      <c r="D219" s="15"/>
      <c r="E219" s="16">
        <v>6795</v>
      </c>
      <c r="F219" s="15"/>
      <c r="G219" s="15"/>
      <c r="H219" s="15"/>
      <c r="I219" s="15"/>
      <c r="J219" s="15"/>
      <c r="K219" s="16">
        <v>6795</v>
      </c>
      <c r="L219" s="15"/>
    </row>
    <row r="220" spans="1:12" ht="15" customHeight="1" x14ac:dyDescent="0.2">
      <c r="A220" s="15"/>
      <c r="B220" s="15"/>
      <c r="C220" s="15" t="s">
        <v>335</v>
      </c>
      <c r="D220" s="15" t="s">
        <v>336</v>
      </c>
      <c r="E220" s="16">
        <v>5616.29</v>
      </c>
      <c r="F220" s="15"/>
      <c r="G220" s="15"/>
      <c r="H220" s="15"/>
      <c r="I220" s="15"/>
      <c r="J220" s="15"/>
      <c r="K220" s="16">
        <v>5616.29</v>
      </c>
      <c r="L220" s="15"/>
    </row>
    <row r="221" spans="1:12" ht="15" customHeight="1" x14ac:dyDescent="0.2">
      <c r="A221" s="15"/>
      <c r="B221" s="15"/>
      <c r="C221" s="15" t="s">
        <v>337</v>
      </c>
      <c r="D221" s="15" t="s">
        <v>338</v>
      </c>
      <c r="E221" s="16">
        <v>1178.71</v>
      </c>
      <c r="F221" s="15"/>
      <c r="G221" s="15"/>
      <c r="H221" s="15"/>
      <c r="I221" s="15"/>
      <c r="J221" s="15"/>
      <c r="K221" s="16">
        <v>1178.71</v>
      </c>
      <c r="L221" s="15"/>
    </row>
    <row r="222" spans="1:12" ht="15" customHeight="1" x14ac:dyDescent="0.2">
      <c r="A222" s="15" t="s">
        <v>417</v>
      </c>
      <c r="B222" s="15" t="s">
        <v>418</v>
      </c>
      <c r="C222" s="15"/>
      <c r="D222" s="15"/>
      <c r="E222" s="16">
        <v>545563</v>
      </c>
      <c r="F222" s="15"/>
      <c r="G222" s="16">
        <v>40140</v>
      </c>
      <c r="H222" s="15"/>
      <c r="I222" s="16">
        <v>40140</v>
      </c>
      <c r="J222" s="15"/>
      <c r="K222" s="16">
        <v>585703</v>
      </c>
      <c r="L222" s="15"/>
    </row>
    <row r="223" spans="1:12" ht="15" customHeight="1" x14ac:dyDescent="0.2">
      <c r="A223" s="15"/>
      <c r="B223" s="15"/>
      <c r="C223" s="15" t="s">
        <v>230</v>
      </c>
      <c r="D223" s="15" t="s">
        <v>231</v>
      </c>
      <c r="E223" s="15"/>
      <c r="F223" s="15"/>
      <c r="G223" s="16">
        <v>10035</v>
      </c>
      <c r="H223" s="15"/>
      <c r="I223" s="16">
        <v>10035</v>
      </c>
      <c r="J223" s="15"/>
      <c r="K223" s="16">
        <v>10035</v>
      </c>
      <c r="L223" s="15"/>
    </row>
    <row r="224" spans="1:12" ht="15" customHeight="1" x14ac:dyDescent="0.2">
      <c r="A224" s="15"/>
      <c r="B224" s="15"/>
      <c r="C224" s="15" t="s">
        <v>335</v>
      </c>
      <c r="D224" s="15" t="s">
        <v>336</v>
      </c>
      <c r="E224" s="16">
        <v>450925.88</v>
      </c>
      <c r="F224" s="15"/>
      <c r="G224" s="16">
        <v>24882.78</v>
      </c>
      <c r="H224" s="15"/>
      <c r="I224" s="16">
        <v>24882.78</v>
      </c>
      <c r="J224" s="15"/>
      <c r="K224" s="16">
        <v>475808.66</v>
      </c>
      <c r="L224" s="15"/>
    </row>
    <row r="225" spans="1:12" ht="15" customHeight="1" x14ac:dyDescent="0.2">
      <c r="A225" s="15"/>
      <c r="B225" s="15"/>
      <c r="C225" s="15" t="s">
        <v>337</v>
      </c>
      <c r="D225" s="15" t="s">
        <v>338</v>
      </c>
      <c r="E225" s="16">
        <v>94637.119999999995</v>
      </c>
      <c r="F225" s="15"/>
      <c r="G225" s="16">
        <v>5222.22</v>
      </c>
      <c r="H225" s="15"/>
      <c r="I225" s="16">
        <v>5222.22</v>
      </c>
      <c r="J225" s="15"/>
      <c r="K225" s="16">
        <v>99859.34</v>
      </c>
      <c r="L225" s="15"/>
    </row>
    <row r="226" spans="1:12" ht="15" customHeight="1" x14ac:dyDescent="0.2">
      <c r="A226" s="15" t="s">
        <v>419</v>
      </c>
      <c r="B226" s="15" t="s">
        <v>420</v>
      </c>
      <c r="C226" s="15"/>
      <c r="D226" s="15"/>
      <c r="E226" s="16">
        <v>1251616.21</v>
      </c>
      <c r="F226" s="15"/>
      <c r="G226" s="16">
        <v>89311.48</v>
      </c>
      <c r="H226" s="15"/>
      <c r="I226" s="16">
        <v>89311.48</v>
      </c>
      <c r="J226" s="15"/>
      <c r="K226" s="16">
        <v>1340927.69</v>
      </c>
      <c r="L226" s="15"/>
    </row>
    <row r="227" spans="1:12" ht="15" customHeight="1" x14ac:dyDescent="0.2">
      <c r="A227" s="15"/>
      <c r="B227" s="15"/>
      <c r="C227" s="15" t="s">
        <v>230</v>
      </c>
      <c r="D227" s="15" t="s">
        <v>231</v>
      </c>
      <c r="E227" s="15"/>
      <c r="F227" s="15"/>
      <c r="G227" s="16">
        <v>22327.87</v>
      </c>
      <c r="H227" s="15"/>
      <c r="I227" s="16">
        <v>22327.87</v>
      </c>
      <c r="J227" s="15"/>
      <c r="K227" s="16">
        <v>22327.87</v>
      </c>
      <c r="L227" s="15"/>
    </row>
    <row r="228" spans="1:12" ht="15" customHeight="1" x14ac:dyDescent="0.2">
      <c r="A228" s="15"/>
      <c r="B228" s="15"/>
      <c r="C228" s="15" t="s">
        <v>335</v>
      </c>
      <c r="D228" s="15" t="s">
        <v>336</v>
      </c>
      <c r="E228" s="16">
        <v>1034502.04</v>
      </c>
      <c r="F228" s="15"/>
      <c r="G228" s="16">
        <v>55364.160000000003</v>
      </c>
      <c r="H228" s="15"/>
      <c r="I228" s="16">
        <v>55364.160000000003</v>
      </c>
      <c r="J228" s="15"/>
      <c r="K228" s="16">
        <v>1089866.2</v>
      </c>
      <c r="L228" s="15"/>
    </row>
    <row r="229" spans="1:12" ht="15" customHeight="1" x14ac:dyDescent="0.2">
      <c r="A229" s="15"/>
      <c r="B229" s="15"/>
      <c r="C229" s="15" t="s">
        <v>337</v>
      </c>
      <c r="D229" s="15" t="s">
        <v>338</v>
      </c>
      <c r="E229" s="16">
        <v>217114.17</v>
      </c>
      <c r="F229" s="15"/>
      <c r="G229" s="16">
        <v>11619.45</v>
      </c>
      <c r="H229" s="15"/>
      <c r="I229" s="16">
        <v>11619.45</v>
      </c>
      <c r="J229" s="15"/>
      <c r="K229" s="16">
        <v>228733.62</v>
      </c>
      <c r="L229" s="15"/>
    </row>
    <row r="230" spans="1:12" ht="15" customHeight="1" x14ac:dyDescent="0.2">
      <c r="A230" s="15" t="s">
        <v>421</v>
      </c>
      <c r="B230" s="15" t="s">
        <v>422</v>
      </c>
      <c r="C230" s="15"/>
      <c r="D230" s="15"/>
      <c r="E230" s="16">
        <v>21237.81</v>
      </c>
      <c r="F230" s="15"/>
      <c r="G230" s="16">
        <v>3781.12</v>
      </c>
      <c r="H230" s="15"/>
      <c r="I230" s="16">
        <v>3781.12</v>
      </c>
      <c r="J230" s="15"/>
      <c r="K230" s="16">
        <v>25018.93</v>
      </c>
      <c r="L230" s="15"/>
    </row>
    <row r="231" spans="1:12" ht="15" customHeight="1" x14ac:dyDescent="0.2">
      <c r="A231" s="15"/>
      <c r="B231" s="15"/>
      <c r="C231" s="15" t="s">
        <v>230</v>
      </c>
      <c r="D231" s="15" t="s">
        <v>231</v>
      </c>
      <c r="E231" s="15"/>
      <c r="F231" s="15"/>
      <c r="G231" s="16">
        <v>945.28</v>
      </c>
      <c r="H231" s="15"/>
      <c r="I231" s="16">
        <v>945.28</v>
      </c>
      <c r="J231" s="15"/>
      <c r="K231" s="16">
        <v>945.28</v>
      </c>
      <c r="L231" s="15"/>
    </row>
    <row r="232" spans="1:12" ht="15" customHeight="1" x14ac:dyDescent="0.2">
      <c r="A232" s="15"/>
      <c r="B232" s="15"/>
      <c r="C232" s="15" t="s">
        <v>335</v>
      </c>
      <c r="D232" s="15" t="s">
        <v>336</v>
      </c>
      <c r="E232" s="16">
        <v>17553.740000000002</v>
      </c>
      <c r="F232" s="15"/>
      <c r="G232" s="16">
        <v>2343.92</v>
      </c>
      <c r="H232" s="15"/>
      <c r="I232" s="16">
        <v>2343.92</v>
      </c>
      <c r="J232" s="15"/>
      <c r="K232" s="16">
        <v>19897.66</v>
      </c>
      <c r="L232" s="15"/>
    </row>
    <row r="233" spans="1:12" ht="15" customHeight="1" x14ac:dyDescent="0.2">
      <c r="A233" s="15"/>
      <c r="B233" s="15"/>
      <c r="C233" s="15" t="s">
        <v>337</v>
      </c>
      <c r="D233" s="15" t="s">
        <v>338</v>
      </c>
      <c r="E233" s="16">
        <v>3684.07</v>
      </c>
      <c r="F233" s="15"/>
      <c r="G233" s="16">
        <v>491.92</v>
      </c>
      <c r="H233" s="15"/>
      <c r="I233" s="16">
        <v>491.92</v>
      </c>
      <c r="J233" s="15"/>
      <c r="K233" s="16">
        <v>4175.99</v>
      </c>
      <c r="L233" s="15"/>
    </row>
    <row r="234" spans="1:12" ht="15" customHeight="1" x14ac:dyDescent="0.2">
      <c r="A234" s="15" t="s">
        <v>423</v>
      </c>
      <c r="B234" s="15" t="s">
        <v>424</v>
      </c>
      <c r="C234" s="15"/>
      <c r="D234" s="15"/>
      <c r="E234" s="16">
        <v>1008</v>
      </c>
      <c r="F234" s="15"/>
      <c r="G234" s="15"/>
      <c r="H234" s="15"/>
      <c r="I234" s="15"/>
      <c r="J234" s="15"/>
      <c r="K234" s="16">
        <v>1008</v>
      </c>
      <c r="L234" s="15"/>
    </row>
    <row r="235" spans="1:12" ht="15" customHeight="1" x14ac:dyDescent="0.2">
      <c r="A235" s="15"/>
      <c r="B235" s="15"/>
      <c r="C235" s="15" t="s">
        <v>335</v>
      </c>
      <c r="D235" s="15" t="s">
        <v>336</v>
      </c>
      <c r="E235" s="16">
        <v>833.15</v>
      </c>
      <c r="F235" s="15"/>
      <c r="G235" s="15"/>
      <c r="H235" s="15"/>
      <c r="I235" s="15"/>
      <c r="J235" s="15"/>
      <c r="K235" s="16">
        <v>833.15</v>
      </c>
      <c r="L235" s="15"/>
    </row>
    <row r="236" spans="1:12" ht="15" customHeight="1" x14ac:dyDescent="0.2">
      <c r="A236" s="15"/>
      <c r="B236" s="15"/>
      <c r="C236" s="15" t="s">
        <v>337</v>
      </c>
      <c r="D236" s="15" t="s">
        <v>338</v>
      </c>
      <c r="E236" s="16">
        <v>174.85</v>
      </c>
      <c r="F236" s="15"/>
      <c r="G236" s="15"/>
      <c r="H236" s="15"/>
      <c r="I236" s="15"/>
      <c r="J236" s="15"/>
      <c r="K236" s="16">
        <v>174.85</v>
      </c>
      <c r="L236" s="15"/>
    </row>
    <row r="237" spans="1:12" ht="15" customHeight="1" x14ac:dyDescent="0.2">
      <c r="A237" s="15" t="s">
        <v>425</v>
      </c>
      <c r="B237" s="15" t="s">
        <v>426</v>
      </c>
      <c r="C237" s="15"/>
      <c r="D237" s="15"/>
      <c r="E237" s="16">
        <v>2687.25</v>
      </c>
      <c r="F237" s="15"/>
      <c r="G237" s="15"/>
      <c r="H237" s="15"/>
      <c r="I237" s="15"/>
      <c r="J237" s="15"/>
      <c r="K237" s="16">
        <v>2687.25</v>
      </c>
      <c r="L237" s="15"/>
    </row>
    <row r="238" spans="1:12" ht="15" customHeight="1" x14ac:dyDescent="0.2">
      <c r="A238" s="15"/>
      <c r="B238" s="15"/>
      <c r="C238" s="15" t="s">
        <v>335</v>
      </c>
      <c r="D238" s="15" t="s">
        <v>336</v>
      </c>
      <c r="E238" s="16">
        <v>2221.13</v>
      </c>
      <c r="F238" s="15"/>
      <c r="G238" s="15"/>
      <c r="H238" s="15"/>
      <c r="I238" s="15"/>
      <c r="J238" s="15"/>
      <c r="K238" s="16">
        <v>2221.13</v>
      </c>
      <c r="L238" s="15"/>
    </row>
    <row r="239" spans="1:12" ht="15" customHeight="1" x14ac:dyDescent="0.2">
      <c r="A239" s="15"/>
      <c r="B239" s="15"/>
      <c r="C239" s="15" t="s">
        <v>337</v>
      </c>
      <c r="D239" s="15" t="s">
        <v>338</v>
      </c>
      <c r="E239" s="16">
        <v>466.12</v>
      </c>
      <c r="F239" s="15"/>
      <c r="G239" s="15"/>
      <c r="H239" s="15"/>
      <c r="I239" s="15"/>
      <c r="J239" s="15"/>
      <c r="K239" s="16">
        <v>466.12</v>
      </c>
      <c r="L239" s="15"/>
    </row>
    <row r="240" spans="1:12" ht="15" customHeight="1" x14ac:dyDescent="0.2">
      <c r="A240" s="15" t="s">
        <v>427</v>
      </c>
      <c r="B240" s="15" t="s">
        <v>428</v>
      </c>
      <c r="C240" s="15"/>
      <c r="D240" s="15"/>
      <c r="E240" s="16">
        <v>171055.23</v>
      </c>
      <c r="F240" s="15"/>
      <c r="G240" s="15"/>
      <c r="H240" s="15"/>
      <c r="I240" s="15"/>
      <c r="J240" s="15"/>
      <c r="K240" s="16">
        <v>171055.23</v>
      </c>
      <c r="L240" s="15"/>
    </row>
    <row r="241" spans="1:12" ht="15" customHeight="1" x14ac:dyDescent="0.2">
      <c r="A241" s="15" t="s">
        <v>429</v>
      </c>
      <c r="B241" s="15" t="s">
        <v>430</v>
      </c>
      <c r="C241" s="15"/>
      <c r="D241" s="15"/>
      <c r="E241" s="16">
        <v>171055.23</v>
      </c>
      <c r="F241" s="15"/>
      <c r="G241" s="15"/>
      <c r="H241" s="15"/>
      <c r="I241" s="15"/>
      <c r="J241" s="15"/>
      <c r="K241" s="16">
        <v>171055.23</v>
      </c>
      <c r="L241" s="15"/>
    </row>
    <row r="242" spans="1:12" ht="15" customHeight="1" x14ac:dyDescent="0.2">
      <c r="A242" s="15"/>
      <c r="B242" s="15"/>
      <c r="C242" s="15" t="s">
        <v>335</v>
      </c>
      <c r="D242" s="15" t="s">
        <v>336</v>
      </c>
      <c r="E242" s="16">
        <v>141382.79</v>
      </c>
      <c r="F242" s="15"/>
      <c r="G242" s="15"/>
      <c r="H242" s="15"/>
      <c r="I242" s="15"/>
      <c r="J242" s="15"/>
      <c r="K242" s="16">
        <v>141382.79</v>
      </c>
      <c r="L242" s="15"/>
    </row>
    <row r="243" spans="1:12" ht="15" customHeight="1" x14ac:dyDescent="0.2">
      <c r="A243" s="15"/>
      <c r="B243" s="15"/>
      <c r="C243" s="15" t="s">
        <v>337</v>
      </c>
      <c r="D243" s="15" t="s">
        <v>338</v>
      </c>
      <c r="E243" s="16">
        <v>29672.44</v>
      </c>
      <c r="F243" s="15"/>
      <c r="G243" s="15"/>
      <c r="H243" s="15"/>
      <c r="I243" s="15"/>
      <c r="J243" s="15"/>
      <c r="K243" s="16">
        <v>29672.44</v>
      </c>
      <c r="L243" s="15"/>
    </row>
    <row r="244" spans="1:12" ht="15" customHeight="1" x14ac:dyDescent="0.2">
      <c r="A244" s="15" t="s">
        <v>431</v>
      </c>
      <c r="B244" s="15" t="s">
        <v>432</v>
      </c>
      <c r="C244" s="15"/>
      <c r="D244" s="15"/>
      <c r="E244" s="16">
        <v>2943848.65</v>
      </c>
      <c r="F244" s="15"/>
      <c r="G244" s="15"/>
      <c r="H244" s="15"/>
      <c r="I244" s="15"/>
      <c r="J244" s="15"/>
      <c r="K244" s="16">
        <v>2943848.65</v>
      </c>
      <c r="L244" s="15"/>
    </row>
    <row r="245" spans="1:12" ht="15" customHeight="1" x14ac:dyDescent="0.2">
      <c r="A245" s="15" t="s">
        <v>433</v>
      </c>
      <c r="B245" s="15" t="s">
        <v>434</v>
      </c>
      <c r="C245" s="15"/>
      <c r="D245" s="15"/>
      <c r="E245" s="16">
        <v>2943848.65</v>
      </c>
      <c r="F245" s="15"/>
      <c r="G245" s="15"/>
      <c r="H245" s="15"/>
      <c r="I245" s="15"/>
      <c r="J245" s="15"/>
      <c r="K245" s="16">
        <v>2943848.65</v>
      </c>
      <c r="L245" s="15"/>
    </row>
    <row r="246" spans="1:12" ht="15" customHeight="1" x14ac:dyDescent="0.2">
      <c r="A246" s="15"/>
      <c r="B246" s="15"/>
      <c r="C246" s="15" t="s">
        <v>335</v>
      </c>
      <c r="D246" s="15" t="s">
        <v>336</v>
      </c>
      <c r="E246" s="16">
        <v>2433188.04</v>
      </c>
      <c r="F246" s="15"/>
      <c r="G246" s="15"/>
      <c r="H246" s="15"/>
      <c r="I246" s="15"/>
      <c r="J246" s="15"/>
      <c r="K246" s="16">
        <v>2433188.04</v>
      </c>
      <c r="L246" s="15"/>
    </row>
    <row r="247" spans="1:12" ht="15" customHeight="1" x14ac:dyDescent="0.2">
      <c r="A247" s="15"/>
      <c r="B247" s="15"/>
      <c r="C247" s="15" t="s">
        <v>337</v>
      </c>
      <c r="D247" s="15" t="s">
        <v>338</v>
      </c>
      <c r="E247" s="16">
        <v>510660.61</v>
      </c>
      <c r="F247" s="15"/>
      <c r="G247" s="15"/>
      <c r="H247" s="15"/>
      <c r="I247" s="15"/>
      <c r="J247" s="15"/>
      <c r="K247" s="16">
        <v>510660.61</v>
      </c>
      <c r="L247" s="15"/>
    </row>
    <row r="248" spans="1:12" ht="15" customHeight="1" x14ac:dyDescent="0.2">
      <c r="A248" s="15" t="s">
        <v>505</v>
      </c>
      <c r="B248" s="15" t="s">
        <v>506</v>
      </c>
      <c r="C248" s="15"/>
      <c r="D248" s="15"/>
      <c r="E248" s="15"/>
      <c r="F248" s="16">
        <v>671358095.84000003</v>
      </c>
      <c r="G248" s="15"/>
      <c r="H248" s="16">
        <v>572614.93000000005</v>
      </c>
      <c r="I248" s="15"/>
      <c r="J248" s="16">
        <v>572614.93000000005</v>
      </c>
      <c r="K248" s="15"/>
      <c r="L248" s="16">
        <v>671930710.76999998</v>
      </c>
    </row>
    <row r="249" spans="1:12" ht="15" customHeight="1" x14ac:dyDescent="0.2">
      <c r="A249" s="15"/>
      <c r="B249" s="15"/>
      <c r="C249" s="15" t="s">
        <v>230</v>
      </c>
      <c r="D249" s="15" t="s">
        <v>231</v>
      </c>
      <c r="E249" s="15"/>
      <c r="F249" s="16">
        <v>671358095.84000003</v>
      </c>
      <c r="G249" s="15"/>
      <c r="H249" s="16">
        <v>572614.93000000005</v>
      </c>
      <c r="I249" s="15"/>
      <c r="J249" s="16">
        <v>572614.93000000005</v>
      </c>
      <c r="K249" s="15"/>
      <c r="L249" s="16">
        <v>671930710.76999998</v>
      </c>
    </row>
    <row r="250" spans="1:12" ht="15" customHeight="1" x14ac:dyDescent="0.2">
      <c r="A250" s="15" t="s">
        <v>435</v>
      </c>
      <c r="B250" s="15" t="s">
        <v>436</v>
      </c>
      <c r="C250" s="15"/>
      <c r="D250" s="15"/>
      <c r="E250" s="15"/>
      <c r="F250" s="15"/>
      <c r="G250" s="16">
        <v>926.79</v>
      </c>
      <c r="H250" s="16">
        <v>926.79</v>
      </c>
      <c r="I250" s="16">
        <v>926.79</v>
      </c>
      <c r="J250" s="16">
        <v>926.79</v>
      </c>
      <c r="K250" s="15"/>
      <c r="L250" s="15"/>
    </row>
    <row r="251" spans="1:12" ht="15" customHeight="1" x14ac:dyDescent="0.2">
      <c r="A251" s="15" t="s">
        <v>437</v>
      </c>
      <c r="B251" s="15" t="s">
        <v>438</v>
      </c>
      <c r="C251" s="15"/>
      <c r="D251" s="15"/>
      <c r="E251" s="15"/>
      <c r="F251" s="15"/>
      <c r="G251" s="16">
        <v>183836.9</v>
      </c>
      <c r="H251" s="16">
        <v>183836.9</v>
      </c>
      <c r="I251" s="16">
        <v>183836.9</v>
      </c>
      <c r="J251" s="16">
        <v>183836.9</v>
      </c>
      <c r="K251" s="15"/>
      <c r="L251" s="15"/>
    </row>
    <row r="252" spans="1:12" ht="15" customHeight="1" x14ac:dyDescent="0.2">
      <c r="A252" s="15" t="s">
        <v>529</v>
      </c>
      <c r="B252" s="15" t="s">
        <v>528</v>
      </c>
      <c r="C252" s="15"/>
      <c r="D252" s="15"/>
      <c r="E252" s="15"/>
      <c r="F252" s="15"/>
      <c r="G252" s="16">
        <v>24.09</v>
      </c>
      <c r="H252" s="16">
        <v>24.09</v>
      </c>
      <c r="I252" s="16">
        <v>24.09</v>
      </c>
      <c r="J252" s="16">
        <v>24.09</v>
      </c>
      <c r="K252" s="15"/>
      <c r="L252" s="15"/>
    </row>
    <row r="253" spans="1:12" ht="15" customHeight="1" x14ac:dyDescent="0.2">
      <c r="A253" s="15" t="s">
        <v>530</v>
      </c>
      <c r="B253" s="15" t="s">
        <v>531</v>
      </c>
      <c r="C253" s="15"/>
      <c r="D253" s="15"/>
      <c r="E253" s="15"/>
      <c r="F253" s="15"/>
      <c r="G253" s="16">
        <v>30676.37</v>
      </c>
      <c r="H253" s="16">
        <v>30676.37</v>
      </c>
      <c r="I253" s="16">
        <v>30676.37</v>
      </c>
      <c r="J253" s="16">
        <v>30676.37</v>
      </c>
      <c r="K253" s="15"/>
      <c r="L253" s="15"/>
    </row>
    <row r="254" spans="1:12" ht="15" customHeight="1" x14ac:dyDescent="0.2">
      <c r="A254" s="15" t="s">
        <v>439</v>
      </c>
      <c r="B254" s="15" t="s">
        <v>440</v>
      </c>
      <c r="C254" s="15"/>
      <c r="D254" s="15"/>
      <c r="E254" s="15"/>
      <c r="F254" s="15"/>
      <c r="G254" s="16">
        <v>153136.44</v>
      </c>
      <c r="H254" s="16">
        <v>153136.44</v>
      </c>
      <c r="I254" s="16">
        <v>153136.44</v>
      </c>
      <c r="J254" s="16">
        <v>153136.44</v>
      </c>
      <c r="K254" s="15"/>
      <c r="L254" s="15"/>
    </row>
    <row r="255" spans="1:12" ht="15" customHeight="1" x14ac:dyDescent="0.2">
      <c r="A255" s="15" t="s">
        <v>441</v>
      </c>
      <c r="B255" s="15" t="s">
        <v>442</v>
      </c>
      <c r="C255" s="15"/>
      <c r="D255" s="15"/>
      <c r="E255" s="15"/>
      <c r="F255" s="15"/>
      <c r="G255" s="16">
        <v>514549.76000000001</v>
      </c>
      <c r="H255" s="16">
        <v>514549.76000000001</v>
      </c>
      <c r="I255" s="16">
        <v>514549.76000000001</v>
      </c>
      <c r="J255" s="16">
        <v>514549.76000000001</v>
      </c>
      <c r="K255" s="15"/>
      <c r="L255" s="15"/>
    </row>
    <row r="256" spans="1:12" ht="15" customHeight="1" x14ac:dyDescent="0.2">
      <c r="A256" s="15" t="s">
        <v>443</v>
      </c>
      <c r="B256" s="15" t="s">
        <v>444</v>
      </c>
      <c r="C256" s="15"/>
      <c r="D256" s="15"/>
      <c r="E256" s="15"/>
      <c r="F256" s="15"/>
      <c r="G256" s="16">
        <v>514549.76000000001</v>
      </c>
      <c r="H256" s="16">
        <v>514549.76000000001</v>
      </c>
      <c r="I256" s="16">
        <v>514549.76000000001</v>
      </c>
      <c r="J256" s="16">
        <v>514549.76000000001</v>
      </c>
      <c r="K256" s="15"/>
      <c r="L256" s="15"/>
    </row>
    <row r="257" spans="1:12" ht="15" customHeight="1" x14ac:dyDescent="0.2">
      <c r="A257" s="15" t="s">
        <v>445</v>
      </c>
      <c r="B257" s="15" t="s">
        <v>446</v>
      </c>
      <c r="C257" s="15"/>
      <c r="D257" s="15"/>
      <c r="E257" s="15"/>
      <c r="F257" s="15"/>
      <c r="G257" s="16">
        <v>455861.08</v>
      </c>
      <c r="H257" s="16">
        <v>455861.08</v>
      </c>
      <c r="I257" s="16">
        <v>455861.08</v>
      </c>
      <c r="J257" s="16">
        <v>455861.08</v>
      </c>
      <c r="K257" s="15"/>
      <c r="L257" s="15"/>
    </row>
    <row r="258" spans="1:12" ht="15" customHeight="1" x14ac:dyDescent="0.2">
      <c r="A258" s="15" t="s">
        <v>447</v>
      </c>
      <c r="B258" s="15" t="s">
        <v>448</v>
      </c>
      <c r="C258" s="15"/>
      <c r="D258" s="15"/>
      <c r="E258" s="15"/>
      <c r="F258" s="15"/>
      <c r="G258" s="16">
        <v>11833.32</v>
      </c>
      <c r="H258" s="16">
        <v>11833.32</v>
      </c>
      <c r="I258" s="16">
        <v>11833.32</v>
      </c>
      <c r="J258" s="16">
        <v>11833.32</v>
      </c>
      <c r="K258" s="15"/>
      <c r="L258" s="15"/>
    </row>
    <row r="259" spans="1:12" ht="15" customHeight="1" x14ac:dyDescent="0.2">
      <c r="A259" s="15"/>
      <c r="B259" s="15"/>
      <c r="C259" s="15" t="s">
        <v>232</v>
      </c>
      <c r="D259" s="15" t="s">
        <v>233</v>
      </c>
      <c r="E259" s="15"/>
      <c r="F259" s="15"/>
      <c r="G259" s="16">
        <v>11833.32</v>
      </c>
      <c r="H259" s="16">
        <v>11833.32</v>
      </c>
      <c r="I259" s="16">
        <v>11833.32</v>
      </c>
      <c r="J259" s="16">
        <v>11833.32</v>
      </c>
      <c r="K259" s="15"/>
      <c r="L259" s="15"/>
    </row>
    <row r="260" spans="1:12" ht="15" customHeight="1" x14ac:dyDescent="0.2">
      <c r="A260" s="15" t="s">
        <v>449</v>
      </c>
      <c r="B260" s="15" t="s">
        <v>450</v>
      </c>
      <c r="C260" s="15"/>
      <c r="D260" s="15"/>
      <c r="E260" s="15"/>
      <c r="F260" s="15"/>
      <c r="G260" s="16">
        <v>46855.360000000001</v>
      </c>
      <c r="H260" s="16">
        <v>46855.360000000001</v>
      </c>
      <c r="I260" s="16">
        <v>46855.360000000001</v>
      </c>
      <c r="J260" s="16">
        <v>46855.360000000001</v>
      </c>
      <c r="K260" s="15"/>
      <c r="L260" s="15"/>
    </row>
    <row r="261" spans="1:12" ht="15" customHeight="1" x14ac:dyDescent="0.2">
      <c r="A261" s="15"/>
      <c r="B261" s="15"/>
      <c r="C261" s="15" t="s">
        <v>232</v>
      </c>
      <c r="D261" s="15" t="s">
        <v>233</v>
      </c>
      <c r="E261" s="15"/>
      <c r="F261" s="15"/>
      <c r="G261" s="16">
        <v>46855.360000000001</v>
      </c>
      <c r="H261" s="16">
        <v>46855.360000000001</v>
      </c>
      <c r="I261" s="16">
        <v>46855.360000000001</v>
      </c>
      <c r="J261" s="16">
        <v>46855.360000000001</v>
      </c>
      <c r="K261" s="15"/>
      <c r="L261" s="15"/>
    </row>
    <row r="262" spans="1:12" ht="15" customHeight="1" x14ac:dyDescent="0.2">
      <c r="A262" s="15" t="s">
        <v>451</v>
      </c>
      <c r="B262" s="15" t="s">
        <v>452</v>
      </c>
      <c r="C262" s="15"/>
      <c r="D262" s="15"/>
      <c r="E262" s="15"/>
      <c r="F262" s="15"/>
      <c r="G262" s="16">
        <v>128308.03</v>
      </c>
      <c r="H262" s="16">
        <v>128308.03</v>
      </c>
      <c r="I262" s="16">
        <v>128308.03</v>
      </c>
      <c r="J262" s="16">
        <v>128308.03</v>
      </c>
      <c r="K262" s="15"/>
      <c r="L262" s="15"/>
    </row>
    <row r="263" spans="1:12" ht="15" customHeight="1" x14ac:dyDescent="0.2">
      <c r="A263" s="15" t="s">
        <v>453</v>
      </c>
      <c r="B263" s="15" t="s">
        <v>454</v>
      </c>
      <c r="C263" s="15"/>
      <c r="D263" s="15"/>
      <c r="E263" s="15"/>
      <c r="F263" s="15"/>
      <c r="G263" s="16">
        <v>341.19</v>
      </c>
      <c r="H263" s="16">
        <v>341.19</v>
      </c>
      <c r="I263" s="16">
        <v>341.19</v>
      </c>
      <c r="J263" s="16">
        <v>341.19</v>
      </c>
      <c r="K263" s="15"/>
      <c r="L263" s="15"/>
    </row>
    <row r="264" spans="1:12" ht="15" customHeight="1" x14ac:dyDescent="0.2">
      <c r="A264" s="15" t="s">
        <v>515</v>
      </c>
      <c r="B264" s="15" t="s">
        <v>516</v>
      </c>
      <c r="C264" s="15"/>
      <c r="D264" s="15"/>
      <c r="E264" s="15"/>
      <c r="F264" s="15"/>
      <c r="G264" s="16">
        <v>41</v>
      </c>
      <c r="H264" s="16">
        <v>41</v>
      </c>
      <c r="I264" s="16">
        <v>41</v>
      </c>
      <c r="J264" s="16">
        <v>41</v>
      </c>
      <c r="K264" s="15"/>
      <c r="L264" s="15"/>
    </row>
    <row r="265" spans="1:12" ht="15" customHeight="1" x14ac:dyDescent="0.2">
      <c r="A265" s="15"/>
      <c r="B265" s="15"/>
      <c r="C265" s="15" t="s">
        <v>230</v>
      </c>
      <c r="D265" s="15" t="s">
        <v>231</v>
      </c>
      <c r="E265" s="15"/>
      <c r="F265" s="15"/>
      <c r="G265" s="16">
        <v>41</v>
      </c>
      <c r="H265" s="16">
        <v>41</v>
      </c>
      <c r="I265" s="16">
        <v>41</v>
      </c>
      <c r="J265" s="16">
        <v>41</v>
      </c>
      <c r="K265" s="15"/>
      <c r="L265" s="15"/>
    </row>
    <row r="266" spans="1:12" ht="15" customHeight="1" x14ac:dyDescent="0.2">
      <c r="A266" s="15" t="s">
        <v>517</v>
      </c>
      <c r="B266" s="15" t="s">
        <v>518</v>
      </c>
      <c r="C266" s="15"/>
      <c r="D266" s="15"/>
      <c r="E266" s="15"/>
      <c r="F266" s="15"/>
      <c r="G266" s="16">
        <v>120.19</v>
      </c>
      <c r="H266" s="16">
        <v>120.19</v>
      </c>
      <c r="I266" s="16">
        <v>120.19</v>
      </c>
      <c r="J266" s="16">
        <v>120.19</v>
      </c>
      <c r="K266" s="15"/>
      <c r="L266" s="15"/>
    </row>
    <row r="267" spans="1:12" ht="15" customHeight="1" x14ac:dyDescent="0.2">
      <c r="A267" s="15" t="s">
        <v>496</v>
      </c>
      <c r="B267" s="15" t="s">
        <v>497</v>
      </c>
      <c r="C267" s="15"/>
      <c r="D267" s="15"/>
      <c r="E267" s="15"/>
      <c r="F267" s="15"/>
      <c r="G267" s="16">
        <v>180</v>
      </c>
      <c r="H267" s="16">
        <v>180</v>
      </c>
      <c r="I267" s="16">
        <v>180</v>
      </c>
      <c r="J267" s="16">
        <v>180</v>
      </c>
      <c r="K267" s="15"/>
      <c r="L267" s="15"/>
    </row>
    <row r="268" spans="1:12" ht="15" customHeight="1" x14ac:dyDescent="0.2">
      <c r="A268" s="15" t="s">
        <v>507</v>
      </c>
      <c r="B268" s="15" t="s">
        <v>508</v>
      </c>
      <c r="C268" s="15"/>
      <c r="D268" s="15"/>
      <c r="E268" s="15"/>
      <c r="F268" s="15"/>
      <c r="G268" s="16">
        <v>-11400</v>
      </c>
      <c r="H268" s="16">
        <v>-11400</v>
      </c>
      <c r="I268" s="16">
        <v>-11400</v>
      </c>
      <c r="J268" s="16">
        <v>-11400</v>
      </c>
      <c r="K268" s="15"/>
      <c r="L268" s="15"/>
    </row>
    <row r="269" spans="1:12" ht="15" customHeight="1" x14ac:dyDescent="0.2">
      <c r="A269" s="15" t="s">
        <v>509</v>
      </c>
      <c r="B269" s="15" t="s">
        <v>510</v>
      </c>
      <c r="C269" s="15"/>
      <c r="D269" s="15"/>
      <c r="E269" s="15"/>
      <c r="F269" s="15"/>
      <c r="G269" s="16">
        <v>-11400</v>
      </c>
      <c r="H269" s="16">
        <v>-11400</v>
      </c>
      <c r="I269" s="16">
        <v>-11400</v>
      </c>
      <c r="J269" s="16">
        <v>-11400</v>
      </c>
      <c r="K269" s="15"/>
      <c r="L269" s="15"/>
    </row>
    <row r="270" spans="1:12" ht="15" customHeight="1" x14ac:dyDescent="0.2">
      <c r="A270" s="15"/>
      <c r="B270" s="15"/>
      <c r="C270" s="15" t="s">
        <v>230</v>
      </c>
      <c r="D270" s="15" t="s">
        <v>231</v>
      </c>
      <c r="E270" s="15"/>
      <c r="F270" s="15"/>
      <c r="G270" s="16">
        <v>-11400</v>
      </c>
      <c r="H270" s="16">
        <v>-11400</v>
      </c>
      <c r="I270" s="16">
        <v>-11400</v>
      </c>
      <c r="J270" s="16">
        <v>-11400</v>
      </c>
      <c r="K270" s="15"/>
      <c r="L270" s="15"/>
    </row>
    <row r="271" spans="1:12" ht="15" customHeight="1" x14ac:dyDescent="0.2">
      <c r="A271" s="15" t="s">
        <v>455</v>
      </c>
      <c r="B271" s="15" t="s">
        <v>456</v>
      </c>
      <c r="C271" s="15"/>
      <c r="D271" s="15"/>
      <c r="E271" s="15"/>
      <c r="F271" s="15"/>
      <c r="G271" s="16">
        <v>138643.96</v>
      </c>
      <c r="H271" s="16">
        <v>138643.96</v>
      </c>
      <c r="I271" s="16">
        <v>138643.96</v>
      </c>
      <c r="J271" s="16">
        <v>138643.96</v>
      </c>
      <c r="K271" s="15"/>
      <c r="L271" s="15"/>
    </row>
    <row r="272" spans="1:12" ht="15" customHeight="1" x14ac:dyDescent="0.2">
      <c r="A272" s="15" t="s">
        <v>457</v>
      </c>
      <c r="B272" s="15" t="s">
        <v>458</v>
      </c>
      <c r="C272" s="15"/>
      <c r="D272" s="15"/>
      <c r="E272" s="15"/>
      <c r="F272" s="15"/>
      <c r="G272" s="16">
        <v>117544.84</v>
      </c>
      <c r="H272" s="16">
        <v>117544.84</v>
      </c>
      <c r="I272" s="16">
        <v>117544.84</v>
      </c>
      <c r="J272" s="16">
        <v>117544.84</v>
      </c>
      <c r="K272" s="15"/>
      <c r="L272" s="15"/>
    </row>
    <row r="273" spans="1:12" ht="15" customHeight="1" x14ac:dyDescent="0.2">
      <c r="A273" s="15" t="s">
        <v>459</v>
      </c>
      <c r="B273" s="15" t="s">
        <v>460</v>
      </c>
      <c r="C273" s="15"/>
      <c r="D273" s="15"/>
      <c r="E273" s="15"/>
      <c r="F273" s="15"/>
      <c r="G273" s="16">
        <v>6208</v>
      </c>
      <c r="H273" s="16">
        <v>6208</v>
      </c>
      <c r="I273" s="16">
        <v>6208</v>
      </c>
      <c r="J273" s="16">
        <v>6208</v>
      </c>
      <c r="K273" s="15"/>
      <c r="L273" s="15"/>
    </row>
    <row r="274" spans="1:12" ht="15" customHeight="1" x14ac:dyDescent="0.2">
      <c r="A274" s="15" t="s">
        <v>461</v>
      </c>
      <c r="B274" s="15" t="s">
        <v>462</v>
      </c>
      <c r="C274" s="15"/>
      <c r="D274" s="15"/>
      <c r="E274" s="15"/>
      <c r="F274" s="15"/>
      <c r="G274" s="16">
        <v>13815.64</v>
      </c>
      <c r="H274" s="16">
        <v>13815.64</v>
      </c>
      <c r="I274" s="16">
        <v>13815.64</v>
      </c>
      <c r="J274" s="16">
        <v>13815.64</v>
      </c>
      <c r="K274" s="15"/>
      <c r="L274" s="15"/>
    </row>
    <row r="275" spans="1:12" ht="15" customHeight="1" x14ac:dyDescent="0.2">
      <c r="A275" s="15" t="s">
        <v>486</v>
      </c>
      <c r="B275" s="15" t="s">
        <v>487</v>
      </c>
      <c r="C275" s="15"/>
      <c r="D275" s="15"/>
      <c r="E275" s="15"/>
      <c r="F275" s="15"/>
      <c r="G275" s="16">
        <v>1075.48</v>
      </c>
      <c r="H275" s="16">
        <v>1075.48</v>
      </c>
      <c r="I275" s="16">
        <v>1075.48</v>
      </c>
      <c r="J275" s="16">
        <v>1075.48</v>
      </c>
      <c r="K275" s="15"/>
      <c r="L275" s="15"/>
    </row>
    <row r="276" spans="1:12" ht="15" customHeight="1" x14ac:dyDescent="0.2">
      <c r="A276" s="15" t="s">
        <v>463</v>
      </c>
      <c r="B276" s="15" t="s">
        <v>444</v>
      </c>
      <c r="C276" s="15"/>
      <c r="D276" s="15"/>
      <c r="E276" s="15"/>
      <c r="F276" s="15"/>
      <c r="G276" s="16">
        <v>722.88</v>
      </c>
      <c r="H276" s="16">
        <v>722.88</v>
      </c>
      <c r="I276" s="16">
        <v>722.88</v>
      </c>
      <c r="J276" s="16">
        <v>722.88</v>
      </c>
      <c r="K276" s="15"/>
      <c r="L276" s="15"/>
    </row>
    <row r="277" spans="1:12" ht="15" customHeight="1" x14ac:dyDescent="0.2">
      <c r="A277" s="15" t="s">
        <v>464</v>
      </c>
      <c r="B277" s="15" t="s">
        <v>446</v>
      </c>
      <c r="C277" s="15"/>
      <c r="D277" s="15"/>
      <c r="E277" s="15"/>
      <c r="F277" s="15"/>
      <c r="G277" s="16">
        <v>722.88</v>
      </c>
      <c r="H277" s="16">
        <v>722.88</v>
      </c>
      <c r="I277" s="16">
        <v>722.88</v>
      </c>
      <c r="J277" s="16">
        <v>722.88</v>
      </c>
      <c r="K277" s="15"/>
      <c r="L277" s="15"/>
    </row>
    <row r="278" spans="1:12" ht="15" customHeight="1" x14ac:dyDescent="0.2">
      <c r="A278" s="15" t="s">
        <v>465</v>
      </c>
      <c r="B278" s="15" t="s">
        <v>466</v>
      </c>
      <c r="C278" s="15"/>
      <c r="D278" s="15"/>
      <c r="E278" s="15"/>
      <c r="F278" s="15"/>
      <c r="G278" s="16">
        <v>332655.38</v>
      </c>
      <c r="H278" s="16">
        <v>332655.38</v>
      </c>
      <c r="I278" s="16">
        <v>332655.38</v>
      </c>
      <c r="J278" s="16">
        <v>332655.38</v>
      </c>
      <c r="K278" s="15"/>
      <c r="L278" s="15"/>
    </row>
    <row r="279" spans="1:12" ht="15" customHeight="1" x14ac:dyDescent="0.2">
      <c r="A279" s="15" t="s">
        <v>467</v>
      </c>
      <c r="B279" s="15" t="s">
        <v>468</v>
      </c>
      <c r="C279" s="15"/>
      <c r="D279" s="15"/>
      <c r="E279" s="15"/>
      <c r="F279" s="15"/>
      <c r="G279" s="16">
        <v>382.6</v>
      </c>
      <c r="H279" s="16">
        <v>382.6</v>
      </c>
      <c r="I279" s="16">
        <v>382.6</v>
      </c>
      <c r="J279" s="16">
        <v>382.6</v>
      </c>
      <c r="K279" s="15"/>
      <c r="L279" s="15"/>
    </row>
    <row r="280" spans="1:12" ht="15" customHeight="1" x14ac:dyDescent="0.2">
      <c r="A280" s="15" t="s">
        <v>519</v>
      </c>
      <c r="B280" s="15" t="s">
        <v>520</v>
      </c>
      <c r="C280" s="15"/>
      <c r="D280" s="15"/>
      <c r="E280" s="15"/>
      <c r="F280" s="15"/>
      <c r="G280" s="16">
        <v>-271.25</v>
      </c>
      <c r="H280" s="16">
        <v>-271.25</v>
      </c>
      <c r="I280" s="16">
        <v>-271.25</v>
      </c>
      <c r="J280" s="16">
        <v>-271.25</v>
      </c>
      <c r="K280" s="15"/>
      <c r="L280" s="15"/>
    </row>
    <row r="281" spans="1:12" ht="15" customHeight="1" x14ac:dyDescent="0.2">
      <c r="A281" s="15" t="s">
        <v>521</v>
      </c>
      <c r="B281" s="15" t="s">
        <v>522</v>
      </c>
      <c r="C281" s="15"/>
      <c r="D281" s="15"/>
      <c r="E281" s="15"/>
      <c r="F281" s="15"/>
      <c r="G281" s="16">
        <v>332544.03000000003</v>
      </c>
      <c r="H281" s="16">
        <v>332544.03000000003</v>
      </c>
      <c r="I281" s="16">
        <v>332544.03000000003</v>
      </c>
      <c r="J281" s="16">
        <v>332544.03000000003</v>
      </c>
      <c r="K281" s="15"/>
      <c r="L281" s="15"/>
    </row>
    <row r="282" spans="1:12" ht="15" customHeight="1" x14ac:dyDescent="0.2">
      <c r="A282" s="15" t="s">
        <v>511</v>
      </c>
      <c r="B282" s="15" t="s">
        <v>512</v>
      </c>
      <c r="C282" s="15"/>
      <c r="D282" s="15"/>
      <c r="E282" s="15"/>
      <c r="F282" s="15"/>
      <c r="G282" s="16">
        <v>359.33</v>
      </c>
      <c r="H282" s="16">
        <v>359.33</v>
      </c>
      <c r="I282" s="16">
        <v>359.33</v>
      </c>
      <c r="J282" s="16">
        <v>359.33</v>
      </c>
      <c r="K282" s="15"/>
      <c r="L282" s="15"/>
    </row>
    <row r="283" spans="1:12" ht="15" customHeight="1" x14ac:dyDescent="0.2">
      <c r="A283" s="15" t="s">
        <v>513</v>
      </c>
      <c r="B283" s="15" t="s">
        <v>514</v>
      </c>
      <c r="C283" s="15"/>
      <c r="D283" s="15"/>
      <c r="E283" s="15"/>
      <c r="F283" s="15"/>
      <c r="G283" s="16">
        <v>359.33</v>
      </c>
      <c r="H283" s="16">
        <v>359.33</v>
      </c>
      <c r="I283" s="16">
        <v>359.33</v>
      </c>
      <c r="J283" s="16">
        <v>359.33</v>
      </c>
      <c r="K283" s="15"/>
      <c r="L283" s="15"/>
    </row>
    <row r="284" spans="1:12" ht="15" customHeight="1" x14ac:dyDescent="0.2">
      <c r="A284" s="15"/>
      <c r="B284" s="15" t="s">
        <v>469</v>
      </c>
      <c r="C284" s="15"/>
      <c r="D284" s="15"/>
      <c r="E284" s="16">
        <v>4131546535.8600001</v>
      </c>
      <c r="F284" s="16">
        <v>4131546535.8600001</v>
      </c>
      <c r="G284" s="16">
        <v>7638037.9400000004</v>
      </c>
      <c r="H284" s="16">
        <v>7638037.9400000004</v>
      </c>
      <c r="I284" s="16">
        <v>7638037.9400000004</v>
      </c>
      <c r="J284" s="16">
        <v>7638037.9400000004</v>
      </c>
      <c r="K284" s="16">
        <v>4134055158.75</v>
      </c>
      <c r="L284" s="16">
        <v>4134055158.75</v>
      </c>
    </row>
  </sheetData>
  <mergeCells count="8">
    <mergeCell ref="I2:J2"/>
    <mergeCell ref="K2:L2"/>
    <mergeCell ref="A2:A3"/>
    <mergeCell ref="B2:B3"/>
    <mergeCell ref="C2:C3"/>
    <mergeCell ref="D2:D3"/>
    <mergeCell ref="E2:F2"/>
    <mergeCell ref="G2:H2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25D4-BF9C-487C-AC72-C1E0C6808A5C}">
  <sheetPr>
    <pageSetUpPr fitToPage="1"/>
  </sheetPr>
  <dimension ref="A1:H16"/>
  <sheetViews>
    <sheetView workbookViewId="0">
      <selection activeCell="C20" sqref="C20"/>
    </sheetView>
  </sheetViews>
  <sheetFormatPr defaultRowHeight="14.25" x14ac:dyDescent="0.15"/>
  <cols>
    <col min="1" max="1" width="21.125" style="14" customWidth="1" collapsed="1"/>
    <col min="2" max="2" width="22.625" style="14" customWidth="1" collapsed="1"/>
    <col min="3" max="3" width="19.125" style="14" customWidth="1" collapsed="1"/>
    <col min="4" max="4" width="31.125" style="14" bestFit="1" customWidth="1" collapsed="1"/>
    <col min="5" max="8" width="19.125" style="14" customWidth="1" collapsed="1"/>
    <col min="9" max="16384" width="9" style="14"/>
  </cols>
  <sheetData>
    <row r="1" spans="1:8" ht="15" customHeight="1" x14ac:dyDescent="0.15">
      <c r="A1" s="15" t="s">
        <v>176</v>
      </c>
      <c r="B1" s="15" t="s">
        <v>177</v>
      </c>
      <c r="C1" s="15" t="s">
        <v>532</v>
      </c>
      <c r="D1" s="15"/>
      <c r="E1" s="15"/>
      <c r="F1" s="15"/>
      <c r="G1" s="15"/>
      <c r="H1" s="15"/>
    </row>
    <row r="2" spans="1:8" ht="15" customHeight="1" x14ac:dyDescent="0.15">
      <c r="A2" s="15" t="s">
        <v>470</v>
      </c>
      <c r="B2" s="15" t="s">
        <v>523</v>
      </c>
      <c r="C2" s="15"/>
      <c r="D2" s="15"/>
      <c r="E2" s="15"/>
      <c r="F2" s="15"/>
      <c r="G2" s="15"/>
      <c r="H2" s="15"/>
    </row>
    <row r="3" spans="1:8" ht="15" customHeight="1" x14ac:dyDescent="0.15">
      <c r="A3" s="15" t="s">
        <v>471</v>
      </c>
      <c r="B3" s="15" t="s">
        <v>472</v>
      </c>
      <c r="C3" s="15" t="s">
        <v>473</v>
      </c>
      <c r="D3" s="15" t="s">
        <v>474</v>
      </c>
      <c r="E3" s="15" t="s">
        <v>475</v>
      </c>
      <c r="F3" s="15" t="s">
        <v>476</v>
      </c>
      <c r="G3" s="15" t="s">
        <v>477</v>
      </c>
      <c r="H3" s="15" t="s">
        <v>478</v>
      </c>
    </row>
    <row r="4" spans="1:8" ht="15" customHeight="1" x14ac:dyDescent="0.15">
      <c r="A4" s="15" t="s">
        <v>533</v>
      </c>
      <c r="B4" s="15"/>
      <c r="C4" s="15"/>
      <c r="D4" s="15" t="s">
        <v>182</v>
      </c>
      <c r="E4" s="15"/>
      <c r="F4" s="15"/>
      <c r="G4" s="15" t="s">
        <v>479</v>
      </c>
      <c r="H4" s="15"/>
    </row>
    <row r="5" spans="1:8" ht="15" customHeight="1" x14ac:dyDescent="0.2">
      <c r="A5" s="15" t="s">
        <v>534</v>
      </c>
      <c r="B5" s="15" t="s">
        <v>480</v>
      </c>
      <c r="C5" s="17">
        <v>11</v>
      </c>
      <c r="D5" s="15" t="s">
        <v>535</v>
      </c>
      <c r="E5" s="16">
        <v>268.87</v>
      </c>
      <c r="F5" s="15"/>
      <c r="G5" s="15" t="s">
        <v>481</v>
      </c>
      <c r="H5" s="16">
        <v>268.87</v>
      </c>
    </row>
    <row r="6" spans="1:8" ht="15" customHeight="1" x14ac:dyDescent="0.2">
      <c r="A6" s="15" t="s">
        <v>536</v>
      </c>
      <c r="B6" s="15" t="s">
        <v>480</v>
      </c>
      <c r="C6" s="17">
        <v>13</v>
      </c>
      <c r="D6" s="15" t="s">
        <v>498</v>
      </c>
      <c r="E6" s="16">
        <v>180.72</v>
      </c>
      <c r="F6" s="15"/>
      <c r="G6" s="15" t="s">
        <v>481</v>
      </c>
      <c r="H6" s="16">
        <v>449.59</v>
      </c>
    </row>
    <row r="7" spans="1:8" ht="15" customHeight="1" x14ac:dyDescent="0.2">
      <c r="A7" s="15" t="s">
        <v>536</v>
      </c>
      <c r="B7" s="15" t="s">
        <v>480</v>
      </c>
      <c r="C7" s="17">
        <v>17</v>
      </c>
      <c r="D7" s="15" t="s">
        <v>537</v>
      </c>
      <c r="E7" s="16">
        <v>80672.460000000006</v>
      </c>
      <c r="F7" s="15"/>
      <c r="G7" s="15" t="s">
        <v>481</v>
      </c>
      <c r="H7" s="16">
        <v>81122.05</v>
      </c>
    </row>
    <row r="8" spans="1:8" ht="15" customHeight="1" x14ac:dyDescent="0.2">
      <c r="A8" s="15" t="s">
        <v>536</v>
      </c>
      <c r="B8" s="15" t="s">
        <v>480</v>
      </c>
      <c r="C8" s="17">
        <v>18</v>
      </c>
      <c r="D8" s="15" t="s">
        <v>538</v>
      </c>
      <c r="E8" s="16">
        <v>3453.91</v>
      </c>
      <c r="F8" s="15"/>
      <c r="G8" s="15" t="s">
        <v>481</v>
      </c>
      <c r="H8" s="16">
        <v>84575.96</v>
      </c>
    </row>
    <row r="9" spans="1:8" ht="15" customHeight="1" x14ac:dyDescent="0.2">
      <c r="A9" s="15" t="s">
        <v>536</v>
      </c>
      <c r="B9" s="15" t="s">
        <v>480</v>
      </c>
      <c r="C9" s="17">
        <v>19</v>
      </c>
      <c r="D9" s="15" t="s">
        <v>539</v>
      </c>
      <c r="E9" s="16">
        <v>1552</v>
      </c>
      <c r="F9" s="15"/>
      <c r="G9" s="15" t="s">
        <v>481</v>
      </c>
      <c r="H9" s="16">
        <v>86127.96</v>
      </c>
    </row>
    <row r="10" spans="1:8" ht="15" customHeight="1" x14ac:dyDescent="0.2">
      <c r="A10" s="15" t="s">
        <v>536</v>
      </c>
      <c r="B10" s="15" t="s">
        <v>480</v>
      </c>
      <c r="C10" s="17">
        <v>21</v>
      </c>
      <c r="D10" s="15" t="s">
        <v>482</v>
      </c>
      <c r="E10" s="15"/>
      <c r="F10" s="16">
        <v>80672.460000000006</v>
      </c>
      <c r="G10" s="15" t="s">
        <v>481</v>
      </c>
      <c r="H10" s="16">
        <v>5455.5</v>
      </c>
    </row>
    <row r="11" spans="1:8" ht="15" customHeight="1" x14ac:dyDescent="0.2">
      <c r="A11" s="15" t="s">
        <v>536</v>
      </c>
      <c r="B11" s="15" t="s">
        <v>480</v>
      </c>
      <c r="C11" s="17">
        <v>21</v>
      </c>
      <c r="D11" s="15" t="s">
        <v>482</v>
      </c>
      <c r="E11" s="15"/>
      <c r="F11" s="16">
        <v>1552</v>
      </c>
      <c r="G11" s="15" t="s">
        <v>481</v>
      </c>
      <c r="H11" s="16">
        <v>3903.5</v>
      </c>
    </row>
    <row r="12" spans="1:8" ht="15" customHeight="1" x14ac:dyDescent="0.2">
      <c r="A12" s="15" t="s">
        <v>536</v>
      </c>
      <c r="B12" s="15" t="s">
        <v>480</v>
      </c>
      <c r="C12" s="17">
        <v>21</v>
      </c>
      <c r="D12" s="15" t="s">
        <v>482</v>
      </c>
      <c r="E12" s="15"/>
      <c r="F12" s="16">
        <v>3453.91</v>
      </c>
      <c r="G12" s="15" t="s">
        <v>481</v>
      </c>
      <c r="H12" s="16">
        <v>449.59</v>
      </c>
    </row>
    <row r="13" spans="1:8" ht="15" customHeight="1" x14ac:dyDescent="0.2">
      <c r="A13" s="15" t="s">
        <v>536</v>
      </c>
      <c r="B13" s="15" t="s">
        <v>480</v>
      </c>
      <c r="C13" s="17">
        <v>21</v>
      </c>
      <c r="D13" s="15" t="s">
        <v>482</v>
      </c>
      <c r="E13" s="15"/>
      <c r="F13" s="16">
        <v>268.87</v>
      </c>
      <c r="G13" s="15" t="s">
        <v>481</v>
      </c>
      <c r="H13" s="16">
        <v>180.72</v>
      </c>
    </row>
    <row r="14" spans="1:8" ht="15" customHeight="1" x14ac:dyDescent="0.2">
      <c r="A14" s="15" t="s">
        <v>536</v>
      </c>
      <c r="B14" s="15" t="s">
        <v>480</v>
      </c>
      <c r="C14" s="17">
        <v>21</v>
      </c>
      <c r="D14" s="15" t="s">
        <v>482</v>
      </c>
      <c r="E14" s="15"/>
      <c r="F14" s="16">
        <v>180.72</v>
      </c>
      <c r="G14" s="15" t="s">
        <v>479</v>
      </c>
      <c r="H14" s="15"/>
    </row>
    <row r="15" spans="1:8" ht="15" customHeight="1" x14ac:dyDescent="0.2">
      <c r="A15" s="15" t="s">
        <v>536</v>
      </c>
      <c r="B15" s="15"/>
      <c r="C15" s="15"/>
      <c r="D15" s="15" t="s">
        <v>483</v>
      </c>
      <c r="E15" s="16">
        <v>86127.96</v>
      </c>
      <c r="F15" s="16">
        <v>86127.96</v>
      </c>
      <c r="G15" s="15" t="s">
        <v>479</v>
      </c>
      <c r="H15" s="15"/>
    </row>
    <row r="16" spans="1:8" ht="15" customHeight="1" x14ac:dyDescent="0.2">
      <c r="A16" s="15" t="s">
        <v>536</v>
      </c>
      <c r="B16" s="15"/>
      <c r="C16" s="15"/>
      <c r="D16" s="15" t="s">
        <v>184</v>
      </c>
      <c r="E16" s="16">
        <v>128308.03</v>
      </c>
      <c r="F16" s="16">
        <v>128308.03</v>
      </c>
      <c r="G16" s="15" t="s">
        <v>479</v>
      </c>
      <c r="H16" s="15"/>
    </row>
  </sheetData>
  <phoneticPr fontId="15" type="noConversion"/>
  <pageMargins left="0.70866141732283472" right="0.70866141732283472" top="0.74803149606299213" bottom="0.74803149606299213" header="0.31496062992125984" footer="0.31496062992125984"/>
  <pageSetup paperSize="9" scale="78" fitToHeight="0" orientation="landscape" r:id="rId1"/>
  <headerFooter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资产负债表</vt:lpstr>
      <vt:lpstr>利润表</vt:lpstr>
      <vt:lpstr>现金流量表</vt:lpstr>
      <vt:lpstr>科目余额表</vt:lpstr>
      <vt:lpstr>管理费用明细表</vt:lpstr>
      <vt:lpstr>科目余额表!Print_Titles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联谊AIMIN</cp:lastModifiedBy>
  <cp:lastPrinted>2026-05-08T03:21:51Z</cp:lastPrinted>
  <dcterms:modified xsi:type="dcterms:W3CDTF">2026-05-08T03:29:34Z</dcterms:modified>
</cp:coreProperties>
</file>