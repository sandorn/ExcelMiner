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600" tabRatio="717"/>
  </bookViews>
  <sheets>
    <sheet name="资产负债表" sheetId="1" r:id="rId1"/>
    <sheet name="利润表" sheetId="2" r:id="rId2"/>
    <sheet name="现金流量表" sheetId="3" r:id="rId3"/>
    <sheet name="科目余额表" sheetId="7" r:id="rId4"/>
    <sheet name="应收款明细统计" sheetId="4" r:id="rId5"/>
    <sheet name="管理费用明细表" sheetId="5" r:id="rId6"/>
    <sheet name="应付款明细统计" sheetId="6" r:id="rId7"/>
  </sheets>
  <definedNames>
    <definedName name="_xlnm._FilterDatabase" localSheetId="4" hidden="1">应收款明细统计!$A$1:$G$18</definedName>
    <definedName name="_xlnm.Print_Area" localSheetId="5">管理费用明细表!$A$1:$Q$17</definedName>
    <definedName name="_xlnm.Print_Titles" localSheetId="5">管理费用明细表!$1:$4</definedName>
    <definedName name="_xlnm.Print_Area" localSheetId="6">应付款明细统计!$A$1:$E$3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<sst xmlns="http://schemas.openxmlformats.org/spreadsheetml/2006/main" count="720" uniqueCount="495">
  <si>
    <t>资产负债表</t>
  </si>
  <si>
    <t>2026年</t>
  </si>
  <si>
    <t>4月</t>
  </si>
  <si>
    <t>会企01表</t>
  </si>
  <si>
    <t>编制单位：</t>
  </si>
  <si>
    <t>上海君康联杰企业管理有限公司</t>
  </si>
  <si>
    <t>单位：元</t>
  </si>
  <si>
    <t>项目名称</t>
  </si>
  <si>
    <t>期末数</t>
  </si>
  <si>
    <t>年初数</t>
  </si>
  <si>
    <t>流动资产:</t>
  </si>
  <si>
    <t>流动负债:</t>
  </si>
  <si>
    <t xml:space="preserve">    货币资金</t>
  </si>
  <si>
    <t xml:space="preserve">    短期借款</t>
  </si>
  <si>
    <t xml:space="preserve">    交易性金融资产</t>
  </si>
  <si>
    <t xml:space="preserve">    交易性金融负债</t>
  </si>
  <si>
    <t xml:space="preserve">    衍生金融资产</t>
  </si>
  <si>
    <t xml:space="preserve">    衍生金融负债</t>
  </si>
  <si>
    <t xml:space="preserve">    应收票据及应收账款</t>
  </si>
  <si>
    <t xml:space="preserve">    应付票据及应付账款</t>
  </si>
  <si>
    <t xml:space="preserve">    预付款项</t>
  </si>
  <si>
    <t xml:space="preserve">    预收款项</t>
  </si>
  <si>
    <t xml:space="preserve">    其他应收款</t>
  </si>
  <si>
    <t xml:space="preserve">    合同负债</t>
  </si>
  <si>
    <t xml:space="preserve">    存货</t>
  </si>
  <si>
    <t xml:space="preserve">    应付职工薪酬</t>
  </si>
  <si>
    <t xml:space="preserve">    合同资产</t>
  </si>
  <si>
    <t xml:space="preserve">    应交税费</t>
  </si>
  <si>
    <t xml:space="preserve">    持有待售资产</t>
  </si>
  <si>
    <t xml:space="preserve">    其他应付款</t>
  </si>
  <si>
    <t xml:space="preserve">    一年内到期的非流动资产</t>
  </si>
  <si>
    <t xml:space="preserve">    持有待售负债</t>
  </si>
  <si>
    <t xml:space="preserve">    其他流动资产</t>
  </si>
  <si>
    <t xml:space="preserve">    一年内到期的非流动负债</t>
  </si>
  <si>
    <t xml:space="preserve">        流动资产合计</t>
  </si>
  <si>
    <t xml:space="preserve">    其他流动负债</t>
  </si>
  <si>
    <t>非流动资产:</t>
  </si>
  <si>
    <t xml:space="preserve">        流动负债合计</t>
  </si>
  <si>
    <t xml:space="preserve">    债权投资</t>
  </si>
  <si>
    <t>非流动负债:</t>
  </si>
  <si>
    <t xml:space="preserve">    其他债权投资</t>
  </si>
  <si>
    <t xml:space="preserve">    长期借款</t>
  </si>
  <si>
    <t xml:space="preserve">    长期应收款</t>
  </si>
  <si>
    <t xml:space="preserve">    应付债券</t>
  </si>
  <si>
    <t xml:space="preserve">    长期股权投资</t>
  </si>
  <si>
    <t xml:space="preserve">    其中：优先股</t>
  </si>
  <si>
    <t xml:space="preserve">    其他权益工具投资</t>
  </si>
  <si>
    <t xml:space="preserve">          永续债</t>
  </si>
  <si>
    <t xml:space="preserve">    其他非流动金融资产</t>
  </si>
  <si>
    <t xml:space="preserve">    长期应付款</t>
  </si>
  <si>
    <t xml:space="preserve">    投资性房地产</t>
  </si>
  <si>
    <t xml:space="preserve">    预计负债</t>
  </si>
  <si>
    <t xml:space="preserve">    固定资产</t>
  </si>
  <si>
    <t xml:space="preserve">    递延收益</t>
  </si>
  <si>
    <t xml:space="preserve">    在建工程</t>
  </si>
  <si>
    <t xml:space="preserve">    递延所得税负债</t>
  </si>
  <si>
    <t xml:space="preserve">    生产性生物资产</t>
  </si>
  <si>
    <t xml:space="preserve">    其他非流动负债</t>
  </si>
  <si>
    <t xml:space="preserve">    油气资产</t>
  </si>
  <si>
    <t xml:space="preserve">        非流动负债合计</t>
  </si>
  <si>
    <t xml:space="preserve">    无形资产</t>
  </si>
  <si>
    <t xml:space="preserve">            负债合计</t>
  </si>
  <si>
    <t xml:space="preserve">    开发支出</t>
  </si>
  <si>
    <t>股东权益:</t>
  </si>
  <si>
    <t xml:space="preserve">    商誉</t>
  </si>
  <si>
    <t xml:space="preserve">    实收资本(股本)</t>
  </si>
  <si>
    <t xml:space="preserve">    长期待摊费用</t>
  </si>
  <si>
    <t xml:space="preserve">    其他权益工具</t>
  </si>
  <si>
    <t xml:space="preserve">    递延所得税资产</t>
  </si>
  <si>
    <t xml:space="preserve">    其他非流动资产</t>
  </si>
  <si>
    <t xml:space="preserve">        　永续债</t>
  </si>
  <si>
    <t xml:space="preserve">        非流动资产合计</t>
  </si>
  <si>
    <t xml:space="preserve">    资本公积</t>
  </si>
  <si>
    <t xml:space="preserve">    减:库存股</t>
  </si>
  <si>
    <t xml:space="preserve">    其他综合收益</t>
  </si>
  <si>
    <t xml:space="preserve">    盈余公积</t>
  </si>
  <si>
    <t xml:space="preserve">    未分配利润</t>
  </si>
  <si>
    <t>　　外币报表折算差额</t>
  </si>
  <si>
    <t>所有者权益（或股东权益）合计</t>
  </si>
  <si>
    <t xml:space="preserve">            资产总计</t>
  </si>
  <si>
    <t>负债和所有者权益（或股东权益）合计</t>
  </si>
  <si>
    <t>利润表</t>
  </si>
  <si>
    <t>2026年04月</t>
  </si>
  <si>
    <t>会企02表</t>
  </si>
  <si>
    <t>编制单位：上海君康联杰企业管理有限公司</t>
  </si>
  <si>
    <t>本月发生数</t>
  </si>
  <si>
    <t>本年累计数</t>
  </si>
  <si>
    <t>上年发生数</t>
  </si>
  <si>
    <t>一、营业收入</t>
  </si>
  <si>
    <t xml:space="preserve">    减:营业成本</t>
  </si>
  <si>
    <t xml:space="preserve">        营业税金及附加</t>
  </si>
  <si>
    <t xml:space="preserve">        销售费用</t>
  </si>
  <si>
    <t xml:space="preserve">        管理费用</t>
  </si>
  <si>
    <t xml:space="preserve">        研发费用</t>
  </si>
  <si>
    <t xml:space="preserve">        财务费用</t>
  </si>
  <si>
    <t xml:space="preserve">        　　其中：利息费用</t>
  </si>
  <si>
    <t xml:space="preserve">        　　　　　利息收入</t>
  </si>
  <si>
    <t xml:space="preserve">        资产减值损失</t>
  </si>
  <si>
    <t>　　　　信用减值损失</t>
  </si>
  <si>
    <t xml:space="preserve">    加:公允价值变动收益(损失以“-”号填列)</t>
  </si>
  <si>
    <t xml:space="preserve">        投资收益(损失以“-”号填列)</t>
  </si>
  <si>
    <t xml:space="preserve">        其中:对联营企业和合营企业的投资收益</t>
  </si>
  <si>
    <t xml:space="preserve">        资产处置收益（损失以“-”号填列）</t>
  </si>
  <si>
    <t xml:space="preserve">        其他收益</t>
  </si>
  <si>
    <t xml:space="preserve">        净敞口套期收益（损失以“-”号填列）</t>
  </si>
  <si>
    <t>二、营业利润（亏损以“-”号填列）</t>
  </si>
  <si>
    <t xml:space="preserve">    加：营业外收入</t>
  </si>
  <si>
    <t xml:space="preserve">    减：营业外支出</t>
  </si>
  <si>
    <t>三、利润总额（亏损总额以“-”号填列）</t>
  </si>
  <si>
    <t xml:space="preserve">    减：所得税费用</t>
  </si>
  <si>
    <t>四、净利润（净亏损以“-”号填列）</t>
  </si>
  <si>
    <t xml:space="preserve">    （一）持续经营净利润（净亏损以“-”号填列）</t>
  </si>
  <si>
    <t xml:space="preserve">    （二）终止经营净利润（净亏损以“-”号填列）</t>
  </si>
  <si>
    <t>五、其他综合收益的税后净额</t>
  </si>
  <si>
    <t xml:space="preserve">    （一）不能重分类进损益的其他综合收益</t>
  </si>
  <si>
    <t xml:space="preserve">      1.重新计量设定受益计划变动额</t>
  </si>
  <si>
    <t xml:space="preserve">      2.权益法下不能转损益的其它综合收益</t>
  </si>
  <si>
    <t xml:space="preserve">      3.其他权益工具投资公允价值变动</t>
  </si>
  <si>
    <t xml:space="preserve">      4.企业自身信用风险公允价值变动</t>
  </si>
  <si>
    <t xml:space="preserve">       ……</t>
  </si>
  <si>
    <t xml:space="preserve">    （二）将重分类进损益的其它综合收益</t>
  </si>
  <si>
    <t xml:space="preserve">       1.权益法下可转损益的其他综合收益</t>
  </si>
  <si>
    <t xml:space="preserve">       2.其他债权投资公允价值变动</t>
  </si>
  <si>
    <t xml:space="preserve">       3.金额资产重分类计入其他综合收益的金额</t>
  </si>
  <si>
    <t xml:space="preserve">       4.其他债权投资信用减值准备</t>
  </si>
  <si>
    <t xml:space="preserve">       5.现金流量套期储备</t>
  </si>
  <si>
    <t xml:space="preserve">       6. 外币财务报表折算差额</t>
  </si>
  <si>
    <t>六、综合收益总额</t>
  </si>
  <si>
    <t>七、每股收益</t>
  </si>
  <si>
    <t xml:space="preserve">    （一）基本每股收益</t>
  </si>
  <si>
    <t xml:space="preserve">    （二）稀释每股收益</t>
  </si>
  <si>
    <t>现金流量表</t>
  </si>
  <si>
    <t>会企03表</t>
  </si>
  <si>
    <t>本年发生数</t>
  </si>
  <si>
    <t>一、经营活动产生的现金流量</t>
  </si>
  <si>
    <t xml:space="preserve">        销售商品、提供劳务收到的现金</t>
  </si>
  <si>
    <t xml:space="preserve">        收到的税费返还</t>
  </si>
  <si>
    <t xml:space="preserve">        收到其他与经营活动有关的现金</t>
  </si>
  <si>
    <t xml:space="preserve">     经营活动现金流入小计</t>
  </si>
  <si>
    <t xml:space="preserve">        购买商品、接受劳务支付的现金</t>
  </si>
  <si>
    <t xml:space="preserve">        支付给职工以及为职工支付的现金</t>
  </si>
  <si>
    <t xml:space="preserve">        支付的各项税费</t>
  </si>
  <si>
    <t xml:space="preserve">        支付其他与经营活动有关的现金</t>
  </si>
  <si>
    <t xml:space="preserve">    经营活动现金流出小计</t>
  </si>
  <si>
    <t xml:space="preserve">    经营活动产生的现金流量净额</t>
  </si>
  <si>
    <t>二、投资活动产生的现金流量：</t>
  </si>
  <si>
    <t xml:space="preserve">        收回投资收到的现金</t>
  </si>
  <si>
    <t xml:space="preserve">        取得投资收益收到的现金</t>
  </si>
  <si>
    <t xml:space="preserve">        处置固定资产、无形资产和其他长期资产收回的现金净额</t>
  </si>
  <si>
    <t xml:space="preserve">        处置子公司及其他营业单位收到的现金净额</t>
  </si>
  <si>
    <t xml:space="preserve">        收到其他与投资活动有关的现金</t>
  </si>
  <si>
    <t xml:space="preserve">    投资活动现金流入小计</t>
  </si>
  <si>
    <t xml:space="preserve">        购建固定资产、无形资产和其他长期资产支付的现金</t>
  </si>
  <si>
    <t xml:space="preserve">        投资支付的现金</t>
  </si>
  <si>
    <t xml:space="preserve">        取得子公司及其他营业单位支付的现金净额</t>
  </si>
  <si>
    <t xml:space="preserve">        支付其他与投资活动有关的现金</t>
  </si>
  <si>
    <t xml:space="preserve">    投资活动现金流出小计</t>
  </si>
  <si>
    <t xml:space="preserve">    投资活动产生的现金流量净额</t>
  </si>
  <si>
    <t>三、筹资活动产生的现金流量：</t>
  </si>
  <si>
    <t xml:space="preserve">        吸收投资收到的现金</t>
  </si>
  <si>
    <t xml:space="preserve">        取得借款收到的现金</t>
  </si>
  <si>
    <t xml:space="preserve">        收到其他与筹资活动有关的现金</t>
  </si>
  <si>
    <t xml:space="preserve">    筹资活动现金流入小计</t>
  </si>
  <si>
    <t xml:space="preserve">        偿还债务支付的现金</t>
  </si>
  <si>
    <t xml:space="preserve">        分配股利、利润或偿付利息支付的现金</t>
  </si>
  <si>
    <t xml:space="preserve">        支付其他与筹资活动有关的现金</t>
  </si>
  <si>
    <t xml:space="preserve">    筹资活动现金流出小计</t>
  </si>
  <si>
    <t xml:space="preserve">    筹资活动产生的现金流量净额</t>
  </si>
  <si>
    <t>四、汇率变动对现金及现金等价物的影响</t>
  </si>
  <si>
    <t>五、现金及现金等价物净增加额</t>
  </si>
  <si>
    <t xml:space="preserve">    加：期初现金及现金等价物余额</t>
  </si>
  <si>
    <t>六、期末现金及现金等价物余额</t>
  </si>
  <si>
    <t>币别:人民币</t>
  </si>
  <si>
    <t>账簿:上海君康联杰企业管理有限公司</t>
  </si>
  <si>
    <t>期间:2026.1 -- 2026.4</t>
  </si>
  <si>
    <t>科目编码</t>
  </si>
  <si>
    <t>科目名称</t>
  </si>
  <si>
    <t>核算维度编码</t>
  </si>
  <si>
    <t>核算维度名称</t>
  </si>
  <si>
    <t>期初余额</t>
  </si>
  <si>
    <t>本期发生</t>
  </si>
  <si>
    <t>本年累计</t>
  </si>
  <si>
    <t>期末余额</t>
  </si>
  <si>
    <t>借方</t>
  </si>
  <si>
    <t>贷方</t>
  </si>
  <si>
    <t>1002</t>
  </si>
  <si>
    <t>银行存款</t>
  </si>
  <si>
    <t>1002.01</t>
  </si>
  <si>
    <t>　　中国农业银行</t>
  </si>
  <si>
    <t>1002.01.01</t>
  </si>
  <si>
    <t>　　　　浦东分行03_340300040033018</t>
  </si>
  <si>
    <t>1002.02</t>
  </si>
  <si>
    <t>　　天津银行</t>
  </si>
  <si>
    <t>1002.02.01</t>
  </si>
  <si>
    <t>　　　　上海分行120110101000084466</t>
  </si>
  <si>
    <t>1123</t>
  </si>
  <si>
    <t>预付账款</t>
  </si>
  <si>
    <t>1123.01</t>
  </si>
  <si>
    <t>　　供应商</t>
  </si>
  <si>
    <t>1123.01.01</t>
  </si>
  <si>
    <t>　　　　供应商</t>
  </si>
  <si>
    <t>A10010010</t>
  </si>
  <si>
    <t>供应商-上海浦东威立雅自来水有限公司</t>
  </si>
  <si>
    <t>A10010014</t>
  </si>
  <si>
    <t>供应商-京天轮（北京）文化有限公司</t>
  </si>
  <si>
    <t>A10010015</t>
  </si>
  <si>
    <t>供应商-苏州工业园区优频科技有限公司</t>
  </si>
  <si>
    <t>A10010016</t>
  </si>
  <si>
    <t>供应商-邦奇智能科技（上海）股份有限公司</t>
  </si>
  <si>
    <t>A10010019</t>
  </si>
  <si>
    <t>供应商-国网上海市电力公司</t>
  </si>
  <si>
    <t>1221</t>
  </si>
  <si>
    <t>其他应收款</t>
  </si>
  <si>
    <t>1221.02</t>
  </si>
  <si>
    <t>　　供应商往来</t>
  </si>
  <si>
    <t>1221.02.01</t>
  </si>
  <si>
    <t>　　　　供应商往来</t>
  </si>
  <si>
    <t>A10010003</t>
  </si>
  <si>
    <t>供应商-上海凡申企业管理中心（有限合伙）</t>
  </si>
  <si>
    <t>1221.02.02</t>
  </si>
  <si>
    <t>　　　　预付账款</t>
  </si>
  <si>
    <t>A10010001</t>
  </si>
  <si>
    <t>供应商-上海大业房地产开发有限公司</t>
  </si>
  <si>
    <t>A10010002</t>
  </si>
  <si>
    <t>供应商-上海凡弘企业管理中心（有限合伙）</t>
  </si>
  <si>
    <t>1221.03</t>
  </si>
  <si>
    <t>　　员工往来</t>
  </si>
  <si>
    <t>1221.03.01</t>
  </si>
  <si>
    <t>　　　　员工借款</t>
  </si>
  <si>
    <t>002</t>
  </si>
  <si>
    <t>刘晓云</t>
  </si>
  <si>
    <t>1221.04</t>
  </si>
  <si>
    <t>　　公司间往来</t>
  </si>
  <si>
    <t>1221.04.01</t>
  </si>
  <si>
    <t>　　　　公司间往来</t>
  </si>
  <si>
    <t>001</t>
  </si>
  <si>
    <t>君康人寿保险股份有限公司</t>
  </si>
  <si>
    <t>1221.06</t>
  </si>
  <si>
    <t>　　案件诉讼费</t>
  </si>
  <si>
    <t>1221.06.01</t>
  </si>
  <si>
    <t>　　　　辽宁省沈阳市中级人民法院</t>
  </si>
  <si>
    <t>1231</t>
  </si>
  <si>
    <t>坏账准备</t>
  </si>
  <si>
    <t>1231.01</t>
  </si>
  <si>
    <t>　　其他应收款</t>
  </si>
  <si>
    <t>1231.01.02</t>
  </si>
  <si>
    <t>1231.01.06</t>
  </si>
  <si>
    <t>　　　　案件诉讼费</t>
  </si>
  <si>
    <t>1231.03</t>
  </si>
  <si>
    <t>　　预付账款</t>
  </si>
  <si>
    <t>1231.03.01</t>
  </si>
  <si>
    <t>1471</t>
  </si>
  <si>
    <t>存货跌价准备</t>
  </si>
  <si>
    <t>1471.01</t>
  </si>
  <si>
    <t>　　开发成本</t>
  </si>
  <si>
    <t>1604</t>
  </si>
  <si>
    <t>在建工程</t>
  </si>
  <si>
    <t>1604.01</t>
  </si>
  <si>
    <t>　　在建工程</t>
  </si>
  <si>
    <t>1604.01.01</t>
  </si>
  <si>
    <t>　　　　建筑工程</t>
  </si>
  <si>
    <t>【未录入】</t>
  </si>
  <si>
    <t>1604.01.03</t>
  </si>
  <si>
    <t>　　　　其他</t>
  </si>
  <si>
    <t>1604.02</t>
  </si>
  <si>
    <t>　　减值准备</t>
  </si>
  <si>
    <t>2202</t>
  </si>
  <si>
    <t>应付账款</t>
  </si>
  <si>
    <t>2202.02</t>
  </si>
  <si>
    <t>　　明细应付款</t>
  </si>
  <si>
    <t>2202.02.01</t>
  </si>
  <si>
    <t>　　　　非关联方</t>
  </si>
  <si>
    <t>A10010034</t>
  </si>
  <si>
    <t>供应商-上海金石律师事务所</t>
  </si>
  <si>
    <t>2211</t>
  </si>
  <si>
    <t>应付职工薪酬</t>
  </si>
  <si>
    <t>2211.01</t>
  </si>
  <si>
    <t>　　工资</t>
  </si>
  <si>
    <t>2211.01.01</t>
  </si>
  <si>
    <t>　　　　基本工资</t>
  </si>
  <si>
    <t>2211.01.02</t>
  </si>
  <si>
    <t>　　　　绩效奖金</t>
  </si>
  <si>
    <t>2211.03</t>
  </si>
  <si>
    <t>　　社会保障费用</t>
  </si>
  <si>
    <t>2211.03.01</t>
  </si>
  <si>
    <t>　　　　养老保险</t>
  </si>
  <si>
    <t>2211.03.02</t>
  </si>
  <si>
    <t>　　　　医疗保险</t>
  </si>
  <si>
    <t>2211.03.04</t>
  </si>
  <si>
    <t>　　　　工伤保险</t>
  </si>
  <si>
    <t>2211.03.05</t>
  </si>
  <si>
    <t>　　　　失业保险</t>
  </si>
  <si>
    <t>2211.04</t>
  </si>
  <si>
    <t>　　住房公积金</t>
  </si>
  <si>
    <t>2211.04.01</t>
  </si>
  <si>
    <t>　　　　住房公积金</t>
  </si>
  <si>
    <t>2221</t>
  </si>
  <si>
    <t>应交税费</t>
  </si>
  <si>
    <t>2221.01</t>
  </si>
  <si>
    <t>　　应交增值税</t>
  </si>
  <si>
    <t>2221.01.01</t>
  </si>
  <si>
    <t>　　　　进项税额</t>
  </si>
  <si>
    <t>2221.01.04</t>
  </si>
  <si>
    <t>　　　　进项税额转出</t>
  </si>
  <si>
    <t>2221.09</t>
  </si>
  <si>
    <t>　　应交土地使用税</t>
  </si>
  <si>
    <t>2221.09.01</t>
  </si>
  <si>
    <t>　　　　土地使用税</t>
  </si>
  <si>
    <t>2221.13</t>
  </si>
  <si>
    <t>　　代扣个人所得税</t>
  </si>
  <si>
    <t>2221.13.01</t>
  </si>
  <si>
    <t>　　　　个人所得税</t>
  </si>
  <si>
    <t>2241</t>
  </si>
  <si>
    <t>其他应付款</t>
  </si>
  <si>
    <t>2241.02</t>
  </si>
  <si>
    <t>2241.02.01</t>
  </si>
  <si>
    <t>2241.03</t>
  </si>
  <si>
    <t>2241.03.02</t>
  </si>
  <si>
    <t>　　　　员工往来</t>
  </si>
  <si>
    <t>邰艳丽</t>
  </si>
  <si>
    <t>2241.99</t>
  </si>
  <si>
    <t>　　其他</t>
  </si>
  <si>
    <t>2241.99.01</t>
  </si>
  <si>
    <t>　　　　社会保障费用</t>
  </si>
  <si>
    <t>2241.99.02</t>
  </si>
  <si>
    <t>2241.99.03</t>
  </si>
  <si>
    <t>2801</t>
  </si>
  <si>
    <t>预计负债</t>
  </si>
  <si>
    <t>2801.01</t>
  </si>
  <si>
    <t>　　诉讼</t>
  </si>
  <si>
    <t>4001</t>
  </si>
  <si>
    <t>实收资本</t>
  </si>
  <si>
    <t>4001.01</t>
  </si>
  <si>
    <t>　　实收资本</t>
  </si>
  <si>
    <t>4001.01.01</t>
  </si>
  <si>
    <t>　　　　原始投入</t>
  </si>
  <si>
    <t>4103</t>
  </si>
  <si>
    <t>本年利润</t>
  </si>
  <si>
    <t>4103.01</t>
  </si>
  <si>
    <t>　　本年利润</t>
  </si>
  <si>
    <t>4103.01.01</t>
  </si>
  <si>
    <t>　　　　本年利润</t>
  </si>
  <si>
    <t>5401</t>
  </si>
  <si>
    <t>开发成本</t>
  </si>
  <si>
    <t>5401.02</t>
  </si>
  <si>
    <t>　　前期开发费</t>
  </si>
  <si>
    <t>5401.02.01</t>
  </si>
  <si>
    <t>　　　　设计费</t>
  </si>
  <si>
    <t>10401</t>
  </si>
  <si>
    <t>工程管理中心-设计开发部</t>
  </si>
  <si>
    <t>5401.02.02</t>
  </si>
  <si>
    <t>　　　　可行性研究</t>
  </si>
  <si>
    <t>10402</t>
  </si>
  <si>
    <t>工程管理中心-工程管理部</t>
  </si>
  <si>
    <t>5401.02.08</t>
  </si>
  <si>
    <t>　　　　咨询费</t>
  </si>
  <si>
    <t>5401.02.09</t>
  </si>
  <si>
    <t>　　　　临时用水费</t>
  </si>
  <si>
    <t>5401.02.10</t>
  </si>
  <si>
    <t>　　　　临时用电费</t>
  </si>
  <si>
    <t>5401.03</t>
  </si>
  <si>
    <t>　　基础设施费</t>
  </si>
  <si>
    <t>5401.03.06</t>
  </si>
  <si>
    <t>　　　　环卫</t>
  </si>
  <si>
    <t>5401.03.07</t>
  </si>
  <si>
    <t>　　　　绿化及景观</t>
  </si>
  <si>
    <t>5401.04</t>
  </si>
  <si>
    <t>　　建筑安装费</t>
  </si>
  <si>
    <t>5401.04.02</t>
  </si>
  <si>
    <t>　　　　土建工程</t>
  </si>
  <si>
    <t>5401.04.03</t>
  </si>
  <si>
    <t>　　　　室外总体</t>
  </si>
  <si>
    <t>5401.04.04</t>
  </si>
  <si>
    <t>　　　　设备及安装费用</t>
  </si>
  <si>
    <t>5401.04.06</t>
  </si>
  <si>
    <t>　　　　施工用电费</t>
  </si>
  <si>
    <t>5401.04.09</t>
  </si>
  <si>
    <t>　　　　监理费</t>
  </si>
  <si>
    <t>5401.04.10</t>
  </si>
  <si>
    <t>　　　　装修费</t>
  </si>
  <si>
    <t>5401.04.11</t>
  </si>
  <si>
    <t>　　　　工程管理费</t>
  </si>
  <si>
    <t>5401.04.99</t>
  </si>
  <si>
    <t>5401.07</t>
  </si>
  <si>
    <t>　　开发间接费</t>
  </si>
  <si>
    <t>5401.07.01</t>
  </si>
  <si>
    <t>　　　　管理服务费</t>
  </si>
  <si>
    <t>5401.07.02</t>
  </si>
  <si>
    <t>6301</t>
  </si>
  <si>
    <t>营业外收入</t>
  </si>
  <si>
    <t>6301.01</t>
  </si>
  <si>
    <t>　　营业外收入</t>
  </si>
  <si>
    <t>6301.01.99</t>
  </si>
  <si>
    <t>6403</t>
  </si>
  <si>
    <t>税金及附加</t>
  </si>
  <si>
    <t>6403.06</t>
  </si>
  <si>
    <t>　　土地使用税</t>
  </si>
  <si>
    <t>6403.06.01</t>
  </si>
  <si>
    <t>10302</t>
  </si>
  <si>
    <t>行政财务部-财务部门</t>
  </si>
  <si>
    <t>6602</t>
  </si>
  <si>
    <t>管理费用</t>
  </si>
  <si>
    <t>6602.01</t>
  </si>
  <si>
    <t>6602.01.01</t>
  </si>
  <si>
    <t>10301</t>
  </si>
  <si>
    <t>行政财务部-行政人事部</t>
  </si>
  <si>
    <t>6602.03</t>
  </si>
  <si>
    <t>6602.03.01</t>
  </si>
  <si>
    <t>6602.03.02</t>
  </si>
  <si>
    <t>6602.03.04</t>
  </si>
  <si>
    <t>6602.03.05</t>
  </si>
  <si>
    <t>6602.04</t>
  </si>
  <si>
    <t>6602.04.01</t>
  </si>
  <si>
    <t>6602.11</t>
  </si>
  <si>
    <t>　　经营费用</t>
  </si>
  <si>
    <t>6602.11.02</t>
  </si>
  <si>
    <t>　　　　快递费</t>
  </si>
  <si>
    <t>6602.11.04</t>
  </si>
  <si>
    <t>　　　　律师服务费</t>
  </si>
  <si>
    <t>6602.11.11</t>
  </si>
  <si>
    <t>　　　　业务招待费</t>
  </si>
  <si>
    <t>6603</t>
  </si>
  <si>
    <t>财务费用</t>
  </si>
  <si>
    <t>6603.01</t>
  </si>
  <si>
    <t>　　财务费用</t>
  </si>
  <si>
    <t>6603.01.02</t>
  </si>
  <si>
    <t>　　　　利息收入</t>
  </si>
  <si>
    <t>6603.01.04</t>
  </si>
  <si>
    <t>　　　　手续费</t>
  </si>
  <si>
    <t>合计</t>
  </si>
  <si>
    <t>往来对象名称</t>
  </si>
  <si>
    <t>会计科目</t>
  </si>
  <si>
    <t>往来项目说明</t>
  </si>
  <si>
    <t>款项形成日期</t>
  </si>
  <si>
    <t>应收金额</t>
  </si>
  <si>
    <t>减值准备</t>
  </si>
  <si>
    <t>应收净额</t>
  </si>
  <si>
    <t>上海凡弘企业管理中心（有限合伙）</t>
  </si>
  <si>
    <t>支付工程咨询款</t>
  </si>
  <si>
    <t>上海大业房地产开发有限公司</t>
  </si>
  <si>
    <t>收到汇款</t>
  </si>
  <si>
    <t>上海凡申企业管理中心（有限合伙）</t>
  </si>
  <si>
    <t>支付合同款</t>
  </si>
  <si>
    <t>收到往来款</t>
  </si>
  <si>
    <t>辽宁省沈阳市中级人民法院</t>
  </si>
  <si>
    <t>其他应收款_案件诉讼费_辽宁省沈阳市中级人民法院</t>
  </si>
  <si>
    <t>预交上诉案件诉讼费用 联杰起诉大业</t>
  </si>
  <si>
    <t>预交上诉案件诉讼费用 联杰起诉凡申、凡世</t>
  </si>
  <si>
    <t>预交上诉案件诉讼费用 联杰起诉凡弘、凡世</t>
  </si>
  <si>
    <t>预交上诉案件诉讼费用 联杰起诉上海凡申</t>
  </si>
  <si>
    <t>支付案件诉讼费 联杰上诉范臣（2023）辽民初1859号</t>
  </si>
  <si>
    <t>支付案件受理费 联杰上诉凡申（2024）辽01民初1878号</t>
  </si>
  <si>
    <t>其他应收款_公司间往来_公司间往来</t>
  </si>
  <si>
    <t>资金调拨</t>
  </si>
  <si>
    <t>其他应收款_员工往来_员工借款</t>
  </si>
  <si>
    <t>备用金</t>
  </si>
  <si>
    <t>管理费用明细账</t>
  </si>
  <si>
    <t>单位名称：上海君康联杰企业管理有限公司</t>
  </si>
  <si>
    <t>科目代码</t>
  </si>
  <si>
    <t>日期</t>
  </si>
  <si>
    <t>业务日期</t>
  </si>
  <si>
    <t>凭证字号</t>
  </si>
  <si>
    <t>参考信息</t>
  </si>
  <si>
    <t>摘要</t>
  </si>
  <si>
    <t>业务编号</t>
  </si>
  <si>
    <t>结算方式</t>
  </si>
  <si>
    <t>结算号</t>
  </si>
  <si>
    <t>对方科目</t>
  </si>
  <si>
    <t>系统模块</t>
  </si>
  <si>
    <t>业务描述</t>
  </si>
  <si>
    <t>借方金额</t>
  </si>
  <si>
    <t>贷方金额</t>
  </si>
  <si>
    <t>方向</t>
  </si>
  <si>
    <t>余额</t>
  </si>
  <si>
    <t>2020-1-1</t>
  </si>
  <si>
    <t>平</t>
  </si>
  <si>
    <t>计提2026年4月份工资</t>
  </si>
  <si>
    <t>2026-04-30</t>
  </si>
  <si>
    <t>记-5</t>
  </si>
  <si>
    <t>计提2026年4月份公司养老保险</t>
  </si>
  <si>
    <t>计提2026年4月份公司医疗保险</t>
  </si>
  <si>
    <t>计提2026年4月份公司工伤保险</t>
  </si>
  <si>
    <t>计提2026年4月份公司失业保险</t>
  </si>
  <si>
    <t>计提2026年4月份公司公积金</t>
  </si>
  <si>
    <t>报销邰艳丽 业务招待费</t>
  </si>
  <si>
    <t>记-10</t>
  </si>
  <si>
    <t>记-11</t>
  </si>
  <si>
    <t>冲计提2026年3月份工资</t>
  </si>
  <si>
    <t>记-14</t>
  </si>
  <si>
    <t>据实计提2026年3月份工资</t>
  </si>
  <si>
    <t>结转损益</t>
  </si>
  <si>
    <t>应付金额</t>
  </si>
  <si>
    <t>履约保证金</t>
  </si>
  <si>
    <t>国家税务总局上海市闵行区税务局第一税务所</t>
  </si>
  <si>
    <t>计提2026年3月个人所得税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</si>
</sst>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;@"/>
    <numFmt numFmtId="177" formatCode="#,##0.00_ "/>
  </numFmts>
  <fonts count="33">
    <font>
      <sz val="11"/>
      <name val="宋体"/>
      <charset val="1"/>
    </font>
    <font>
      <sz val="8"/>
      <color theme="1"/>
      <name val="宋体"/>
      <charset val="134"/>
    </font>
    <font>
      <sz val="8"/>
      <name val="宋体"/>
      <charset val="134"/>
    </font>
    <font>
      <b/>
      <sz val="8"/>
      <name val="宋体"/>
      <charset val="134"/>
    </font>
    <font>
      <sz val="8"/>
      <color theme="1"/>
      <name val="宋体"/>
      <charset val="134"/>
      <scheme val="minor"/>
    </font>
    <font>
      <b/>
      <sz val="8"/>
      <name val="宋体"/>
      <charset val="134"/>
      <scheme val="minor"/>
    </font>
    <font>
      <sz val="8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4"/>
      <name val="宋体"/>
      <charset val="1"/>
    </font>
    <font>
      <b/>
      <sz val="11"/>
      <name val="宋体"/>
      <charset val="1"/>
    </font>
    <font>
      <b/>
      <sz val="8"/>
      <name val="宋体"/>
      <charset val="1"/>
    </font>
    <font>
      <sz val="8"/>
      <name val="宋体"/>
      <charset val="1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12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3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17" applyNumberFormat="0" applyAlignment="0" applyProtection="0">
      <alignment vertical="center"/>
    </xf>
    <xf numFmtId="0" fontId="22" fillId="5" borderId="18" applyNumberFormat="0" applyAlignment="0" applyProtection="0">
      <alignment vertical="center"/>
    </xf>
    <xf numFmtId="0" fontId="23" fillId="5" borderId="17" applyNumberFormat="0" applyAlignment="0" applyProtection="0">
      <alignment vertical="center"/>
    </xf>
    <xf numFmtId="0" fontId="24" fillId="6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0" fillId="0" borderId="0">
      <alignment vertical="top"/>
      <protection locked="0"/>
    </xf>
    <xf numFmtId="0" fontId="32" fillId="0" borderId="0">
      <alignment vertical="center"/>
    </xf>
    <xf numFmtId="0" fontId="12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0" fontId="32" fillId="0" borderId="0">
      <alignment vertical="top"/>
      <protection locked="0"/>
    </xf>
  </cellStyleXfs>
  <cellXfs count="65">
    <xf numFmtId="0" fontId="0" fillId="0" borderId="0" xfId="49" applyFont="1" applyFill="1" applyBorder="1" applyAlignment="1" applyProtection="1">
      <alignment vertical="top"/>
      <protection locked="0"/>
    </xf>
    <xf numFmtId="0" fontId="1" fillId="0" borderId="0" xfId="50" applyFont="1">
      <alignment vertical="center"/>
    </xf>
    <xf numFmtId="0" fontId="2" fillId="0" borderId="0" xfId="53" applyFont="1">
      <alignment vertical="top"/>
      <protection locked="0"/>
    </xf>
    <xf numFmtId="49" fontId="3" fillId="2" borderId="1" xfId="51" applyNumberFormat="1" applyFont="1" applyFill="1" applyBorder="1" applyAlignment="1">
      <alignment horizontal="center" vertical="center" wrapText="1"/>
    </xf>
    <xf numFmtId="49" fontId="3" fillId="2" borderId="2" xfId="51" applyNumberFormat="1" applyFont="1" applyFill="1" applyBorder="1" applyAlignment="1">
      <alignment horizontal="center" vertical="center" wrapText="1"/>
    </xf>
    <xf numFmtId="176" fontId="3" fillId="2" borderId="2" xfId="51" applyNumberFormat="1" applyFont="1" applyFill="1" applyBorder="1" applyAlignment="1">
      <alignment horizontal="center" vertical="center" wrapText="1"/>
    </xf>
    <xf numFmtId="43" fontId="3" fillId="2" borderId="2" xfId="52" applyFont="1" applyFill="1" applyBorder="1" applyAlignment="1">
      <alignment horizontal="center" vertical="center" wrapText="1"/>
    </xf>
    <xf numFmtId="0" fontId="1" fillId="0" borderId="3" xfId="50" applyFont="1" applyBorder="1">
      <alignment vertical="center"/>
    </xf>
    <xf numFmtId="14" fontId="1" fillId="0" borderId="3" xfId="50" applyNumberFormat="1" applyFont="1" applyBorder="1">
      <alignment vertical="center"/>
    </xf>
    <xf numFmtId="177" fontId="1" fillId="0" borderId="3" xfId="50" applyNumberFormat="1" applyFont="1" applyBorder="1">
      <alignment vertical="center"/>
    </xf>
    <xf numFmtId="43" fontId="1" fillId="0" borderId="0" xfId="50" applyNumberFormat="1" applyFont="1">
      <alignment vertical="center"/>
    </xf>
    <xf numFmtId="43" fontId="4" fillId="0" borderId="0" xfId="50" applyNumberFormat="1" applyFont="1" applyAlignment="1"/>
    <xf numFmtId="0" fontId="4" fillId="0" borderId="0" xfId="50" applyFont="1" applyAlignment="1"/>
    <xf numFmtId="0" fontId="4" fillId="0" borderId="0" xfId="50" applyFont="1" applyAlignment="1">
      <alignment wrapText="1"/>
    </xf>
    <xf numFmtId="43" fontId="4" fillId="0" borderId="0" xfId="52" applyFont="1" applyAlignment="1"/>
    <xf numFmtId="0" fontId="5" fillId="0" borderId="0" xfId="50" applyFont="1" applyAlignment="1">
      <alignment horizontal="center"/>
    </xf>
    <xf numFmtId="0" fontId="5" fillId="0" borderId="0" xfId="50" applyFont="1" applyAlignment="1">
      <alignment horizontal="center" wrapText="1"/>
    </xf>
    <xf numFmtId="57" fontId="6" fillId="0" borderId="0" xfId="50" applyNumberFormat="1" applyFont="1" applyAlignment="1">
      <alignment horizontal="center"/>
    </xf>
    <xf numFmtId="57" fontId="6" fillId="0" borderId="0" xfId="50" applyNumberFormat="1" applyFont="1" applyAlignment="1">
      <alignment horizontal="center" wrapText="1"/>
    </xf>
    <xf numFmtId="0" fontId="6" fillId="0" borderId="0" xfId="50" applyFont="1" applyAlignment="1"/>
    <xf numFmtId="43" fontId="4" fillId="0" borderId="0" xfId="50" applyNumberFormat="1" applyFont="1" applyAlignment="1">
      <alignment wrapText="1"/>
    </xf>
    <xf numFmtId="43" fontId="4" fillId="0" borderId="0" xfId="52" applyFont="1" applyBorder="1" applyAlignment="1"/>
    <xf numFmtId="43" fontId="4" fillId="0" borderId="3" xfId="52" applyFont="1" applyBorder="1" applyAlignment="1"/>
    <xf numFmtId="43" fontId="4" fillId="0" borderId="3" xfId="52" applyFont="1" applyBorder="1" applyAlignment="1">
      <alignment wrapText="1"/>
    </xf>
    <xf numFmtId="0" fontId="4" fillId="0" borderId="3" xfId="52" applyNumberFormat="1" applyFont="1" applyBorder="1" applyAlignment="1">
      <alignment horizontal="left"/>
    </xf>
    <xf numFmtId="49" fontId="4" fillId="0" borderId="3" xfId="52" applyNumberFormat="1" applyFont="1" applyBorder="1" applyAlignment="1"/>
    <xf numFmtId="43" fontId="3" fillId="2" borderId="4" xfId="52" applyFont="1" applyFill="1" applyBorder="1" applyAlignment="1">
      <alignment horizontal="center" vertical="center" wrapText="1"/>
    </xf>
    <xf numFmtId="4" fontId="1" fillId="0" borderId="3" xfId="50" applyNumberFormat="1" applyFont="1" applyBorder="1">
      <alignment vertical="center"/>
    </xf>
    <xf numFmtId="4" fontId="1" fillId="0" borderId="5" xfId="50" applyNumberFormat="1" applyFont="1" applyBorder="1" applyAlignment="1">
      <alignment horizontal="center" vertical="center"/>
    </xf>
    <xf numFmtId="4" fontId="1" fillId="0" borderId="6" xfId="50" applyNumberFormat="1" applyFont="1" applyBorder="1" applyAlignment="1">
      <alignment horizontal="center" vertical="center"/>
    </xf>
    <xf numFmtId="4" fontId="1" fillId="0" borderId="7" xfId="5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>
      <alignment vertical="center"/>
    </xf>
    <xf numFmtId="4" fontId="7" fillId="0" borderId="3" xfId="0" applyNumberFormat="1" applyFont="1" applyBorder="1" applyAlignment="1"/>
    <xf numFmtId="0" fontId="0" fillId="0" borderId="0" xfId="49" applyFont="1" applyFill="1" applyBorder="1" applyAlignment="1" applyProtection="1">
      <protection locked="0"/>
    </xf>
    <xf numFmtId="0" fontId="8" fillId="0" borderId="0" xfId="49" applyFont="1" applyFill="1" applyBorder="1" applyAlignment="1" applyProtection="1">
      <alignment horizontal="center" vertical="center"/>
      <protection locked="0"/>
    </xf>
    <xf numFmtId="0" fontId="9" fillId="0" borderId="0" xfId="49" applyFont="1" applyFill="1" applyBorder="1" applyAlignment="1" applyProtection="1">
      <protection locked="0"/>
    </xf>
    <xf numFmtId="0" fontId="10" fillId="0" borderId="0" xfId="49" applyFont="1" applyFill="1" applyBorder="1" applyAlignment="1" applyProtection="1">
      <alignment horizontal="right"/>
      <protection locked="0"/>
    </xf>
    <xf numFmtId="0" fontId="10" fillId="0" borderId="0" xfId="49" applyFont="1" applyFill="1" applyBorder="1" applyAlignment="1" applyProtection="1">
      <protection locked="0"/>
    </xf>
    <xf numFmtId="0" fontId="11" fillId="0" borderId="0" xfId="49" applyFont="1" applyFill="1" applyBorder="1" applyAlignment="1" applyProtection="1">
      <protection locked="0"/>
    </xf>
    <xf numFmtId="0" fontId="10" fillId="0" borderId="8" xfId="49" applyFont="1" applyFill="1" applyBorder="1" applyAlignment="1" applyProtection="1">
      <alignment horizontal="center"/>
      <protection locked="0"/>
    </xf>
    <xf numFmtId="0" fontId="11" fillId="0" borderId="9" xfId="49" applyFont="1" applyFill="1" applyBorder="1" applyAlignment="1" applyProtection="1">
      <alignment horizontal="center"/>
      <protection locked="0"/>
    </xf>
    <xf numFmtId="0" fontId="11" fillId="0" borderId="10" xfId="49" applyFont="1" applyFill="1" applyBorder="1" applyAlignment="1" applyProtection="1">
      <protection locked="0"/>
    </xf>
    <xf numFmtId="4" fontId="11" fillId="0" borderId="11" xfId="49" applyNumberFormat="1" applyFont="1" applyFill="1" applyBorder="1" applyAlignment="1" applyProtection="1">
      <protection locked="0"/>
    </xf>
    <xf numFmtId="4" fontId="11" fillId="0" borderId="11" xfId="49" applyNumberFormat="1" applyFont="1" applyFill="1" applyBorder="1" applyAlignment="1" applyProtection="1">
      <alignment horizontal="right"/>
      <protection locked="0"/>
    </xf>
    <xf numFmtId="0" fontId="8" fillId="0" borderId="0" xfId="49" applyFont="1" applyFill="1" applyBorder="1" applyAlignment="1" applyProtection="1">
      <alignment horizontal="center"/>
      <protection locked="0"/>
    </xf>
    <xf numFmtId="0" fontId="11" fillId="0" borderId="0" xfId="49" applyFont="1" applyFill="1" applyBorder="1" applyAlignment="1" applyProtection="1">
      <alignment horizontal="right"/>
      <protection locked="0"/>
    </xf>
    <xf numFmtId="0" fontId="10" fillId="0" borderId="8" xfId="49" applyFont="1" applyFill="1" applyBorder="1" applyAlignment="1" applyProtection="1">
      <protection locked="0"/>
    </xf>
    <xf numFmtId="0" fontId="11" fillId="0" borderId="8" xfId="49" applyFont="1" applyFill="1" applyBorder="1" applyAlignment="1" applyProtection="1">
      <alignment horizontal="center"/>
      <protection locked="0"/>
    </xf>
    <xf numFmtId="0" fontId="11" fillId="0" borderId="9" xfId="49" applyFont="1" applyFill="1" applyBorder="1" applyAlignment="1" applyProtection="1">
      <alignment horizontal="center"/>
      <protection locked="0"/>
    </xf>
    <xf numFmtId="0" fontId="11" fillId="0" borderId="11" xfId="49" applyFont="1" applyFill="1" applyBorder="1" applyAlignment="1" applyProtection="1">
      <protection locked="0"/>
    </xf>
    <xf numFmtId="4" fontId="11" fillId="0" borderId="11" xfId="49" applyNumberFormat="1" applyFont="1" applyFill="1" applyBorder="1" applyAlignment="1" applyProtection="1">
      <protection locked="0"/>
    </xf>
    <xf numFmtId="0" fontId="11" fillId="0" borderId="10" xfId="49" applyFont="1" applyFill="1" applyBorder="1" applyAlignment="1" applyProtection="1">
      <protection locked="0"/>
    </xf>
    <xf numFmtId="4" fontId="11" fillId="0" borderId="11" xfId="49" applyNumberFormat="1" applyFont="1" applyFill="1" applyBorder="1" applyAlignment="1" applyProtection="1">
      <alignment horizontal="right"/>
      <protection locked="0"/>
    </xf>
    <xf numFmtId="0" fontId="11" fillId="0" borderId="11" xfId="49" applyFont="1" applyFill="1" applyBorder="1" applyAlignment="1" applyProtection="1">
      <protection locked="0"/>
    </xf>
    <xf numFmtId="0" fontId="11" fillId="0" borderId="12" xfId="49" applyFont="1" applyFill="1" applyBorder="1" applyAlignment="1" applyProtection="1">
      <protection locked="0"/>
    </xf>
    <xf numFmtId="4" fontId="11" fillId="0" borderId="13" xfId="49" applyNumberFormat="1" applyFont="1" applyFill="1" applyBorder="1" applyAlignment="1" applyProtection="1">
      <alignment horizontal="right"/>
      <protection locked="0"/>
    </xf>
    <xf numFmtId="0" fontId="11" fillId="0" borderId="13" xfId="49" applyFont="1" applyFill="1" applyBorder="1" applyAlignment="1" applyProtection="1">
      <protection locked="0"/>
    </xf>
    <xf numFmtId="0" fontId="11" fillId="0" borderId="8" xfId="49" applyFont="1" applyFill="1" applyBorder="1" applyAlignment="1" applyProtection="1">
      <protection locked="0"/>
    </xf>
    <xf numFmtId="4" fontId="11" fillId="0" borderId="9" xfId="49" applyNumberFormat="1" applyFont="1" applyFill="1" applyBorder="1" applyAlignment="1" applyProtection="1">
      <protection locked="0"/>
    </xf>
    <xf numFmtId="0" fontId="11" fillId="0" borderId="9" xfId="49" applyFont="1" applyFill="1" applyBorder="1" applyAlignment="1" applyProtection="1">
      <protection locked="0"/>
    </xf>
    <xf numFmtId="4" fontId="11" fillId="0" borderId="9" xfId="49" applyNumberFormat="1" applyFont="1" applyFill="1" applyBorder="1" applyAlignment="1" applyProtection="1">
      <alignment horizontal="right"/>
      <protection locked="0"/>
    </xf>
    <xf numFmtId="4" fontId="11" fillId="0" borderId="13" xfId="49" applyNumberFormat="1" applyFont="1" applyFill="1" applyBorder="1" applyAlignment="1" applyProtection="1">
      <protection locked="0"/>
    </xf>
    <xf numFmtId="0" fontId="11" fillId="0" borderId="11" xfId="49" applyFont="1" applyFill="1" applyBorder="1" applyAlignment="1" applyProtection="1">
      <alignment horizontal="center"/>
      <protection locked="0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常规 3" xfId="50"/>
    <cellStyle name="常规 2 2" xfId="51"/>
    <cellStyle name="千位分隔 2" xfId="52"/>
    <cellStyle name="Normal 2" xfId="53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3"/>
  <sheetViews>
    <sheetView tabSelected="1" workbookViewId="0">
      <selection activeCell="A1" sqref="A1:F1"/>
    </sheetView>
  </sheetViews>
  <sheetFormatPr defaultColWidth="8.57272727272727" defaultRowHeight="15" customHeight="1" outlineLevelCol="5"/>
  <cols>
    <col min="1" max="1" width="31.1363636363636" style="35" customWidth="1"/>
    <col min="2" max="3" width="21.5727272727273" style="35" customWidth="1"/>
    <col min="4" max="4" width="40.1363636363636" style="35" customWidth="1"/>
    <col min="5" max="6" width="21.4272727272727" style="35" customWidth="1"/>
    <col min="7" max="16384" width="8.57272727272727" style="35" customWidth="1"/>
  </cols>
  <sheetData>
    <row r="1" ht="32.25" customHeight="1" spans="1:6">
      <c r="A1" s="46" t="s">
        <v>0</v>
      </c>
    </row>
    <row r="2" ht="18" customHeight="1" spans="1:6">
      <c r="A2" s="40"/>
      <c r="C2" s="47" t="s">
        <v>1</v>
      </c>
      <c r="D2" s="40" t="s">
        <v>2</v>
      </c>
      <c r="E2" s="40"/>
      <c r="F2" s="40" t="s">
        <v>3</v>
      </c>
    </row>
    <row r="3" ht="18" customHeight="1" spans="1:6">
      <c r="A3" s="40" t="s">
        <v>4</v>
      </c>
      <c r="B3" s="40" t="s">
        <v>5</v>
      </c>
      <c r="C3" s="40"/>
      <c r="D3" s="40"/>
      <c r="E3" s="40"/>
      <c r="F3" s="40" t="s">
        <v>6</v>
      </c>
    </row>
    <row r="4" customHeight="1" spans="1:6">
      <c r="A4" s="49" t="s">
        <v>7</v>
      </c>
      <c r="B4" s="42" t="s">
        <v>8</v>
      </c>
      <c r="C4" s="42" t="s">
        <v>9</v>
      </c>
      <c r="D4" s="42" t="s">
        <v>7</v>
      </c>
      <c r="E4" s="50" t="s">
        <v>8</v>
      </c>
      <c r="F4" s="42" t="s">
        <v>9</v>
      </c>
    </row>
    <row r="5" customHeight="1" spans="1:6">
      <c r="A5" s="43" t="s">
        <v>10</v>
      </c>
      <c r="B5" s="44"/>
      <c r="C5" s="44"/>
      <c r="D5" s="51" t="s">
        <v>11</v>
      </c>
      <c r="E5" s="52"/>
      <c r="F5" s="44"/>
    </row>
    <row r="6" customHeight="1" spans="1:6">
      <c r="A6" s="53" t="s">
        <v>12</v>
      </c>
      <c r="B6" s="54">
        <v>387970.87</v>
      </c>
      <c r="C6" s="54">
        <v>701816.15</v>
      </c>
      <c r="D6" s="55" t="s">
        <v>13</v>
      </c>
      <c r="E6" s="45">
        <v>0</v>
      </c>
      <c r="F6" s="45">
        <v>0</v>
      </c>
    </row>
    <row r="7" customHeight="1" spans="1:6">
      <c r="A7" s="43" t="s">
        <v>14</v>
      </c>
      <c r="B7" s="45">
        <v>0</v>
      </c>
      <c r="C7" s="45">
        <v>0</v>
      </c>
      <c r="D7" s="51" t="s">
        <v>15</v>
      </c>
      <c r="E7" s="45">
        <v>0</v>
      </c>
      <c r="F7" s="45">
        <v>0</v>
      </c>
    </row>
    <row r="8" customHeight="1" spans="1:6">
      <c r="A8" s="43" t="s">
        <v>16</v>
      </c>
      <c r="B8" s="45">
        <v>0</v>
      </c>
      <c r="C8" s="45">
        <v>0</v>
      </c>
      <c r="D8" s="51" t="s">
        <v>17</v>
      </c>
      <c r="E8" s="45">
        <v>0</v>
      </c>
      <c r="F8" s="45">
        <v>0</v>
      </c>
    </row>
    <row r="9" customHeight="1" spans="1:6">
      <c r="A9" s="43" t="s">
        <v>18</v>
      </c>
      <c r="B9" s="45">
        <v>0</v>
      </c>
      <c r="C9" s="45">
        <v>0</v>
      </c>
      <c r="D9" s="51" t="s">
        <v>19</v>
      </c>
      <c r="E9" s="45">
        <v>0</v>
      </c>
      <c r="F9" s="45">
        <v>0</v>
      </c>
    </row>
    <row r="10" customHeight="1" spans="1:6">
      <c r="A10" s="43" t="s">
        <v>20</v>
      </c>
      <c r="B10" s="45">
        <v>10206.4700000001</v>
      </c>
      <c r="C10" s="45">
        <v>10553.54</v>
      </c>
      <c r="D10" s="51" t="s">
        <v>21</v>
      </c>
      <c r="E10" s="45">
        <v>0</v>
      </c>
      <c r="F10" s="45">
        <v>0</v>
      </c>
    </row>
    <row r="11" customHeight="1" spans="1:6">
      <c r="A11" s="43" t="s">
        <v>22</v>
      </c>
      <c r="B11" s="45">
        <v>100196976.69</v>
      </c>
      <c r="C11" s="45">
        <v>100048451.69</v>
      </c>
      <c r="D11" s="51" t="s">
        <v>23</v>
      </c>
      <c r="E11" s="45"/>
      <c r="F11" s="45"/>
    </row>
    <row r="12" customHeight="1" spans="1:6">
      <c r="A12" s="43" t="s">
        <v>24</v>
      </c>
      <c r="B12" s="45">
        <v>18285.2100000009</v>
      </c>
      <c r="C12" s="45">
        <v>0</v>
      </c>
      <c r="D12" s="51" t="s">
        <v>25</v>
      </c>
      <c r="E12" s="45">
        <v>58228.34</v>
      </c>
      <c r="F12" s="45">
        <v>58228.34</v>
      </c>
    </row>
    <row r="13" customHeight="1" spans="1:6">
      <c r="A13" s="43" t="s">
        <v>26</v>
      </c>
      <c r="B13" s="45"/>
      <c r="C13" s="45"/>
      <c r="D13" s="51" t="s">
        <v>27</v>
      </c>
      <c r="E13" s="45">
        <v>3.57630369762774e-9</v>
      </c>
      <c r="F13" s="45">
        <v>660.490000013113</v>
      </c>
    </row>
    <row r="14" customHeight="1" spans="1:6">
      <c r="A14" s="43" t="s">
        <v>28</v>
      </c>
      <c r="B14" s="45">
        <v>0</v>
      </c>
      <c r="C14" s="45">
        <v>0</v>
      </c>
      <c r="D14" s="51" t="s">
        <v>29</v>
      </c>
      <c r="E14" s="45">
        <v>3000197.67</v>
      </c>
      <c r="F14" s="45">
        <v>3000000</v>
      </c>
    </row>
    <row r="15" customHeight="1" spans="1:6">
      <c r="A15" s="43" t="s">
        <v>30</v>
      </c>
      <c r="B15" s="45"/>
      <c r="C15" s="45"/>
      <c r="D15" s="51" t="s">
        <v>31</v>
      </c>
      <c r="E15" s="45">
        <v>0</v>
      </c>
      <c r="F15" s="45">
        <v>0</v>
      </c>
    </row>
    <row r="16" customHeight="1" spans="1:6">
      <c r="A16" s="43" t="s">
        <v>32</v>
      </c>
      <c r="B16" s="45">
        <v>0</v>
      </c>
      <c r="C16" s="45">
        <v>0</v>
      </c>
      <c r="D16" s="51" t="s">
        <v>33</v>
      </c>
      <c r="E16" s="45"/>
      <c r="F16" s="45"/>
    </row>
    <row r="17" customHeight="1" spans="1:6">
      <c r="A17" s="43" t="s">
        <v>34</v>
      </c>
      <c r="B17" s="45">
        <v>100613439.24</v>
      </c>
      <c r="C17" s="45">
        <v>100760821.38</v>
      </c>
      <c r="D17" s="51" t="s">
        <v>35</v>
      </c>
      <c r="E17" s="45">
        <v>0</v>
      </c>
      <c r="F17" s="45">
        <v>0</v>
      </c>
    </row>
    <row r="18" customHeight="1" spans="1:6">
      <c r="A18" s="43" t="s">
        <v>36</v>
      </c>
      <c r="B18" s="45"/>
      <c r="C18" s="45"/>
      <c r="D18" s="51" t="s">
        <v>37</v>
      </c>
      <c r="E18" s="45">
        <v>3058426.01</v>
      </c>
      <c r="F18" s="45">
        <v>3058888.83000001</v>
      </c>
    </row>
    <row r="19" customHeight="1" spans="1:6">
      <c r="A19" s="43" t="s">
        <v>38</v>
      </c>
      <c r="B19" s="44"/>
      <c r="C19" s="44"/>
      <c r="D19" s="51" t="s">
        <v>39</v>
      </c>
      <c r="E19" s="45"/>
      <c r="F19" s="45"/>
    </row>
    <row r="20" customHeight="1" spans="1:6">
      <c r="A20" s="43" t="s">
        <v>40</v>
      </c>
      <c r="B20" s="45"/>
      <c r="C20" s="45"/>
      <c r="D20" s="51" t="s">
        <v>41</v>
      </c>
      <c r="E20" s="45">
        <v>0</v>
      </c>
      <c r="F20" s="45">
        <v>0</v>
      </c>
    </row>
    <row r="21" customHeight="1" spans="1:6">
      <c r="A21" s="43" t="s">
        <v>42</v>
      </c>
      <c r="B21" s="45">
        <v>0</v>
      </c>
      <c r="C21" s="45">
        <v>0</v>
      </c>
      <c r="D21" s="51" t="s">
        <v>43</v>
      </c>
      <c r="E21" s="45">
        <v>0</v>
      </c>
      <c r="F21" s="45">
        <v>0</v>
      </c>
    </row>
    <row r="22" customHeight="1" spans="1:6">
      <c r="A22" s="43" t="s">
        <v>44</v>
      </c>
      <c r="B22" s="45">
        <v>0</v>
      </c>
      <c r="C22" s="45">
        <v>0</v>
      </c>
      <c r="D22" s="51" t="s">
        <v>45</v>
      </c>
      <c r="E22" s="44"/>
      <c r="F22" s="44"/>
    </row>
    <row r="23" customHeight="1" spans="1:6">
      <c r="A23" s="43" t="s">
        <v>46</v>
      </c>
      <c r="B23" s="45"/>
      <c r="C23" s="45"/>
      <c r="D23" s="51" t="s">
        <v>47</v>
      </c>
      <c r="E23" s="45"/>
      <c r="F23" s="45"/>
    </row>
    <row r="24" customHeight="1" spans="1:6">
      <c r="A24" s="43" t="s">
        <v>48</v>
      </c>
      <c r="B24" s="45"/>
      <c r="C24" s="45"/>
      <c r="D24" s="51" t="s">
        <v>49</v>
      </c>
      <c r="E24" s="45">
        <v>0</v>
      </c>
      <c r="F24" s="45">
        <v>0</v>
      </c>
    </row>
    <row r="25" customHeight="1" spans="1:6">
      <c r="A25" s="43" t="s">
        <v>50</v>
      </c>
      <c r="B25" s="45">
        <v>0</v>
      </c>
      <c r="C25" s="45">
        <v>0</v>
      </c>
      <c r="D25" s="51" t="s">
        <v>51</v>
      </c>
      <c r="E25" s="45">
        <v>60250594.88</v>
      </c>
      <c r="F25" s="45">
        <v>60250594.88</v>
      </c>
    </row>
    <row r="26" customHeight="1" spans="1:6">
      <c r="A26" s="43" t="s">
        <v>52</v>
      </c>
      <c r="B26" s="45">
        <v>0</v>
      </c>
      <c r="C26" s="45">
        <v>0</v>
      </c>
      <c r="D26" s="51" t="s">
        <v>53</v>
      </c>
      <c r="E26" s="45">
        <v>0</v>
      </c>
      <c r="F26" s="45">
        <v>0</v>
      </c>
    </row>
    <row r="27" customHeight="1" spans="1:6">
      <c r="A27" s="43" t="s">
        <v>54</v>
      </c>
      <c r="B27" s="45">
        <v>1294953996.4</v>
      </c>
      <c r="C27" s="45">
        <v>1294953996.4</v>
      </c>
      <c r="D27" s="51" t="s">
        <v>55</v>
      </c>
      <c r="E27" s="45">
        <v>0</v>
      </c>
      <c r="F27" s="45">
        <v>0</v>
      </c>
    </row>
    <row r="28" customHeight="1" spans="1:6">
      <c r="A28" s="43" t="s">
        <v>56</v>
      </c>
      <c r="B28" s="45">
        <v>0</v>
      </c>
      <c r="C28" s="45">
        <v>0</v>
      </c>
      <c r="D28" s="51" t="s">
        <v>57</v>
      </c>
      <c r="E28" s="45"/>
      <c r="F28" s="45"/>
    </row>
    <row r="29" customHeight="1" spans="1:6">
      <c r="A29" s="43" t="s">
        <v>58</v>
      </c>
      <c r="B29" s="45">
        <v>0</v>
      </c>
      <c r="C29" s="45">
        <v>0</v>
      </c>
      <c r="D29" s="51" t="s">
        <v>59</v>
      </c>
      <c r="E29" s="45">
        <v>60250594.88</v>
      </c>
      <c r="F29" s="45">
        <v>60250594.88</v>
      </c>
    </row>
    <row r="30" customHeight="1" spans="1:6">
      <c r="A30" s="43" t="s">
        <v>60</v>
      </c>
      <c r="B30" s="45">
        <v>0</v>
      </c>
      <c r="C30" s="45">
        <v>0</v>
      </c>
      <c r="D30" s="51" t="s">
        <v>61</v>
      </c>
      <c r="E30" s="45">
        <v>63309020.89</v>
      </c>
      <c r="F30" s="45">
        <v>63309483.71</v>
      </c>
    </row>
    <row r="31" customHeight="1" spans="1:6">
      <c r="A31" s="43" t="s">
        <v>62</v>
      </c>
      <c r="B31" s="45">
        <v>0</v>
      </c>
      <c r="C31" s="45">
        <v>0</v>
      </c>
      <c r="D31" s="51" t="s">
        <v>63</v>
      </c>
      <c r="E31" s="45"/>
      <c r="F31" s="45"/>
    </row>
    <row r="32" customHeight="1" spans="1:6">
      <c r="A32" s="43" t="s">
        <v>64</v>
      </c>
      <c r="B32" s="45">
        <v>0</v>
      </c>
      <c r="C32" s="45">
        <v>0</v>
      </c>
      <c r="D32" s="51" t="s">
        <v>65</v>
      </c>
      <c r="E32" s="45">
        <v>3610000000</v>
      </c>
      <c r="F32" s="45">
        <v>3610000000</v>
      </c>
    </row>
    <row r="33" customHeight="1" spans="1:6">
      <c r="A33" s="43" t="s">
        <v>66</v>
      </c>
      <c r="B33" s="45">
        <v>0</v>
      </c>
      <c r="C33" s="45">
        <v>0</v>
      </c>
      <c r="D33" s="51" t="s">
        <v>67</v>
      </c>
      <c r="E33" s="45">
        <v>0</v>
      </c>
      <c r="F33" s="45">
        <v>0</v>
      </c>
    </row>
    <row r="34" customHeight="1" spans="1:6">
      <c r="A34" s="43" t="s">
        <v>68</v>
      </c>
      <c r="B34" s="45">
        <v>0</v>
      </c>
      <c r="C34" s="45">
        <v>0</v>
      </c>
      <c r="D34" s="51" t="s">
        <v>45</v>
      </c>
      <c r="E34" s="44"/>
      <c r="F34" s="44"/>
    </row>
    <row r="35" customHeight="1" spans="1:6">
      <c r="A35" s="43" t="s">
        <v>69</v>
      </c>
      <c r="B35" s="45">
        <v>137332097.87</v>
      </c>
      <c r="C35" s="45">
        <v>137326397.46</v>
      </c>
      <c r="D35" s="51" t="s">
        <v>70</v>
      </c>
      <c r="E35" s="45"/>
      <c r="F35" s="45"/>
    </row>
    <row r="36" customHeight="1" spans="1:6">
      <c r="A36" s="43" t="s">
        <v>71</v>
      </c>
      <c r="B36" s="45">
        <v>1432286094.27</v>
      </c>
      <c r="C36" s="45">
        <v>1432280393.86</v>
      </c>
      <c r="D36" s="51" t="s">
        <v>72</v>
      </c>
      <c r="E36" s="45">
        <v>0</v>
      </c>
      <c r="F36" s="45">
        <v>0</v>
      </c>
    </row>
    <row r="37" customHeight="1" spans="1:6">
      <c r="A37" s="56"/>
      <c r="B37" s="57"/>
      <c r="C37" s="57"/>
      <c r="D37" s="58" t="s">
        <v>73</v>
      </c>
      <c r="E37" s="57">
        <v>0</v>
      </c>
      <c r="F37" s="57">
        <v>0</v>
      </c>
    </row>
    <row r="38" customHeight="1" spans="1:6">
      <c r="A38" s="59"/>
      <c r="B38" s="60"/>
      <c r="C38" s="60"/>
      <c r="D38" s="61" t="s">
        <v>74</v>
      </c>
      <c r="E38" s="62">
        <v>0</v>
      </c>
      <c r="F38" s="62">
        <v>0</v>
      </c>
    </row>
    <row r="39" customHeight="1" spans="1:6">
      <c r="A39" s="56"/>
      <c r="B39" s="63"/>
      <c r="C39" s="63"/>
      <c r="D39" s="58" t="s">
        <v>75</v>
      </c>
      <c r="E39" s="57">
        <v>0</v>
      </c>
      <c r="F39" s="57">
        <v>0</v>
      </c>
    </row>
    <row r="40" customHeight="1" spans="1:6">
      <c r="A40" s="59"/>
      <c r="B40" s="60"/>
      <c r="C40" s="60"/>
      <c r="D40" s="61" t="s">
        <v>76</v>
      </c>
      <c r="E40" s="62">
        <v>-2140409487.38</v>
      </c>
      <c r="F40" s="62">
        <v>-2140268268.47</v>
      </c>
    </row>
    <row r="41" customHeight="1" spans="1:6">
      <c r="A41" s="43"/>
      <c r="B41" s="44"/>
      <c r="C41" s="44"/>
      <c r="D41" s="51" t="s">
        <v>77</v>
      </c>
      <c r="E41" s="44"/>
      <c r="F41" s="44"/>
    </row>
    <row r="42" customHeight="1" spans="1:6">
      <c r="A42" s="43"/>
      <c r="B42" s="44"/>
      <c r="C42" s="44"/>
      <c r="D42" s="64" t="s">
        <v>78</v>
      </c>
      <c r="E42" s="45">
        <v>1469590512.62</v>
      </c>
      <c r="F42" s="45">
        <v>1469731731.53</v>
      </c>
    </row>
    <row r="43" customHeight="1" spans="1:6">
      <c r="A43" s="43" t="s">
        <v>79</v>
      </c>
      <c r="B43" s="45">
        <v>1532899533.51</v>
      </c>
      <c r="C43" s="45">
        <v>1533041215.24</v>
      </c>
      <c r="D43" s="51" t="s">
        <v>80</v>
      </c>
      <c r="E43" s="45">
        <v>1532899533.51</v>
      </c>
      <c r="F43" s="45">
        <v>1533041215.24</v>
      </c>
    </row>
  </sheetData>
  <mergeCells count="2">
    <mergeCell ref="A1:F1"/>
    <mergeCell ref="B3:D3"/>
  </mergeCells>
  <printOptions gridLines="1"/>
  <pageMargins left="0.59375" right="0.59375" top="0.625" bottom="0.625" header="0.260416656732559" footer="0.260416656732559"/>
  <pageSetup paperSize="9" orientation="portrait" blackAndWhite="1" useFirstPageNumber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8"/>
  <sheetViews>
    <sheetView workbookViewId="0">
      <selection activeCell="A1" sqref="A1:D1"/>
    </sheetView>
  </sheetViews>
  <sheetFormatPr defaultColWidth="8.57272727272727" defaultRowHeight="15" customHeight="1" outlineLevelCol="3"/>
  <cols>
    <col min="1" max="1" width="56.2909090909091" style="35" customWidth="1"/>
    <col min="2" max="2" width="24.2909090909091" style="35" customWidth="1"/>
    <col min="3" max="3" width="24" style="35" customWidth="1"/>
    <col min="4" max="4" width="24.2909090909091" style="35" customWidth="1"/>
    <col min="5" max="16384" width="8.57272727272727" style="35" customWidth="1"/>
  </cols>
  <sheetData>
    <row r="1" ht="31.5" customHeight="1" spans="1:4">
      <c r="A1" s="46" t="s">
        <v>81</v>
      </c>
    </row>
    <row r="2" customHeight="1" spans="1:4">
      <c r="A2" s="47" t="s">
        <v>82</v>
      </c>
      <c r="B2" s="47"/>
      <c r="C2" s="40"/>
      <c r="D2" s="47" t="s">
        <v>83</v>
      </c>
    </row>
    <row r="3" customHeight="1" spans="1:4">
      <c r="A3" s="40" t="s">
        <v>84</v>
      </c>
      <c r="B3" s="40"/>
      <c r="C3" s="40"/>
      <c r="D3" s="47" t="s">
        <v>6</v>
      </c>
    </row>
    <row r="4" customHeight="1" spans="1:4">
      <c r="A4" s="48" t="s">
        <v>7</v>
      </c>
      <c r="B4" s="42" t="s">
        <v>85</v>
      </c>
      <c r="C4" s="42" t="s">
        <v>86</v>
      </c>
      <c r="D4" s="42" t="s">
        <v>87</v>
      </c>
    </row>
    <row r="5" customHeight="1" spans="1:4">
      <c r="A5" s="43" t="s">
        <v>88</v>
      </c>
      <c r="B5" s="45">
        <v>0</v>
      </c>
      <c r="C5" s="45">
        <v>0</v>
      </c>
      <c r="D5" s="45">
        <v>0</v>
      </c>
    </row>
    <row r="6" customHeight="1" spans="1:4">
      <c r="A6" s="43" t="s">
        <v>89</v>
      </c>
      <c r="B6" s="45">
        <v>0</v>
      </c>
      <c r="C6" s="45">
        <v>0</v>
      </c>
      <c r="D6" s="45">
        <v>0</v>
      </c>
    </row>
    <row r="7" customHeight="1" spans="1:4">
      <c r="A7" s="43" t="s">
        <v>90</v>
      </c>
      <c r="B7" s="45">
        <v>42250.13</v>
      </c>
      <c r="C7" s="45">
        <v>84500.26</v>
      </c>
      <c r="D7" s="45">
        <v>84500.26</v>
      </c>
    </row>
    <row r="8" customHeight="1" spans="1:4">
      <c r="A8" s="43" t="s">
        <v>91</v>
      </c>
      <c r="B8" s="45">
        <v>0</v>
      </c>
      <c r="C8" s="45">
        <v>0</v>
      </c>
      <c r="D8" s="45">
        <v>0</v>
      </c>
    </row>
    <row r="9" customHeight="1" spans="1:4">
      <c r="A9" s="43" t="s">
        <v>92</v>
      </c>
      <c r="B9" s="45">
        <v>35343.78</v>
      </c>
      <c r="C9" s="45">
        <v>196837.37</v>
      </c>
      <c r="D9" s="45">
        <v>187750.55</v>
      </c>
    </row>
    <row r="10" customHeight="1" spans="1:4">
      <c r="A10" s="43" t="s">
        <v>93</v>
      </c>
      <c r="B10" s="44"/>
      <c r="C10" s="44"/>
      <c r="D10" s="45"/>
    </row>
    <row r="11" customHeight="1" spans="1:4">
      <c r="A11" s="43" t="s">
        <v>94</v>
      </c>
      <c r="B11" s="45">
        <v>0</v>
      </c>
      <c r="C11" s="45">
        <v>-139992.88</v>
      </c>
      <c r="D11" s="45">
        <v>-192519.93</v>
      </c>
    </row>
    <row r="12" customHeight="1" spans="1:4">
      <c r="A12" s="43" t="s">
        <v>95</v>
      </c>
      <c r="B12" s="44"/>
      <c r="C12" s="44"/>
      <c r="D12" s="45"/>
    </row>
    <row r="13" customHeight="1" spans="1:4">
      <c r="A13" s="43" t="s">
        <v>96</v>
      </c>
      <c r="B13" s="44">
        <v>0</v>
      </c>
      <c r="C13" s="44">
        <v>-143599.88</v>
      </c>
      <c r="D13" s="45">
        <v>-192813.65</v>
      </c>
    </row>
    <row r="14" customHeight="1" spans="1:4">
      <c r="A14" s="43" t="s">
        <v>97</v>
      </c>
      <c r="B14" s="45">
        <v>0</v>
      </c>
      <c r="C14" s="45">
        <v>0</v>
      </c>
      <c r="D14" s="45">
        <v>0</v>
      </c>
    </row>
    <row r="15" customHeight="1" spans="1:4">
      <c r="A15" s="43" t="s">
        <v>98</v>
      </c>
      <c r="B15" s="44"/>
      <c r="C15" s="44"/>
      <c r="D15" s="44"/>
    </row>
    <row r="16" customHeight="1" spans="1:4">
      <c r="A16" s="43" t="s">
        <v>99</v>
      </c>
      <c r="B16" s="45">
        <v>0</v>
      </c>
      <c r="C16" s="45">
        <v>0</v>
      </c>
      <c r="D16" s="45">
        <v>0</v>
      </c>
    </row>
    <row r="17" customHeight="1" spans="1:4">
      <c r="A17" s="43" t="s">
        <v>100</v>
      </c>
      <c r="B17" s="45">
        <v>0</v>
      </c>
      <c r="C17" s="45">
        <v>0</v>
      </c>
      <c r="D17" s="45">
        <v>0</v>
      </c>
    </row>
    <row r="18" customHeight="1" spans="1:4">
      <c r="A18" s="43" t="s">
        <v>101</v>
      </c>
      <c r="B18" s="44"/>
      <c r="C18" s="44"/>
      <c r="D18" s="45"/>
    </row>
    <row r="19" customHeight="1" spans="1:4">
      <c r="A19" s="43" t="s">
        <v>102</v>
      </c>
      <c r="B19" s="45">
        <v>0</v>
      </c>
      <c r="C19" s="45">
        <v>0</v>
      </c>
      <c r="D19" s="45">
        <v>0</v>
      </c>
    </row>
    <row r="20" customHeight="1" spans="1:4">
      <c r="A20" s="43" t="s">
        <v>103</v>
      </c>
      <c r="B20" s="45">
        <v>0</v>
      </c>
      <c r="C20" s="45">
        <v>0</v>
      </c>
      <c r="D20" s="45">
        <v>0</v>
      </c>
    </row>
    <row r="21" customHeight="1" spans="1:4">
      <c r="A21" s="43" t="s">
        <v>104</v>
      </c>
      <c r="B21" s="44"/>
      <c r="C21" s="44"/>
      <c r="D21" s="44"/>
    </row>
    <row r="22" customHeight="1" spans="1:4">
      <c r="A22" s="43" t="s">
        <v>105</v>
      </c>
      <c r="B22" s="45">
        <v>-77593.91</v>
      </c>
      <c r="C22" s="45">
        <v>-141344.75</v>
      </c>
      <c r="D22" s="45">
        <v>-79730.88</v>
      </c>
    </row>
    <row r="23" customHeight="1" spans="1:4">
      <c r="A23" s="43" t="s">
        <v>106</v>
      </c>
      <c r="B23" s="45">
        <v>0</v>
      </c>
      <c r="C23" s="45">
        <v>125.84</v>
      </c>
      <c r="D23" s="45">
        <v>141.85</v>
      </c>
    </row>
    <row r="24" customHeight="1" spans="1:4">
      <c r="A24" s="43" t="s">
        <v>107</v>
      </c>
      <c r="B24" s="45">
        <v>0</v>
      </c>
      <c r="C24" s="45">
        <v>0</v>
      </c>
      <c r="D24" s="45">
        <v>0</v>
      </c>
    </row>
    <row r="25" customHeight="1" spans="1:4">
      <c r="A25" s="43" t="s">
        <v>108</v>
      </c>
      <c r="B25" s="45">
        <v>-77593.91</v>
      </c>
      <c r="C25" s="45">
        <v>-141218.91</v>
      </c>
      <c r="D25" s="45">
        <v>-79589.03</v>
      </c>
    </row>
    <row r="26" customHeight="1" spans="1:4">
      <c r="A26" s="43" t="s">
        <v>109</v>
      </c>
      <c r="B26" s="45">
        <v>0</v>
      </c>
      <c r="C26" s="45">
        <v>0</v>
      </c>
      <c r="D26" s="45">
        <v>0</v>
      </c>
    </row>
    <row r="27" customHeight="1" spans="1:4">
      <c r="A27" s="43" t="s">
        <v>110</v>
      </c>
      <c r="B27" s="45">
        <v>-77593.91</v>
      </c>
      <c r="C27" s="45">
        <v>-141218.91</v>
      </c>
      <c r="D27" s="45">
        <v>-79589.03</v>
      </c>
    </row>
    <row r="28" customHeight="1" spans="1:4">
      <c r="A28" s="43" t="s">
        <v>111</v>
      </c>
      <c r="B28" s="44">
        <v>-77593.91</v>
      </c>
      <c r="C28" s="44">
        <v>-141218.91</v>
      </c>
      <c r="D28" s="45">
        <v>-79589.03</v>
      </c>
    </row>
    <row r="29" customHeight="1" spans="1:4">
      <c r="A29" s="43" t="s">
        <v>112</v>
      </c>
      <c r="B29" s="44"/>
      <c r="C29" s="44"/>
      <c r="D29" s="45"/>
    </row>
    <row r="30" customHeight="1" spans="1:4">
      <c r="A30" s="43" t="s">
        <v>113</v>
      </c>
      <c r="B30" s="45">
        <v>0</v>
      </c>
      <c r="C30" s="45">
        <v>0</v>
      </c>
      <c r="D30" s="45">
        <v>0</v>
      </c>
    </row>
    <row r="31" customHeight="1" spans="1:4">
      <c r="A31" s="43" t="s">
        <v>114</v>
      </c>
      <c r="B31" s="45">
        <v>0</v>
      </c>
      <c r="C31" s="45">
        <v>0</v>
      </c>
      <c r="D31" s="45">
        <v>0</v>
      </c>
    </row>
    <row r="32" customHeight="1" spans="1:4">
      <c r="A32" s="43" t="s">
        <v>115</v>
      </c>
      <c r="B32" s="45"/>
      <c r="C32" s="45"/>
      <c r="D32" s="45"/>
    </row>
    <row r="33" customHeight="1" spans="1:4">
      <c r="A33" s="43" t="s">
        <v>116</v>
      </c>
      <c r="B33" s="44"/>
      <c r="C33" s="44"/>
      <c r="D33" s="45"/>
    </row>
    <row r="34" customHeight="1" spans="1:4">
      <c r="A34" s="43" t="s">
        <v>117</v>
      </c>
      <c r="B34" s="44"/>
      <c r="C34" s="44"/>
      <c r="D34" s="44"/>
    </row>
    <row r="35" customHeight="1" spans="1:4">
      <c r="A35" s="43" t="s">
        <v>118</v>
      </c>
      <c r="B35" s="44"/>
      <c r="C35" s="44"/>
      <c r="D35" s="44"/>
    </row>
    <row r="36" customHeight="1" spans="1:4">
      <c r="A36" s="43" t="s">
        <v>119</v>
      </c>
      <c r="B36" s="44"/>
      <c r="C36" s="44"/>
      <c r="D36" s="45"/>
    </row>
    <row r="37" customHeight="1" spans="1:4">
      <c r="A37" s="43" t="s">
        <v>120</v>
      </c>
      <c r="B37" s="45">
        <v>0</v>
      </c>
      <c r="C37" s="45">
        <v>0</v>
      </c>
      <c r="D37" s="45">
        <v>0</v>
      </c>
    </row>
    <row r="38" customHeight="1" spans="1:4">
      <c r="A38" s="43" t="s">
        <v>121</v>
      </c>
      <c r="B38" s="44"/>
      <c r="C38" s="44"/>
      <c r="D38" s="45"/>
    </row>
    <row r="39" customHeight="1" spans="1:4">
      <c r="A39" s="43" t="s">
        <v>122</v>
      </c>
      <c r="B39" s="44"/>
      <c r="C39" s="44"/>
      <c r="D39" s="45"/>
    </row>
    <row r="40" customHeight="1" spans="1:4">
      <c r="A40" s="43" t="s">
        <v>123</v>
      </c>
      <c r="B40" s="44"/>
      <c r="C40" s="44"/>
      <c r="D40" s="45"/>
    </row>
    <row r="41" customHeight="1" spans="1:4">
      <c r="A41" s="43" t="s">
        <v>124</v>
      </c>
      <c r="B41" s="44"/>
      <c r="C41" s="44"/>
      <c r="D41" s="45"/>
    </row>
    <row r="42" customHeight="1" spans="1:4">
      <c r="A42" s="43" t="s">
        <v>125</v>
      </c>
      <c r="B42" s="44"/>
      <c r="C42" s="44"/>
      <c r="D42" s="44"/>
    </row>
    <row r="43" customHeight="1" spans="1:4">
      <c r="A43" s="43" t="s">
        <v>126</v>
      </c>
      <c r="B43" s="44"/>
      <c r="C43" s="44"/>
      <c r="D43" s="45"/>
    </row>
    <row r="44" customHeight="1" spans="1:4">
      <c r="A44" s="43" t="s">
        <v>119</v>
      </c>
      <c r="B44" s="44"/>
      <c r="C44" s="44"/>
      <c r="D44" s="45"/>
    </row>
    <row r="45" customHeight="1" spans="1:4">
      <c r="A45" s="43" t="s">
        <v>127</v>
      </c>
      <c r="B45" s="45">
        <v>-77593.91</v>
      </c>
      <c r="C45" s="45">
        <v>-141218.91</v>
      </c>
      <c r="D45" s="45">
        <v>-79589.03</v>
      </c>
    </row>
    <row r="46" customHeight="1" spans="1:4">
      <c r="A46" s="43" t="s">
        <v>128</v>
      </c>
      <c r="B46" s="44"/>
      <c r="C46" s="44"/>
      <c r="D46" s="45"/>
    </row>
    <row r="47" customHeight="1" spans="1:4">
      <c r="A47" s="43" t="s">
        <v>129</v>
      </c>
      <c r="B47" s="44"/>
      <c r="C47" s="44"/>
      <c r="D47" s="45"/>
    </row>
    <row r="48" customHeight="1" spans="1:4">
      <c r="A48" s="43" t="s">
        <v>130</v>
      </c>
      <c r="B48" s="44"/>
      <c r="C48" s="44"/>
      <c r="D48" s="45"/>
    </row>
  </sheetData>
  <mergeCells count="1">
    <mergeCell ref="A1:D1"/>
  </mergeCells>
  <printOptions gridLines="1"/>
  <pageMargins left="0.59375" right="0.59375" top="0.625" bottom="0.625" header="0.260416656732559" footer="0.260416656732559"/>
  <pageSetup paperSize="9" orientation="portrait" blackAndWhite="1" useFirstPageNumb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2"/>
  <sheetViews>
    <sheetView workbookViewId="0">
      <selection activeCell="A1" sqref="A1:D1"/>
    </sheetView>
  </sheetViews>
  <sheetFormatPr defaultColWidth="8.57272727272727" defaultRowHeight="15" customHeight="1" outlineLevelCol="3"/>
  <cols>
    <col min="1" max="1" width="67.7090909090909" style="35" customWidth="1"/>
    <col min="2" max="4" width="24.4272727272727" style="35" customWidth="1"/>
    <col min="5" max="16384" width="8.57272727272727" style="35" customWidth="1"/>
  </cols>
  <sheetData>
    <row r="1" ht="26.25" customHeight="1" spans="1:4">
      <c r="A1" s="36" t="s">
        <v>131</v>
      </c>
      <c r="B1" s="37"/>
      <c r="C1" s="37"/>
      <c r="D1" s="37"/>
    </row>
    <row r="2" customHeight="1" spans="1:4">
      <c r="A2" s="38" t="s">
        <v>82</v>
      </c>
      <c r="B2" s="39"/>
      <c r="C2" s="39"/>
      <c r="D2" s="38" t="s">
        <v>132</v>
      </c>
    </row>
    <row r="3" customHeight="1" spans="1:4">
      <c r="A3" s="40" t="s">
        <v>84</v>
      </c>
      <c r="B3" s="39"/>
      <c r="C3" s="39"/>
      <c r="D3" s="38" t="s">
        <v>6</v>
      </c>
    </row>
    <row r="4" customHeight="1" spans="1:4">
      <c r="A4" s="41" t="s">
        <v>7</v>
      </c>
      <c r="B4" s="42" t="s">
        <v>85</v>
      </c>
      <c r="C4" s="42" t="s">
        <v>133</v>
      </c>
      <c r="D4" s="42" t="s">
        <v>87</v>
      </c>
    </row>
    <row r="5" customHeight="1" spans="1:4">
      <c r="A5" s="43" t="s">
        <v>134</v>
      </c>
      <c r="B5" s="44"/>
      <c r="C5" s="44"/>
      <c r="D5" s="44"/>
    </row>
    <row r="6" customHeight="1" spans="1:4">
      <c r="A6" s="43" t="s">
        <v>135</v>
      </c>
      <c r="B6" s="45">
        <v>0</v>
      </c>
      <c r="C6" s="45">
        <v>0</v>
      </c>
      <c r="D6" s="44">
        <v>0</v>
      </c>
    </row>
    <row r="7" customHeight="1" spans="1:4">
      <c r="A7" s="43" t="s">
        <v>136</v>
      </c>
      <c r="B7" s="45">
        <v>0</v>
      </c>
      <c r="C7" s="45">
        <v>125.84</v>
      </c>
      <c r="D7" s="44">
        <v>141.85</v>
      </c>
    </row>
    <row r="8" customHeight="1" spans="1:4">
      <c r="A8" s="43" t="s">
        <v>137</v>
      </c>
      <c r="B8" s="45">
        <v>15242.16</v>
      </c>
      <c r="C8" s="45">
        <v>15717.04</v>
      </c>
      <c r="D8" s="44">
        <v>370110.86</v>
      </c>
    </row>
    <row r="9" customHeight="1" spans="1:4">
      <c r="A9" s="43" t="s">
        <v>138</v>
      </c>
      <c r="B9" s="45">
        <v>15242.16</v>
      </c>
      <c r="C9" s="45">
        <v>15842.88</v>
      </c>
      <c r="D9" s="44">
        <v>370252.71</v>
      </c>
    </row>
    <row r="10" customHeight="1" spans="1:4">
      <c r="A10" s="43" t="s">
        <v>139</v>
      </c>
      <c r="B10" s="45">
        <v>3989.67</v>
      </c>
      <c r="C10" s="45">
        <v>20240.34</v>
      </c>
      <c r="D10" s="44">
        <v>101890.49</v>
      </c>
    </row>
    <row r="11" customHeight="1" spans="1:4">
      <c r="A11" s="43" t="s">
        <v>140</v>
      </c>
      <c r="B11" s="45">
        <v>33917.11</v>
      </c>
      <c r="C11" s="45">
        <v>138062.56</v>
      </c>
      <c r="D11" s="44">
        <v>160822.68</v>
      </c>
    </row>
    <row r="12" customHeight="1" spans="1:4">
      <c r="A12" s="43" t="s">
        <v>141</v>
      </c>
      <c r="B12" s="45">
        <v>42430.24</v>
      </c>
      <c r="C12" s="45">
        <v>85799.08</v>
      </c>
      <c r="D12" s="44">
        <v>43595.31</v>
      </c>
    </row>
    <row r="13" customHeight="1" spans="1:4">
      <c r="A13" s="43" t="s">
        <v>142</v>
      </c>
      <c r="B13" s="45">
        <v>1229</v>
      </c>
      <c r="C13" s="45">
        <v>85586.18</v>
      </c>
      <c r="D13" s="44">
        <v>60882.92</v>
      </c>
    </row>
    <row r="14" customHeight="1" spans="1:4">
      <c r="A14" s="43" t="s">
        <v>143</v>
      </c>
      <c r="B14" s="45">
        <v>81566.02</v>
      </c>
      <c r="C14" s="45">
        <v>329688.16</v>
      </c>
      <c r="D14" s="44">
        <v>367191.4</v>
      </c>
    </row>
    <row r="15" customHeight="1" spans="1:4">
      <c r="A15" s="43" t="s">
        <v>144</v>
      </c>
      <c r="B15" s="45">
        <v>-66323.86</v>
      </c>
      <c r="C15" s="45">
        <v>-313845.28</v>
      </c>
      <c r="D15" s="44">
        <v>3061.31</v>
      </c>
    </row>
    <row r="16" customHeight="1" spans="1:4">
      <c r="A16" s="43" t="s">
        <v>145</v>
      </c>
      <c r="B16" s="44"/>
      <c r="C16" s="44"/>
      <c r="D16" s="44"/>
    </row>
    <row r="17" customHeight="1" spans="1:4">
      <c r="A17" s="43" t="s">
        <v>146</v>
      </c>
      <c r="B17" s="45">
        <v>0</v>
      </c>
      <c r="C17" s="45">
        <v>0</v>
      </c>
      <c r="D17" s="44">
        <v>0</v>
      </c>
    </row>
    <row r="18" customHeight="1" spans="1:4">
      <c r="A18" s="43" t="s">
        <v>147</v>
      </c>
      <c r="B18" s="45">
        <v>0</v>
      </c>
      <c r="C18" s="45">
        <v>0</v>
      </c>
      <c r="D18" s="44">
        <v>0</v>
      </c>
    </row>
    <row r="19" customHeight="1" spans="1:4">
      <c r="A19" s="43" t="s">
        <v>148</v>
      </c>
      <c r="B19" s="45">
        <v>0</v>
      </c>
      <c r="C19" s="45">
        <v>0</v>
      </c>
      <c r="D19" s="44">
        <v>0</v>
      </c>
    </row>
    <row r="20" customHeight="1" spans="1:4">
      <c r="A20" s="43" t="s">
        <v>149</v>
      </c>
      <c r="B20" s="45">
        <v>0</v>
      </c>
      <c r="C20" s="45">
        <v>0</v>
      </c>
      <c r="D20" s="44">
        <v>0</v>
      </c>
    </row>
    <row r="21" customHeight="1" spans="1:4">
      <c r="A21" s="43" t="s">
        <v>150</v>
      </c>
      <c r="B21" s="45">
        <v>0</v>
      </c>
      <c r="C21" s="45">
        <v>0</v>
      </c>
      <c r="D21" s="44">
        <v>0</v>
      </c>
    </row>
    <row r="22" customHeight="1" spans="1:4">
      <c r="A22" s="43" t="s">
        <v>151</v>
      </c>
      <c r="B22" s="45">
        <v>0</v>
      </c>
      <c r="C22" s="45">
        <v>0</v>
      </c>
      <c r="D22" s="44">
        <v>0</v>
      </c>
    </row>
    <row r="23" customHeight="1" spans="1:4">
      <c r="A23" s="43" t="s">
        <v>152</v>
      </c>
      <c r="B23" s="45">
        <v>0</v>
      </c>
      <c r="C23" s="45">
        <v>0</v>
      </c>
      <c r="D23" s="44">
        <v>0</v>
      </c>
    </row>
    <row r="24" customHeight="1" spans="1:4">
      <c r="A24" s="43" t="s">
        <v>153</v>
      </c>
      <c r="B24" s="45">
        <v>0</v>
      </c>
      <c r="C24" s="45">
        <v>0</v>
      </c>
      <c r="D24" s="44">
        <v>0</v>
      </c>
    </row>
    <row r="25" customHeight="1" spans="1:4">
      <c r="A25" s="43" t="s">
        <v>154</v>
      </c>
      <c r="B25" s="45">
        <v>0</v>
      </c>
      <c r="C25" s="45">
        <v>0</v>
      </c>
      <c r="D25" s="44">
        <v>0</v>
      </c>
    </row>
    <row r="26" customHeight="1" spans="1:4">
      <c r="A26" s="43" t="s">
        <v>155</v>
      </c>
      <c r="B26" s="45">
        <v>0</v>
      </c>
      <c r="C26" s="45">
        <v>0</v>
      </c>
      <c r="D26" s="44">
        <v>0</v>
      </c>
    </row>
    <row r="27" customHeight="1" spans="1:4">
      <c r="A27" s="43" t="s">
        <v>156</v>
      </c>
      <c r="B27" s="45">
        <v>0</v>
      </c>
      <c r="C27" s="45">
        <v>0</v>
      </c>
      <c r="D27" s="44">
        <v>0</v>
      </c>
    </row>
    <row r="28" customHeight="1" spans="1:4">
      <c r="A28" s="43" t="s">
        <v>157</v>
      </c>
      <c r="B28" s="45">
        <v>0</v>
      </c>
      <c r="C28" s="45">
        <v>0</v>
      </c>
      <c r="D28" s="44">
        <v>0</v>
      </c>
    </row>
    <row r="29" customHeight="1" spans="1:4">
      <c r="A29" s="43" t="s">
        <v>158</v>
      </c>
      <c r="B29" s="44"/>
      <c r="C29" s="44"/>
      <c r="D29" s="44"/>
    </row>
    <row r="30" customHeight="1" spans="1:4">
      <c r="A30" s="43" t="s">
        <v>159</v>
      </c>
      <c r="B30" s="45">
        <v>0</v>
      </c>
      <c r="C30" s="45">
        <v>0</v>
      </c>
      <c r="D30" s="44">
        <v>0</v>
      </c>
    </row>
    <row r="31" customHeight="1" spans="1:4">
      <c r="A31" s="43" t="s">
        <v>160</v>
      </c>
      <c r="B31" s="45">
        <v>0</v>
      </c>
      <c r="C31" s="45">
        <v>0</v>
      </c>
      <c r="D31" s="44">
        <v>0</v>
      </c>
    </row>
    <row r="32" customHeight="1" spans="1:4">
      <c r="A32" s="43" t="s">
        <v>161</v>
      </c>
      <c r="B32" s="45">
        <v>0</v>
      </c>
      <c r="C32" s="45">
        <v>0</v>
      </c>
      <c r="D32" s="44">
        <v>0</v>
      </c>
    </row>
    <row r="33" customHeight="1" spans="1:4">
      <c r="A33" s="43" t="s">
        <v>162</v>
      </c>
      <c r="B33" s="45">
        <v>0</v>
      </c>
      <c r="C33" s="45">
        <v>0</v>
      </c>
      <c r="D33" s="44">
        <v>0</v>
      </c>
    </row>
    <row r="34" customHeight="1" spans="1:4">
      <c r="A34" s="43" t="s">
        <v>163</v>
      </c>
      <c r="B34" s="45">
        <v>0</v>
      </c>
      <c r="C34" s="45">
        <v>0</v>
      </c>
      <c r="D34" s="44">
        <v>0</v>
      </c>
    </row>
    <row r="35" customHeight="1" spans="1:4">
      <c r="A35" s="43" t="s">
        <v>164</v>
      </c>
      <c r="B35" s="45">
        <v>0</v>
      </c>
      <c r="C35" s="45">
        <v>0</v>
      </c>
      <c r="D35" s="44">
        <v>0</v>
      </c>
    </row>
    <row r="36" customHeight="1" spans="1:4">
      <c r="A36" s="43" t="s">
        <v>165</v>
      </c>
      <c r="B36" s="45">
        <v>0</v>
      </c>
      <c r="C36" s="45">
        <v>0</v>
      </c>
      <c r="D36" s="44">
        <v>0</v>
      </c>
    </row>
    <row r="37" customHeight="1" spans="1:4">
      <c r="A37" s="43" t="s">
        <v>166</v>
      </c>
      <c r="B37" s="45">
        <v>0</v>
      </c>
      <c r="C37" s="45">
        <v>0</v>
      </c>
      <c r="D37" s="44">
        <v>0</v>
      </c>
    </row>
    <row r="38" customHeight="1" spans="1:4">
      <c r="A38" s="43" t="s">
        <v>167</v>
      </c>
      <c r="B38" s="45">
        <v>0</v>
      </c>
      <c r="C38" s="45">
        <v>0</v>
      </c>
      <c r="D38" s="44">
        <v>0</v>
      </c>
    </row>
    <row r="39" customHeight="1" spans="1:4">
      <c r="A39" s="43" t="s">
        <v>168</v>
      </c>
      <c r="B39" s="44"/>
      <c r="C39" s="44"/>
      <c r="D39" s="44">
        <v>0</v>
      </c>
    </row>
    <row r="40" customHeight="1" spans="1:4">
      <c r="A40" s="43" t="s">
        <v>169</v>
      </c>
      <c r="B40" s="45">
        <v>-66323.86</v>
      </c>
      <c r="C40" s="45">
        <v>-313845.28</v>
      </c>
      <c r="D40" s="44">
        <v>3061.31</v>
      </c>
    </row>
    <row r="41" customHeight="1" spans="1:4">
      <c r="A41" s="43" t="s">
        <v>170</v>
      </c>
      <c r="B41" s="44">
        <v>454294.73</v>
      </c>
      <c r="C41" s="44">
        <v>701816.15</v>
      </c>
      <c r="D41" s="44">
        <v>487968.88</v>
      </c>
    </row>
    <row r="42" customHeight="1" spans="1:4">
      <c r="A42" s="43" t="s">
        <v>171</v>
      </c>
      <c r="B42" s="45">
        <v>387970.87</v>
      </c>
      <c r="C42" s="45">
        <v>387970.87</v>
      </c>
      <c r="D42" s="44">
        <v>491030.19</v>
      </c>
    </row>
  </sheetData>
  <mergeCells count="1">
    <mergeCell ref="A1:D1"/>
  </mergeCells>
  <printOptions gridLines="1"/>
  <pageMargins left="0.59375" right="0.59375" top="0.625" bottom="0.625" header="0.260416656732559" footer="0.260416656732559"/>
  <pageSetup paperSize="9" orientation="portrait" blackAndWhite="1" useFirstPageNumber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1"/>
  <sheetViews>
    <sheetView zoomScale="75" zoomScaleNormal="75" workbookViewId="0">
      <selection activeCell="A1" sqref="A1"/>
    </sheetView>
  </sheetViews>
  <sheetFormatPr defaultColWidth="9" defaultRowHeight="14"/>
  <cols>
    <col min="1" max="1" width="12.9090909090909" style="31" customWidth="1"/>
    <col min="2" max="4" width="19.0636363636364" style="31" customWidth="1"/>
    <col min="5" max="6" width="18.5454545454545" style="31" customWidth="1"/>
    <col min="7" max="10" width="19.0636363636364" style="31" customWidth="1"/>
    <col min="11" max="12" width="18.5454545454545" style="31" customWidth="1"/>
    <col min="13" max="16384" width="9" style="31"/>
  </cols>
  <sheetData>
    <row r="1" ht="15" customHeight="1" spans="1:12">
      <c r="A1" s="31" t="s">
        <v>172</v>
      </c>
      <c r="B1" s="31" t="s">
        <v>173</v>
      </c>
      <c r="D1" s="31" t="s">
        <v>174</v>
      </c>
    </row>
    <row r="2" ht="15" customHeight="1" spans="1:12">
      <c r="A2" s="32" t="s">
        <v>175</v>
      </c>
      <c r="B2" s="32" t="s">
        <v>176</v>
      </c>
      <c r="C2" s="32" t="s">
        <v>177</v>
      </c>
      <c r="D2" s="32" t="s">
        <v>178</v>
      </c>
      <c r="E2" s="32" t="s">
        <v>179</v>
      </c>
      <c r="F2" s="33" t="s">
        <v>179</v>
      </c>
      <c r="G2" s="32" t="s">
        <v>180</v>
      </c>
      <c r="H2" s="33" t="s">
        <v>180</v>
      </c>
      <c r="I2" s="32" t="s">
        <v>181</v>
      </c>
      <c r="J2" s="33" t="s">
        <v>181</v>
      </c>
      <c r="K2" s="32" t="s">
        <v>182</v>
      </c>
      <c r="L2" s="33" t="s">
        <v>182</v>
      </c>
    </row>
    <row r="3" ht="15" customHeight="1" spans="1:12">
      <c r="A3" s="33" t="s">
        <v>175</v>
      </c>
      <c r="B3" s="33" t="s">
        <v>176</v>
      </c>
      <c r="C3" s="33" t="s">
        <v>177</v>
      </c>
      <c r="D3" s="33" t="s">
        <v>178</v>
      </c>
      <c r="E3" s="33" t="s">
        <v>183</v>
      </c>
      <c r="F3" s="33" t="s">
        <v>184</v>
      </c>
      <c r="G3" s="33" t="s">
        <v>183</v>
      </c>
      <c r="H3" s="33" t="s">
        <v>184</v>
      </c>
      <c r="I3" s="33" t="s">
        <v>183</v>
      </c>
      <c r="J3" s="33" t="s">
        <v>184</v>
      </c>
      <c r="K3" s="33" t="s">
        <v>183</v>
      </c>
      <c r="L3" s="33" t="s">
        <v>184</v>
      </c>
    </row>
    <row r="4" ht="15" customHeight="1" spans="1:12">
      <c r="A4" s="33" t="s">
        <v>185</v>
      </c>
      <c r="B4" s="33" t="s">
        <v>186</v>
      </c>
      <c r="C4" s="33"/>
      <c r="D4" s="33"/>
      <c r="E4" s="34">
        <v>701816.15</v>
      </c>
      <c r="F4" s="33"/>
      <c r="G4" s="34">
        <v>15842.88</v>
      </c>
      <c r="H4" s="34">
        <v>329688.16</v>
      </c>
      <c r="I4" s="34">
        <v>15842.88</v>
      </c>
      <c r="J4" s="34">
        <v>329688.16</v>
      </c>
      <c r="K4" s="34">
        <v>387970.87</v>
      </c>
      <c r="L4" s="33"/>
    </row>
    <row r="5" ht="15" customHeight="1" spans="1:12">
      <c r="A5" s="33" t="s">
        <v>187</v>
      </c>
      <c r="B5" s="33" t="s">
        <v>188</v>
      </c>
      <c r="C5" s="33"/>
      <c r="D5" s="33"/>
      <c r="E5" s="34">
        <v>378886.83</v>
      </c>
      <c r="F5" s="33"/>
      <c r="G5" s="34">
        <v>813.18</v>
      </c>
      <c r="H5" s="34">
        <v>182839.69</v>
      </c>
      <c r="I5" s="34">
        <v>813.18</v>
      </c>
      <c r="J5" s="34">
        <v>182839.69</v>
      </c>
      <c r="K5" s="34">
        <v>196860.32</v>
      </c>
      <c r="L5" s="33"/>
    </row>
    <row r="6" ht="15" customHeight="1" spans="1:12">
      <c r="A6" s="33" t="s">
        <v>189</v>
      </c>
      <c r="B6" s="33" t="s">
        <v>190</v>
      </c>
      <c r="C6" s="33"/>
      <c r="D6" s="33"/>
      <c r="E6" s="34">
        <v>378886.83</v>
      </c>
      <c r="F6" s="33"/>
      <c r="G6" s="34">
        <v>813.18</v>
      </c>
      <c r="H6" s="34">
        <v>182839.69</v>
      </c>
      <c r="I6" s="34">
        <v>813.18</v>
      </c>
      <c r="J6" s="34">
        <v>182839.69</v>
      </c>
      <c r="K6" s="34">
        <v>196860.32</v>
      </c>
      <c r="L6" s="33"/>
    </row>
    <row r="7" ht="15" customHeight="1" spans="1:12">
      <c r="A7" s="33" t="s">
        <v>191</v>
      </c>
      <c r="B7" s="33" t="s">
        <v>192</v>
      </c>
      <c r="C7" s="33"/>
      <c r="D7" s="33"/>
      <c r="E7" s="34">
        <v>322929.32</v>
      </c>
      <c r="F7" s="33"/>
      <c r="G7" s="34">
        <v>15029.7</v>
      </c>
      <c r="H7" s="34">
        <v>146848.47</v>
      </c>
      <c r="I7" s="34">
        <v>15029.7</v>
      </c>
      <c r="J7" s="34">
        <v>146848.47</v>
      </c>
      <c r="K7" s="34">
        <v>191110.55</v>
      </c>
      <c r="L7" s="33"/>
    </row>
    <row r="8" ht="15" customHeight="1" spans="1:12">
      <c r="A8" s="33" t="s">
        <v>193</v>
      </c>
      <c r="B8" s="33" t="s">
        <v>194</v>
      </c>
      <c r="C8" s="33"/>
      <c r="D8" s="33"/>
      <c r="E8" s="34">
        <v>322929.32</v>
      </c>
      <c r="F8" s="33"/>
      <c r="G8" s="34">
        <v>15029.7</v>
      </c>
      <c r="H8" s="34">
        <v>146848.47</v>
      </c>
      <c r="I8" s="34">
        <v>15029.7</v>
      </c>
      <c r="J8" s="34">
        <v>146848.47</v>
      </c>
      <c r="K8" s="34">
        <v>191110.55</v>
      </c>
      <c r="L8" s="33"/>
    </row>
    <row r="9" ht="15" customHeight="1" spans="1:12">
      <c r="A9" s="33" t="s">
        <v>195</v>
      </c>
      <c r="B9" s="33" t="s">
        <v>196</v>
      </c>
      <c r="C9" s="33"/>
      <c r="D9" s="33"/>
      <c r="E9" s="34">
        <v>585280.13</v>
      </c>
      <c r="F9" s="33"/>
      <c r="G9" s="34">
        <v>19088.34</v>
      </c>
      <c r="H9" s="34">
        <v>19435.41</v>
      </c>
      <c r="I9" s="34">
        <v>19088.34</v>
      </c>
      <c r="J9" s="34">
        <v>19435.41</v>
      </c>
      <c r="K9" s="34">
        <v>584933.06</v>
      </c>
      <c r="L9" s="33"/>
    </row>
    <row r="10" ht="15" customHeight="1" spans="1:12">
      <c r="A10" s="33" t="s">
        <v>197</v>
      </c>
      <c r="B10" s="33" t="s">
        <v>198</v>
      </c>
      <c r="C10" s="33"/>
      <c r="D10" s="33"/>
      <c r="E10" s="34">
        <v>585280.13</v>
      </c>
      <c r="F10" s="33"/>
      <c r="G10" s="34">
        <v>19088.34</v>
      </c>
      <c r="H10" s="34">
        <v>19435.41</v>
      </c>
      <c r="I10" s="34">
        <v>19088.34</v>
      </c>
      <c r="J10" s="34">
        <v>19435.41</v>
      </c>
      <c r="K10" s="34">
        <v>584933.06</v>
      </c>
      <c r="L10" s="33"/>
    </row>
    <row r="11" ht="15" customHeight="1" spans="1:12">
      <c r="A11" s="33" t="s">
        <v>199</v>
      </c>
      <c r="B11" s="33" t="s">
        <v>200</v>
      </c>
      <c r="C11" s="33"/>
      <c r="D11" s="33"/>
      <c r="E11" s="34">
        <v>585280.13</v>
      </c>
      <c r="F11" s="33"/>
      <c r="G11" s="34">
        <v>19088.34</v>
      </c>
      <c r="H11" s="34">
        <v>19435.41</v>
      </c>
      <c r="I11" s="34">
        <v>19088.34</v>
      </c>
      <c r="J11" s="34">
        <v>19435.41</v>
      </c>
      <c r="K11" s="34">
        <v>584933.06</v>
      </c>
      <c r="L11" s="33"/>
    </row>
    <row r="12" ht="15" customHeight="1" spans="1:12">
      <c r="A12" s="33"/>
      <c r="B12" s="33"/>
      <c r="C12" s="33" t="s">
        <v>201</v>
      </c>
      <c r="D12" s="33" t="s">
        <v>202</v>
      </c>
      <c r="E12" s="34">
        <v>143.8</v>
      </c>
      <c r="F12" s="33"/>
      <c r="G12" s="34">
        <v>113.9</v>
      </c>
      <c r="H12" s="33"/>
      <c r="I12" s="34">
        <v>113.9</v>
      </c>
      <c r="J12" s="33"/>
      <c r="K12" s="34">
        <v>257.7</v>
      </c>
      <c r="L12" s="33"/>
    </row>
    <row r="13" ht="15" customHeight="1" spans="1:12">
      <c r="A13" s="33"/>
      <c r="B13" s="33"/>
      <c r="C13" s="33" t="s">
        <v>203</v>
      </c>
      <c r="D13" s="33" t="s">
        <v>204</v>
      </c>
      <c r="E13" s="34">
        <v>530832.77</v>
      </c>
      <c r="F13" s="33"/>
      <c r="G13" s="33"/>
      <c r="H13" s="33"/>
      <c r="I13" s="33"/>
      <c r="J13" s="33"/>
      <c r="K13" s="34">
        <v>530832.77</v>
      </c>
      <c r="L13" s="33"/>
    </row>
    <row r="14" ht="15" customHeight="1" spans="1:12">
      <c r="A14" s="33"/>
      <c r="B14" s="33"/>
      <c r="C14" s="33" t="s">
        <v>205</v>
      </c>
      <c r="D14" s="33" t="s">
        <v>206</v>
      </c>
      <c r="E14" s="34">
        <v>26548.69</v>
      </c>
      <c r="F14" s="33"/>
      <c r="G14" s="33"/>
      <c r="H14" s="33"/>
      <c r="I14" s="33"/>
      <c r="J14" s="33"/>
      <c r="K14" s="34">
        <v>26548.69</v>
      </c>
      <c r="L14" s="33"/>
    </row>
    <row r="15" ht="15" customHeight="1" spans="1:12">
      <c r="A15" s="33"/>
      <c r="B15" s="33"/>
      <c r="C15" s="33" t="s">
        <v>207</v>
      </c>
      <c r="D15" s="33" t="s">
        <v>208</v>
      </c>
      <c r="E15" s="34">
        <v>22654.87</v>
      </c>
      <c r="F15" s="33"/>
      <c r="G15" s="33"/>
      <c r="H15" s="33"/>
      <c r="I15" s="33"/>
      <c r="J15" s="33"/>
      <c r="K15" s="34">
        <v>22654.87</v>
      </c>
      <c r="L15" s="33"/>
    </row>
    <row r="16" ht="15" customHeight="1" spans="1:12">
      <c r="A16" s="33"/>
      <c r="B16" s="33"/>
      <c r="C16" s="33" t="s">
        <v>209</v>
      </c>
      <c r="D16" s="33" t="s">
        <v>210</v>
      </c>
      <c r="E16" s="34">
        <v>5100</v>
      </c>
      <c r="F16" s="33"/>
      <c r="G16" s="34">
        <v>18974.44</v>
      </c>
      <c r="H16" s="34">
        <v>19435.41</v>
      </c>
      <c r="I16" s="34">
        <v>18974.44</v>
      </c>
      <c r="J16" s="34">
        <v>19435.41</v>
      </c>
      <c r="K16" s="34">
        <v>4639.03</v>
      </c>
      <c r="L16" s="33"/>
    </row>
    <row r="17" ht="15" customHeight="1" spans="1:12">
      <c r="A17" s="33" t="s">
        <v>211</v>
      </c>
      <c r="B17" s="33" t="s">
        <v>212</v>
      </c>
      <c r="C17" s="33"/>
      <c r="D17" s="33"/>
      <c r="E17" s="34">
        <v>1922578720.69</v>
      </c>
      <c r="F17" s="33"/>
      <c r="G17" s="34">
        <v>163767.16</v>
      </c>
      <c r="H17" s="34">
        <v>15242.16</v>
      </c>
      <c r="I17" s="34">
        <v>163767.16</v>
      </c>
      <c r="J17" s="34">
        <v>15242.16</v>
      </c>
      <c r="K17" s="34">
        <v>1922727245.69</v>
      </c>
      <c r="L17" s="33"/>
    </row>
    <row r="18" ht="15" customHeight="1" spans="1:12">
      <c r="A18" s="33" t="s">
        <v>213</v>
      </c>
      <c r="B18" s="33" t="s">
        <v>214</v>
      </c>
      <c r="C18" s="33"/>
      <c r="D18" s="33"/>
      <c r="E18" s="34">
        <v>1848162000</v>
      </c>
      <c r="F18" s="33"/>
      <c r="G18" s="33"/>
      <c r="H18" s="33"/>
      <c r="I18" s="33"/>
      <c r="J18" s="33"/>
      <c r="K18" s="34">
        <v>1848162000</v>
      </c>
      <c r="L18" s="33"/>
    </row>
    <row r="19" ht="15" customHeight="1" spans="1:12">
      <c r="A19" s="33" t="s">
        <v>215</v>
      </c>
      <c r="B19" s="33" t="s">
        <v>216</v>
      </c>
      <c r="C19" s="33"/>
      <c r="D19" s="33"/>
      <c r="E19" s="33"/>
      <c r="F19" s="34">
        <v>98888000</v>
      </c>
      <c r="G19" s="33"/>
      <c r="H19" s="33"/>
      <c r="I19" s="33"/>
      <c r="J19" s="33"/>
      <c r="K19" s="33"/>
      <c r="L19" s="34">
        <v>98888000</v>
      </c>
    </row>
    <row r="20" ht="15" customHeight="1" spans="1:12">
      <c r="A20" s="33"/>
      <c r="B20" s="33"/>
      <c r="C20" s="33" t="s">
        <v>217</v>
      </c>
      <c r="D20" s="33" t="s">
        <v>218</v>
      </c>
      <c r="E20" s="33"/>
      <c r="F20" s="34">
        <v>98888000</v>
      </c>
      <c r="G20" s="33"/>
      <c r="H20" s="33"/>
      <c r="I20" s="33"/>
      <c r="J20" s="33"/>
      <c r="K20" s="33"/>
      <c r="L20" s="34">
        <v>98888000</v>
      </c>
    </row>
    <row r="21" ht="15" customHeight="1" spans="1:12">
      <c r="A21" s="33" t="s">
        <v>219</v>
      </c>
      <c r="B21" s="33" t="s">
        <v>220</v>
      </c>
      <c r="C21" s="33"/>
      <c r="D21" s="33"/>
      <c r="E21" s="34">
        <v>1947050000</v>
      </c>
      <c r="F21" s="33"/>
      <c r="G21" s="33"/>
      <c r="H21" s="33"/>
      <c r="I21" s="33"/>
      <c r="J21" s="33"/>
      <c r="K21" s="34">
        <v>1947050000</v>
      </c>
      <c r="L21" s="33"/>
    </row>
    <row r="22" ht="15" customHeight="1" spans="1:12">
      <c r="A22" s="33"/>
      <c r="B22" s="33"/>
      <c r="C22" s="33" t="s">
        <v>221</v>
      </c>
      <c r="D22" s="33" t="s">
        <v>222</v>
      </c>
      <c r="E22" s="34">
        <v>697050000</v>
      </c>
      <c r="F22" s="33"/>
      <c r="G22" s="33"/>
      <c r="H22" s="33"/>
      <c r="I22" s="33"/>
      <c r="J22" s="33"/>
      <c r="K22" s="34">
        <v>697050000</v>
      </c>
      <c r="L22" s="33"/>
    </row>
    <row r="23" ht="15" customHeight="1" spans="1:12">
      <c r="A23" s="33"/>
      <c r="B23" s="33"/>
      <c r="C23" s="33" t="s">
        <v>223</v>
      </c>
      <c r="D23" s="33" t="s">
        <v>224</v>
      </c>
      <c r="E23" s="34">
        <v>450000000</v>
      </c>
      <c r="F23" s="33"/>
      <c r="G23" s="33"/>
      <c r="H23" s="33"/>
      <c r="I23" s="33"/>
      <c r="J23" s="33"/>
      <c r="K23" s="34">
        <v>450000000</v>
      </c>
      <c r="L23" s="33"/>
    </row>
    <row r="24" ht="15" customHeight="1" spans="1:12">
      <c r="A24" s="33"/>
      <c r="B24" s="33"/>
      <c r="C24" s="33" t="s">
        <v>217</v>
      </c>
      <c r="D24" s="33" t="s">
        <v>218</v>
      </c>
      <c r="E24" s="34">
        <v>800000000</v>
      </c>
      <c r="F24" s="33"/>
      <c r="G24" s="33"/>
      <c r="H24" s="33"/>
      <c r="I24" s="33"/>
      <c r="J24" s="33"/>
      <c r="K24" s="34">
        <v>800000000</v>
      </c>
      <c r="L24" s="33"/>
    </row>
    <row r="25" ht="15" customHeight="1" spans="1:12">
      <c r="A25" s="33" t="s">
        <v>225</v>
      </c>
      <c r="B25" s="33" t="s">
        <v>226</v>
      </c>
      <c r="C25" s="33"/>
      <c r="D25" s="33"/>
      <c r="E25" s="33"/>
      <c r="F25" s="33"/>
      <c r="G25" s="34">
        <v>20242.16</v>
      </c>
      <c r="H25" s="34">
        <v>15242.16</v>
      </c>
      <c r="I25" s="34">
        <v>20242.16</v>
      </c>
      <c r="J25" s="34">
        <v>15242.16</v>
      </c>
      <c r="K25" s="34">
        <v>5000</v>
      </c>
      <c r="L25" s="33"/>
    </row>
    <row r="26" ht="15" customHeight="1" spans="1:12">
      <c r="A26" s="33" t="s">
        <v>227</v>
      </c>
      <c r="B26" s="33" t="s">
        <v>228</v>
      </c>
      <c r="C26" s="33"/>
      <c r="D26" s="33"/>
      <c r="E26" s="33"/>
      <c r="F26" s="33"/>
      <c r="G26" s="34">
        <v>20242.16</v>
      </c>
      <c r="H26" s="34">
        <v>15242.16</v>
      </c>
      <c r="I26" s="34">
        <v>20242.16</v>
      </c>
      <c r="J26" s="34">
        <v>15242.16</v>
      </c>
      <c r="K26" s="34">
        <v>5000</v>
      </c>
      <c r="L26" s="33"/>
    </row>
    <row r="27" ht="15" customHeight="1" spans="1:12">
      <c r="A27" s="33"/>
      <c r="B27" s="33"/>
      <c r="C27" s="33" t="s">
        <v>229</v>
      </c>
      <c r="D27" s="33" t="s">
        <v>230</v>
      </c>
      <c r="E27" s="33"/>
      <c r="F27" s="33"/>
      <c r="G27" s="34">
        <v>20242.16</v>
      </c>
      <c r="H27" s="34">
        <v>15242.16</v>
      </c>
      <c r="I27" s="34">
        <v>20242.16</v>
      </c>
      <c r="J27" s="34">
        <v>15242.16</v>
      </c>
      <c r="K27" s="34">
        <v>5000</v>
      </c>
      <c r="L27" s="33"/>
    </row>
    <row r="28" ht="15" customHeight="1" spans="1:12">
      <c r="A28" s="33" t="s">
        <v>231</v>
      </c>
      <c r="B28" s="33" t="s">
        <v>232</v>
      </c>
      <c r="C28" s="33"/>
      <c r="D28" s="33"/>
      <c r="E28" s="34">
        <v>71838451.69</v>
      </c>
      <c r="F28" s="33"/>
      <c r="G28" s="34">
        <v>143525</v>
      </c>
      <c r="H28" s="33"/>
      <c r="I28" s="34">
        <v>143525</v>
      </c>
      <c r="J28" s="33"/>
      <c r="K28" s="34">
        <v>71981976.69</v>
      </c>
      <c r="L28" s="33"/>
    </row>
    <row r="29" ht="15" customHeight="1" spans="1:12">
      <c r="A29" s="33" t="s">
        <v>233</v>
      </c>
      <c r="B29" s="33" t="s">
        <v>234</v>
      </c>
      <c r="C29" s="33"/>
      <c r="D29" s="33"/>
      <c r="E29" s="34">
        <v>71838451.69</v>
      </c>
      <c r="F29" s="33"/>
      <c r="G29" s="34">
        <v>143525</v>
      </c>
      <c r="H29" s="33"/>
      <c r="I29" s="34">
        <v>143525</v>
      </c>
      <c r="J29" s="33"/>
      <c r="K29" s="34">
        <v>71981976.69</v>
      </c>
      <c r="L29" s="33"/>
    </row>
    <row r="30" ht="15" customHeight="1" spans="1:12">
      <c r="A30" s="33"/>
      <c r="B30" s="33"/>
      <c r="C30" s="33" t="s">
        <v>235</v>
      </c>
      <c r="D30" s="33" t="s">
        <v>236</v>
      </c>
      <c r="E30" s="34">
        <v>71838451.69</v>
      </c>
      <c r="F30" s="33"/>
      <c r="G30" s="34">
        <v>143525</v>
      </c>
      <c r="H30" s="33"/>
      <c r="I30" s="34">
        <v>143525</v>
      </c>
      <c r="J30" s="33"/>
      <c r="K30" s="34">
        <v>71981976.69</v>
      </c>
      <c r="L30" s="33"/>
    </row>
    <row r="31" ht="15" customHeight="1" spans="1:12">
      <c r="A31" s="33" t="s">
        <v>237</v>
      </c>
      <c r="B31" s="33" t="s">
        <v>238</v>
      </c>
      <c r="C31" s="33"/>
      <c r="D31" s="33"/>
      <c r="E31" s="34">
        <v>2578269</v>
      </c>
      <c r="F31" s="33"/>
      <c r="G31" s="33"/>
      <c r="H31" s="33"/>
      <c r="I31" s="33"/>
      <c r="J31" s="33"/>
      <c r="K31" s="34">
        <v>2578269</v>
      </c>
      <c r="L31" s="33"/>
    </row>
    <row r="32" ht="15" customHeight="1" spans="1:12">
      <c r="A32" s="33" t="s">
        <v>239</v>
      </c>
      <c r="B32" s="33" t="s">
        <v>240</v>
      </c>
      <c r="C32" s="33"/>
      <c r="D32" s="33"/>
      <c r="E32" s="34">
        <v>2578269</v>
      </c>
      <c r="F32" s="33"/>
      <c r="G32" s="33"/>
      <c r="H32" s="33"/>
      <c r="I32" s="33"/>
      <c r="J32" s="33"/>
      <c r="K32" s="34">
        <v>2578269</v>
      </c>
      <c r="L32" s="33"/>
    </row>
    <row r="33" ht="15" customHeight="1" spans="1:12">
      <c r="A33" s="33" t="s">
        <v>241</v>
      </c>
      <c r="B33" s="33" t="s">
        <v>242</v>
      </c>
      <c r="C33" s="33"/>
      <c r="D33" s="33"/>
      <c r="E33" s="33"/>
      <c r="F33" s="34">
        <v>1823104995.59</v>
      </c>
      <c r="G33" s="33"/>
      <c r="H33" s="33"/>
      <c r="I33" s="33"/>
      <c r="J33" s="33"/>
      <c r="K33" s="33"/>
      <c r="L33" s="34">
        <v>1823104995.59</v>
      </c>
    </row>
    <row r="34" ht="15" customHeight="1" spans="1:12">
      <c r="A34" s="33" t="s">
        <v>243</v>
      </c>
      <c r="B34" s="33" t="s">
        <v>244</v>
      </c>
      <c r="C34" s="33"/>
      <c r="D34" s="33"/>
      <c r="E34" s="33"/>
      <c r="F34" s="34">
        <v>1822530269</v>
      </c>
      <c r="G34" s="33"/>
      <c r="H34" s="33"/>
      <c r="I34" s="33"/>
      <c r="J34" s="33"/>
      <c r="K34" s="33"/>
      <c r="L34" s="34">
        <v>1822530269</v>
      </c>
    </row>
    <row r="35" ht="15" customHeight="1" spans="1:12">
      <c r="A35" s="33" t="s">
        <v>245</v>
      </c>
      <c r="B35" s="33" t="s">
        <v>216</v>
      </c>
      <c r="C35" s="33"/>
      <c r="D35" s="33"/>
      <c r="E35" s="33"/>
      <c r="F35" s="34">
        <v>1819952000</v>
      </c>
      <c r="G35" s="33"/>
      <c r="H35" s="33"/>
      <c r="I35" s="33"/>
      <c r="J35" s="33"/>
      <c r="K35" s="33"/>
      <c r="L35" s="34">
        <v>1819952000</v>
      </c>
    </row>
    <row r="36" ht="15" customHeight="1" spans="1:12">
      <c r="A36" s="33"/>
      <c r="B36" s="33"/>
      <c r="C36" s="33" t="s">
        <v>221</v>
      </c>
      <c r="D36" s="33" t="s">
        <v>222</v>
      </c>
      <c r="E36" s="33"/>
      <c r="F36" s="34">
        <v>686410359</v>
      </c>
      <c r="G36" s="33"/>
      <c r="H36" s="33"/>
      <c r="I36" s="33"/>
      <c r="J36" s="33"/>
      <c r="K36" s="33"/>
      <c r="L36" s="34">
        <v>686410359</v>
      </c>
    </row>
    <row r="37" ht="15" customHeight="1" spans="1:12">
      <c r="A37" s="33"/>
      <c r="B37" s="33"/>
      <c r="C37" s="33" t="s">
        <v>223</v>
      </c>
      <c r="D37" s="33" t="s">
        <v>224</v>
      </c>
      <c r="E37" s="33"/>
      <c r="F37" s="34">
        <v>443131284</v>
      </c>
      <c r="G37" s="33"/>
      <c r="H37" s="33"/>
      <c r="I37" s="33"/>
      <c r="J37" s="33"/>
      <c r="K37" s="33"/>
      <c r="L37" s="34">
        <v>443131284</v>
      </c>
    </row>
    <row r="38" ht="15" customHeight="1" spans="1:12">
      <c r="A38" s="33"/>
      <c r="B38" s="33"/>
      <c r="C38" s="33" t="s">
        <v>217</v>
      </c>
      <c r="D38" s="33" t="s">
        <v>218</v>
      </c>
      <c r="E38" s="33"/>
      <c r="F38" s="34">
        <v>690410357</v>
      </c>
      <c r="G38" s="33"/>
      <c r="H38" s="33"/>
      <c r="I38" s="33"/>
      <c r="J38" s="33"/>
      <c r="K38" s="33"/>
      <c r="L38" s="34">
        <v>690410357</v>
      </c>
    </row>
    <row r="39" ht="15" customHeight="1" spans="1:12">
      <c r="A39" s="33" t="s">
        <v>246</v>
      </c>
      <c r="B39" s="33" t="s">
        <v>247</v>
      </c>
      <c r="C39" s="33"/>
      <c r="D39" s="33"/>
      <c r="E39" s="33"/>
      <c r="F39" s="34">
        <v>2578269</v>
      </c>
      <c r="G39" s="33"/>
      <c r="H39" s="33"/>
      <c r="I39" s="33"/>
      <c r="J39" s="33"/>
      <c r="K39" s="33"/>
      <c r="L39" s="34">
        <v>2578269</v>
      </c>
    </row>
    <row r="40" ht="15" customHeight="1" spans="1:12">
      <c r="A40" s="33" t="s">
        <v>248</v>
      </c>
      <c r="B40" s="33" t="s">
        <v>249</v>
      </c>
      <c r="C40" s="33"/>
      <c r="D40" s="33"/>
      <c r="E40" s="33"/>
      <c r="F40" s="34">
        <v>574726.59</v>
      </c>
      <c r="G40" s="33"/>
      <c r="H40" s="33"/>
      <c r="I40" s="33"/>
      <c r="J40" s="33"/>
      <c r="K40" s="33"/>
      <c r="L40" s="34">
        <v>574726.59</v>
      </c>
    </row>
    <row r="41" ht="15" customHeight="1" spans="1:12">
      <c r="A41" s="33" t="s">
        <v>250</v>
      </c>
      <c r="B41" s="33" t="s">
        <v>200</v>
      </c>
      <c r="C41" s="33"/>
      <c r="D41" s="33"/>
      <c r="E41" s="33"/>
      <c r="F41" s="34">
        <v>574726.59</v>
      </c>
      <c r="G41" s="33"/>
      <c r="H41" s="33"/>
      <c r="I41" s="33"/>
      <c r="J41" s="33"/>
      <c r="K41" s="33"/>
      <c r="L41" s="34">
        <v>574726.59</v>
      </c>
    </row>
    <row r="42" ht="15" customHeight="1" spans="1:12">
      <c r="A42" s="33"/>
      <c r="B42" s="33"/>
      <c r="C42" s="33" t="s">
        <v>203</v>
      </c>
      <c r="D42" s="33" t="s">
        <v>204</v>
      </c>
      <c r="E42" s="33"/>
      <c r="F42" s="34">
        <v>530832.77</v>
      </c>
      <c r="G42" s="33"/>
      <c r="H42" s="33"/>
      <c r="I42" s="33"/>
      <c r="J42" s="33"/>
      <c r="K42" s="33"/>
      <c r="L42" s="34">
        <v>530832.77</v>
      </c>
    </row>
    <row r="43" ht="15" customHeight="1" spans="1:12">
      <c r="A43" s="33"/>
      <c r="B43" s="33"/>
      <c r="C43" s="33" t="s">
        <v>205</v>
      </c>
      <c r="D43" s="33" t="s">
        <v>206</v>
      </c>
      <c r="E43" s="33"/>
      <c r="F43" s="34">
        <v>21238.95</v>
      </c>
      <c r="G43" s="33"/>
      <c r="H43" s="33"/>
      <c r="I43" s="33"/>
      <c r="J43" s="33"/>
      <c r="K43" s="33"/>
      <c r="L43" s="34">
        <v>21238.95</v>
      </c>
    </row>
    <row r="44" ht="15" customHeight="1" spans="1:12">
      <c r="A44" s="33"/>
      <c r="B44" s="33"/>
      <c r="C44" s="33" t="s">
        <v>207</v>
      </c>
      <c r="D44" s="33" t="s">
        <v>208</v>
      </c>
      <c r="E44" s="33"/>
      <c r="F44" s="34">
        <v>22654.87</v>
      </c>
      <c r="G44" s="33"/>
      <c r="H44" s="33"/>
      <c r="I44" s="33"/>
      <c r="J44" s="33"/>
      <c r="K44" s="33"/>
      <c r="L44" s="34">
        <v>22654.87</v>
      </c>
    </row>
    <row r="45" ht="15" customHeight="1" spans="1:12">
      <c r="A45" s="33" t="s">
        <v>251</v>
      </c>
      <c r="B45" s="33" t="s">
        <v>252</v>
      </c>
      <c r="C45" s="33"/>
      <c r="D45" s="33"/>
      <c r="E45" s="33"/>
      <c r="F45" s="34">
        <v>55499028.97</v>
      </c>
      <c r="G45" s="33"/>
      <c r="H45" s="33"/>
      <c r="I45" s="33"/>
      <c r="J45" s="33"/>
      <c r="K45" s="33"/>
      <c r="L45" s="34">
        <v>55499028.97</v>
      </c>
    </row>
    <row r="46" ht="15" customHeight="1" spans="1:12">
      <c r="A46" s="33" t="s">
        <v>253</v>
      </c>
      <c r="B46" s="33" t="s">
        <v>254</v>
      </c>
      <c r="C46" s="33"/>
      <c r="D46" s="33"/>
      <c r="E46" s="33"/>
      <c r="F46" s="34">
        <v>55499028.97</v>
      </c>
      <c r="G46" s="33"/>
      <c r="H46" s="33"/>
      <c r="I46" s="33"/>
      <c r="J46" s="33"/>
      <c r="K46" s="33"/>
      <c r="L46" s="34">
        <v>55499028.97</v>
      </c>
    </row>
    <row r="47" ht="15" customHeight="1" spans="1:12">
      <c r="A47" s="33" t="s">
        <v>255</v>
      </c>
      <c r="B47" s="33" t="s">
        <v>256</v>
      </c>
      <c r="C47" s="33"/>
      <c r="D47" s="33"/>
      <c r="E47" s="34">
        <v>1294953996.4</v>
      </c>
      <c r="F47" s="33"/>
      <c r="G47" s="33"/>
      <c r="H47" s="33"/>
      <c r="I47" s="33"/>
      <c r="J47" s="33"/>
      <c r="K47" s="34">
        <v>1294953996.4</v>
      </c>
      <c r="L47" s="33"/>
    </row>
    <row r="48" ht="15" customHeight="1" spans="1:12">
      <c r="A48" s="33" t="s">
        <v>257</v>
      </c>
      <c r="B48" s="33" t="s">
        <v>258</v>
      </c>
      <c r="C48" s="33"/>
      <c r="D48" s="33"/>
      <c r="E48" s="34">
        <v>1480610104.21</v>
      </c>
      <c r="F48" s="33"/>
      <c r="G48" s="33"/>
      <c r="H48" s="33"/>
      <c r="I48" s="33"/>
      <c r="J48" s="33"/>
      <c r="K48" s="34">
        <v>1480610104.21</v>
      </c>
      <c r="L48" s="33"/>
    </row>
    <row r="49" ht="15" customHeight="1" spans="1:12">
      <c r="A49" s="33" t="s">
        <v>259</v>
      </c>
      <c r="B49" s="33" t="s">
        <v>260</v>
      </c>
      <c r="C49" s="33"/>
      <c r="D49" s="33"/>
      <c r="E49" s="34">
        <v>1478901602.81</v>
      </c>
      <c r="F49" s="33"/>
      <c r="G49" s="33"/>
      <c r="H49" s="33"/>
      <c r="I49" s="33"/>
      <c r="J49" s="33"/>
      <c r="K49" s="34">
        <v>1478901602.81</v>
      </c>
      <c r="L49" s="33"/>
    </row>
    <row r="50" ht="15" customHeight="1" spans="1:12">
      <c r="A50" s="33"/>
      <c r="B50" s="33"/>
      <c r="C50" s="33" t="s">
        <v>261</v>
      </c>
      <c r="D50" s="33" t="s">
        <v>261</v>
      </c>
      <c r="E50" s="34">
        <v>1478901602.81</v>
      </c>
      <c r="F50" s="33"/>
      <c r="G50" s="33"/>
      <c r="H50" s="33"/>
      <c r="I50" s="33"/>
      <c r="J50" s="33"/>
      <c r="K50" s="34">
        <v>1478901602.81</v>
      </c>
      <c r="L50" s="33"/>
    </row>
    <row r="51" ht="15" customHeight="1" spans="1:12">
      <c r="A51" s="33" t="s">
        <v>262</v>
      </c>
      <c r="B51" s="33" t="s">
        <v>263</v>
      </c>
      <c r="C51" s="33"/>
      <c r="D51" s="33"/>
      <c r="E51" s="34">
        <v>1708501.4</v>
      </c>
      <c r="F51" s="33"/>
      <c r="G51" s="33"/>
      <c r="H51" s="33"/>
      <c r="I51" s="33"/>
      <c r="J51" s="33"/>
      <c r="K51" s="34">
        <v>1708501.4</v>
      </c>
      <c r="L51" s="33"/>
    </row>
    <row r="52" ht="15" customHeight="1" spans="1:12">
      <c r="A52" s="33"/>
      <c r="B52" s="33"/>
      <c r="C52" s="33" t="s">
        <v>261</v>
      </c>
      <c r="D52" s="33" t="s">
        <v>261</v>
      </c>
      <c r="E52" s="34">
        <v>1708501.4</v>
      </c>
      <c r="F52" s="33"/>
      <c r="G52" s="33"/>
      <c r="H52" s="33"/>
      <c r="I52" s="33"/>
      <c r="J52" s="33"/>
      <c r="K52" s="34">
        <v>1708501.4</v>
      </c>
      <c r="L52" s="33"/>
    </row>
    <row r="53" ht="15" customHeight="1" spans="1:12">
      <c r="A53" s="33" t="s">
        <v>264</v>
      </c>
      <c r="B53" s="33" t="s">
        <v>265</v>
      </c>
      <c r="C53" s="33"/>
      <c r="D53" s="33"/>
      <c r="E53" s="33"/>
      <c r="F53" s="34">
        <v>185656107.81</v>
      </c>
      <c r="G53" s="33"/>
      <c r="H53" s="33"/>
      <c r="I53" s="33"/>
      <c r="J53" s="33"/>
      <c r="K53" s="33"/>
      <c r="L53" s="34">
        <v>185656107.81</v>
      </c>
    </row>
    <row r="54" ht="15" customHeight="1" spans="1:12">
      <c r="A54" s="33" t="s">
        <v>266</v>
      </c>
      <c r="B54" s="33" t="s">
        <v>267</v>
      </c>
      <c r="C54" s="33"/>
      <c r="D54" s="33"/>
      <c r="E54" s="33"/>
      <c r="F54" s="33"/>
      <c r="G54" s="34">
        <v>60000</v>
      </c>
      <c r="H54" s="34">
        <v>60000</v>
      </c>
      <c r="I54" s="34">
        <v>60000</v>
      </c>
      <c r="J54" s="34">
        <v>60000</v>
      </c>
      <c r="K54" s="33"/>
      <c r="L54" s="33"/>
    </row>
    <row r="55" ht="15" customHeight="1" spans="1:12">
      <c r="A55" s="33" t="s">
        <v>268</v>
      </c>
      <c r="B55" s="33" t="s">
        <v>269</v>
      </c>
      <c r="C55" s="33"/>
      <c r="D55" s="33"/>
      <c r="E55" s="33"/>
      <c r="F55" s="33"/>
      <c r="G55" s="34">
        <v>60000</v>
      </c>
      <c r="H55" s="34">
        <v>60000</v>
      </c>
      <c r="I55" s="34">
        <v>60000</v>
      </c>
      <c r="J55" s="34">
        <v>60000</v>
      </c>
      <c r="K55" s="33"/>
      <c r="L55" s="33"/>
    </row>
    <row r="56" ht="15" customHeight="1" spans="1:12">
      <c r="A56" s="33" t="s">
        <v>270</v>
      </c>
      <c r="B56" s="33" t="s">
        <v>271</v>
      </c>
      <c r="C56" s="33"/>
      <c r="D56" s="33"/>
      <c r="E56" s="33"/>
      <c r="F56" s="33"/>
      <c r="G56" s="34">
        <v>60000</v>
      </c>
      <c r="H56" s="34">
        <v>60000</v>
      </c>
      <c r="I56" s="34">
        <v>60000</v>
      </c>
      <c r="J56" s="34">
        <v>60000</v>
      </c>
      <c r="K56" s="33"/>
      <c r="L56" s="33"/>
    </row>
    <row r="57" ht="15" customHeight="1" spans="1:12">
      <c r="A57" s="33"/>
      <c r="B57" s="33"/>
      <c r="C57" s="33" t="s">
        <v>272</v>
      </c>
      <c r="D57" s="33" t="s">
        <v>273</v>
      </c>
      <c r="E57" s="33"/>
      <c r="F57" s="33"/>
      <c r="G57" s="34">
        <v>60000</v>
      </c>
      <c r="H57" s="34">
        <v>60000</v>
      </c>
      <c r="I57" s="34">
        <v>60000</v>
      </c>
      <c r="J57" s="34">
        <v>60000</v>
      </c>
      <c r="K57" s="33"/>
      <c r="L57" s="33"/>
    </row>
    <row r="58" ht="15" customHeight="1" spans="1:12">
      <c r="A58" s="33" t="s">
        <v>274</v>
      </c>
      <c r="B58" s="33" t="s">
        <v>275</v>
      </c>
      <c r="C58" s="33"/>
      <c r="D58" s="33"/>
      <c r="E58" s="33"/>
      <c r="F58" s="34">
        <v>58228.34</v>
      </c>
      <c r="G58" s="34">
        <v>138896.58</v>
      </c>
      <c r="H58" s="34">
        <v>138896.58</v>
      </c>
      <c r="I58" s="34">
        <v>138896.58</v>
      </c>
      <c r="J58" s="34">
        <v>138896.58</v>
      </c>
      <c r="K58" s="33"/>
      <c r="L58" s="34">
        <v>58228.34</v>
      </c>
    </row>
    <row r="59" ht="15" customHeight="1" spans="1:12">
      <c r="A59" s="33" t="s">
        <v>276</v>
      </c>
      <c r="B59" s="33" t="s">
        <v>277</v>
      </c>
      <c r="C59" s="33"/>
      <c r="D59" s="33"/>
      <c r="E59" s="33"/>
      <c r="F59" s="34">
        <v>49400</v>
      </c>
      <c r="G59" s="34">
        <v>103583.22</v>
      </c>
      <c r="H59" s="34">
        <v>103583.22</v>
      </c>
      <c r="I59" s="34">
        <v>103583.22</v>
      </c>
      <c r="J59" s="34">
        <v>103583.22</v>
      </c>
      <c r="K59" s="33"/>
      <c r="L59" s="34">
        <v>49400</v>
      </c>
    </row>
    <row r="60" ht="15" customHeight="1" spans="1:12">
      <c r="A60" s="33" t="s">
        <v>278</v>
      </c>
      <c r="B60" s="33" t="s">
        <v>279</v>
      </c>
      <c r="C60" s="33"/>
      <c r="D60" s="33"/>
      <c r="E60" s="33"/>
      <c r="F60" s="34">
        <v>26400</v>
      </c>
      <c r="G60" s="34">
        <v>103583.22</v>
      </c>
      <c r="H60" s="34">
        <v>103583.22</v>
      </c>
      <c r="I60" s="34">
        <v>103583.22</v>
      </c>
      <c r="J60" s="34">
        <v>103583.22</v>
      </c>
      <c r="K60" s="33"/>
      <c r="L60" s="34">
        <v>26400</v>
      </c>
    </row>
    <row r="61" ht="15" customHeight="1" spans="1:12">
      <c r="A61" s="33"/>
      <c r="B61" s="33"/>
      <c r="C61" s="33" t="s">
        <v>261</v>
      </c>
      <c r="D61" s="33" t="s">
        <v>261</v>
      </c>
      <c r="E61" s="33"/>
      <c r="F61" s="34">
        <v>26400</v>
      </c>
      <c r="G61" s="34">
        <v>103583.22</v>
      </c>
      <c r="H61" s="34">
        <v>103583.22</v>
      </c>
      <c r="I61" s="34">
        <v>103583.22</v>
      </c>
      <c r="J61" s="34">
        <v>103583.22</v>
      </c>
      <c r="K61" s="33"/>
      <c r="L61" s="34">
        <v>26400</v>
      </c>
    </row>
    <row r="62" ht="15" customHeight="1" spans="1:12">
      <c r="A62" s="33" t="s">
        <v>280</v>
      </c>
      <c r="B62" s="33" t="s">
        <v>281</v>
      </c>
      <c r="C62" s="33"/>
      <c r="D62" s="33"/>
      <c r="E62" s="33"/>
      <c r="F62" s="34">
        <v>23000</v>
      </c>
      <c r="G62" s="33"/>
      <c r="H62" s="33"/>
      <c r="I62" s="33"/>
      <c r="J62" s="33"/>
      <c r="K62" s="33"/>
      <c r="L62" s="34">
        <v>23000</v>
      </c>
    </row>
    <row r="63" ht="15" customHeight="1" spans="1:12">
      <c r="A63" s="33"/>
      <c r="B63" s="33"/>
      <c r="C63" s="33" t="s">
        <v>261</v>
      </c>
      <c r="D63" s="33" t="s">
        <v>261</v>
      </c>
      <c r="E63" s="33"/>
      <c r="F63" s="34">
        <v>23000</v>
      </c>
      <c r="G63" s="33"/>
      <c r="H63" s="33"/>
      <c r="I63" s="33"/>
      <c r="J63" s="33"/>
      <c r="K63" s="33"/>
      <c r="L63" s="34">
        <v>23000</v>
      </c>
    </row>
    <row r="64" ht="15" customHeight="1" spans="1:12">
      <c r="A64" s="33" t="s">
        <v>282</v>
      </c>
      <c r="B64" s="33" t="s">
        <v>283</v>
      </c>
      <c r="C64" s="33"/>
      <c r="D64" s="33"/>
      <c r="E64" s="33"/>
      <c r="F64" s="34">
        <v>6945.34</v>
      </c>
      <c r="G64" s="34">
        <v>27781.36</v>
      </c>
      <c r="H64" s="34">
        <v>27781.36</v>
      </c>
      <c r="I64" s="34">
        <v>27781.36</v>
      </c>
      <c r="J64" s="34">
        <v>27781.36</v>
      </c>
      <c r="K64" s="33"/>
      <c r="L64" s="34">
        <v>6945.34</v>
      </c>
    </row>
    <row r="65" ht="15" customHeight="1" spans="1:12">
      <c r="A65" s="33" t="s">
        <v>284</v>
      </c>
      <c r="B65" s="33" t="s">
        <v>285</v>
      </c>
      <c r="C65" s="33"/>
      <c r="D65" s="33"/>
      <c r="E65" s="33"/>
      <c r="F65" s="34">
        <v>4303.84</v>
      </c>
      <c r="G65" s="34">
        <v>17215.36</v>
      </c>
      <c r="H65" s="34">
        <v>17215.36</v>
      </c>
      <c r="I65" s="34">
        <v>17215.36</v>
      </c>
      <c r="J65" s="34">
        <v>17215.36</v>
      </c>
      <c r="K65" s="33"/>
      <c r="L65" s="34">
        <v>4303.84</v>
      </c>
    </row>
    <row r="66" ht="15" customHeight="1" spans="1:12">
      <c r="A66" s="33" t="s">
        <v>286</v>
      </c>
      <c r="B66" s="33" t="s">
        <v>287</v>
      </c>
      <c r="C66" s="33"/>
      <c r="D66" s="33"/>
      <c r="E66" s="33"/>
      <c r="F66" s="34">
        <v>2420.92</v>
      </c>
      <c r="G66" s="34">
        <v>9683.68</v>
      </c>
      <c r="H66" s="34">
        <v>9683.68</v>
      </c>
      <c r="I66" s="34">
        <v>9683.68</v>
      </c>
      <c r="J66" s="34">
        <v>9683.68</v>
      </c>
      <c r="K66" s="33"/>
      <c r="L66" s="34">
        <v>2420.92</v>
      </c>
    </row>
    <row r="67" ht="15" customHeight="1" spans="1:12">
      <c r="A67" s="33" t="s">
        <v>288</v>
      </c>
      <c r="B67" s="33" t="s">
        <v>289</v>
      </c>
      <c r="C67" s="33"/>
      <c r="D67" s="33"/>
      <c r="E67" s="33"/>
      <c r="F67" s="34">
        <v>86.08</v>
      </c>
      <c r="G67" s="34">
        <v>344.32</v>
      </c>
      <c r="H67" s="34">
        <v>344.32</v>
      </c>
      <c r="I67" s="34">
        <v>344.32</v>
      </c>
      <c r="J67" s="34">
        <v>344.32</v>
      </c>
      <c r="K67" s="33"/>
      <c r="L67" s="34">
        <v>86.08</v>
      </c>
    </row>
    <row r="68" ht="15" customHeight="1" spans="1:12">
      <c r="A68" s="33" t="s">
        <v>290</v>
      </c>
      <c r="B68" s="33" t="s">
        <v>291</v>
      </c>
      <c r="C68" s="33"/>
      <c r="D68" s="33"/>
      <c r="E68" s="33"/>
      <c r="F68" s="34">
        <v>134.5</v>
      </c>
      <c r="G68" s="34">
        <v>538</v>
      </c>
      <c r="H68" s="34">
        <v>538</v>
      </c>
      <c r="I68" s="34">
        <v>538</v>
      </c>
      <c r="J68" s="34">
        <v>538</v>
      </c>
      <c r="K68" s="33"/>
      <c r="L68" s="34">
        <v>134.5</v>
      </c>
    </row>
    <row r="69" ht="15" customHeight="1" spans="1:12">
      <c r="A69" s="33" t="s">
        <v>292</v>
      </c>
      <c r="B69" s="33" t="s">
        <v>293</v>
      </c>
      <c r="C69" s="33"/>
      <c r="D69" s="33"/>
      <c r="E69" s="33"/>
      <c r="F69" s="34">
        <v>1883</v>
      </c>
      <c r="G69" s="34">
        <v>7532</v>
      </c>
      <c r="H69" s="34">
        <v>7532</v>
      </c>
      <c r="I69" s="34">
        <v>7532</v>
      </c>
      <c r="J69" s="34">
        <v>7532</v>
      </c>
      <c r="K69" s="33"/>
      <c r="L69" s="34">
        <v>1883</v>
      </c>
    </row>
    <row r="70" ht="15" customHeight="1" spans="1:12">
      <c r="A70" s="33" t="s">
        <v>294</v>
      </c>
      <c r="B70" s="33" t="s">
        <v>295</v>
      </c>
      <c r="C70" s="33"/>
      <c r="D70" s="33"/>
      <c r="E70" s="33"/>
      <c r="F70" s="34">
        <v>1883</v>
      </c>
      <c r="G70" s="34">
        <v>7532</v>
      </c>
      <c r="H70" s="34">
        <v>7532</v>
      </c>
      <c r="I70" s="34">
        <v>7532</v>
      </c>
      <c r="J70" s="34">
        <v>7532</v>
      </c>
      <c r="K70" s="33"/>
      <c r="L70" s="34">
        <v>1883</v>
      </c>
    </row>
    <row r="71" ht="15" customHeight="1" spans="1:12">
      <c r="A71" s="33" t="s">
        <v>296</v>
      </c>
      <c r="B71" s="33" t="s">
        <v>297</v>
      </c>
      <c r="C71" s="33"/>
      <c r="D71" s="33"/>
      <c r="E71" s="34">
        <v>137325736.97</v>
      </c>
      <c r="F71" s="33"/>
      <c r="G71" s="34">
        <v>91695.18</v>
      </c>
      <c r="H71" s="34">
        <v>85334.28</v>
      </c>
      <c r="I71" s="34">
        <v>91695.18</v>
      </c>
      <c r="J71" s="34">
        <v>85334.28</v>
      </c>
      <c r="K71" s="34">
        <v>137332097.87</v>
      </c>
      <c r="L71" s="33"/>
    </row>
    <row r="72" ht="15" customHeight="1" spans="1:12">
      <c r="A72" s="33" t="s">
        <v>298</v>
      </c>
      <c r="B72" s="33" t="s">
        <v>299</v>
      </c>
      <c r="C72" s="33"/>
      <c r="D72" s="33"/>
      <c r="E72" s="34">
        <v>137326397.46</v>
      </c>
      <c r="F72" s="33"/>
      <c r="G72" s="34">
        <v>5700.41</v>
      </c>
      <c r="H72" s="33"/>
      <c r="I72" s="34">
        <v>5700.41</v>
      </c>
      <c r="J72" s="33"/>
      <c r="K72" s="34">
        <v>137332097.87</v>
      </c>
      <c r="L72" s="33"/>
    </row>
    <row r="73" ht="15" customHeight="1" spans="1:12">
      <c r="A73" s="33" t="s">
        <v>300</v>
      </c>
      <c r="B73" s="33" t="s">
        <v>301</v>
      </c>
      <c r="C73" s="33"/>
      <c r="D73" s="33"/>
      <c r="E73" s="34">
        <v>137326788.55</v>
      </c>
      <c r="F73" s="33"/>
      <c r="G73" s="34">
        <v>5700.41</v>
      </c>
      <c r="H73" s="33"/>
      <c r="I73" s="34">
        <v>5700.41</v>
      </c>
      <c r="J73" s="33"/>
      <c r="K73" s="34">
        <v>137332488.96</v>
      </c>
      <c r="L73" s="33"/>
    </row>
    <row r="74" ht="15" customHeight="1" spans="1:12">
      <c r="A74" s="33" t="s">
        <v>302</v>
      </c>
      <c r="B74" s="33" t="s">
        <v>303</v>
      </c>
      <c r="C74" s="33"/>
      <c r="D74" s="33"/>
      <c r="E74" s="33"/>
      <c r="F74" s="34">
        <v>391.09</v>
      </c>
      <c r="G74" s="33"/>
      <c r="H74" s="33"/>
      <c r="I74" s="33"/>
      <c r="J74" s="33"/>
      <c r="K74" s="33"/>
      <c r="L74" s="34">
        <v>391.09</v>
      </c>
    </row>
    <row r="75" ht="15" customHeight="1" spans="1:12">
      <c r="A75" s="33" t="s">
        <v>304</v>
      </c>
      <c r="B75" s="33" t="s">
        <v>305</v>
      </c>
      <c r="C75" s="33"/>
      <c r="D75" s="33"/>
      <c r="E75" s="33"/>
      <c r="F75" s="33"/>
      <c r="G75" s="34">
        <v>84500.26</v>
      </c>
      <c r="H75" s="34">
        <v>84500.26</v>
      </c>
      <c r="I75" s="34">
        <v>84500.26</v>
      </c>
      <c r="J75" s="34">
        <v>84500.26</v>
      </c>
      <c r="K75" s="33"/>
      <c r="L75" s="33"/>
    </row>
    <row r="76" ht="15" customHeight="1" spans="1:12">
      <c r="A76" s="33" t="s">
        <v>306</v>
      </c>
      <c r="B76" s="33" t="s">
        <v>307</v>
      </c>
      <c r="C76" s="33"/>
      <c r="D76" s="33"/>
      <c r="E76" s="33"/>
      <c r="F76" s="33"/>
      <c r="G76" s="34">
        <v>84500.26</v>
      </c>
      <c r="H76" s="34">
        <v>84500.26</v>
      </c>
      <c r="I76" s="34">
        <v>84500.26</v>
      </c>
      <c r="J76" s="34">
        <v>84500.26</v>
      </c>
      <c r="K76" s="33"/>
      <c r="L76" s="33"/>
    </row>
    <row r="77" ht="15" customHeight="1" spans="1:12">
      <c r="A77" s="33" t="s">
        <v>308</v>
      </c>
      <c r="B77" s="33" t="s">
        <v>309</v>
      </c>
      <c r="C77" s="33"/>
      <c r="D77" s="33"/>
      <c r="E77" s="33"/>
      <c r="F77" s="34">
        <v>660.49</v>
      </c>
      <c r="G77" s="34">
        <v>1494.51</v>
      </c>
      <c r="H77" s="34">
        <v>834.02</v>
      </c>
      <c r="I77" s="34">
        <v>1494.51</v>
      </c>
      <c r="J77" s="34">
        <v>834.02</v>
      </c>
      <c r="K77" s="33"/>
      <c r="L77" s="33"/>
    </row>
    <row r="78" ht="15" customHeight="1" spans="1:12">
      <c r="A78" s="33" t="s">
        <v>310</v>
      </c>
      <c r="B78" s="33" t="s">
        <v>311</v>
      </c>
      <c r="C78" s="33"/>
      <c r="D78" s="33"/>
      <c r="E78" s="33"/>
      <c r="F78" s="34">
        <v>660.49</v>
      </c>
      <c r="G78" s="34">
        <v>1494.51</v>
      </c>
      <c r="H78" s="34">
        <v>834.02</v>
      </c>
      <c r="I78" s="34">
        <v>1494.51</v>
      </c>
      <c r="J78" s="34">
        <v>834.02</v>
      </c>
      <c r="K78" s="33"/>
      <c r="L78" s="33"/>
    </row>
    <row r="79" ht="15" customHeight="1" spans="1:12">
      <c r="A79" s="33" t="s">
        <v>312</v>
      </c>
      <c r="B79" s="33" t="s">
        <v>313</v>
      </c>
      <c r="C79" s="33"/>
      <c r="D79" s="33"/>
      <c r="E79" s="33"/>
      <c r="F79" s="34">
        <v>3000000</v>
      </c>
      <c r="G79" s="34">
        <v>110266.12</v>
      </c>
      <c r="H79" s="34">
        <v>110463.79</v>
      </c>
      <c r="I79" s="34">
        <v>110266.12</v>
      </c>
      <c r="J79" s="34">
        <v>110463.79</v>
      </c>
      <c r="K79" s="33"/>
      <c r="L79" s="34">
        <v>3000197.67</v>
      </c>
    </row>
    <row r="80" ht="15" customHeight="1" spans="1:12">
      <c r="A80" s="33" t="s">
        <v>314</v>
      </c>
      <c r="B80" s="33" t="s">
        <v>214</v>
      </c>
      <c r="C80" s="33"/>
      <c r="D80" s="33"/>
      <c r="E80" s="33"/>
      <c r="F80" s="34">
        <v>3000000</v>
      </c>
      <c r="G80" s="33"/>
      <c r="H80" s="33"/>
      <c r="I80" s="33"/>
      <c r="J80" s="33"/>
      <c r="K80" s="33"/>
      <c r="L80" s="34">
        <v>3000000</v>
      </c>
    </row>
    <row r="81" ht="15" customHeight="1" spans="1:12">
      <c r="A81" s="33" t="s">
        <v>315</v>
      </c>
      <c r="B81" s="33" t="s">
        <v>216</v>
      </c>
      <c r="C81" s="33"/>
      <c r="D81" s="33"/>
      <c r="E81" s="33"/>
      <c r="F81" s="34">
        <v>3000000</v>
      </c>
      <c r="G81" s="33"/>
      <c r="H81" s="33"/>
      <c r="I81" s="33"/>
      <c r="J81" s="33"/>
      <c r="K81" s="33"/>
      <c r="L81" s="34">
        <v>3000000</v>
      </c>
    </row>
    <row r="82" ht="15" customHeight="1" spans="1:12">
      <c r="A82" s="33"/>
      <c r="B82" s="33"/>
      <c r="C82" s="33" t="s">
        <v>217</v>
      </c>
      <c r="D82" s="33" t="s">
        <v>218</v>
      </c>
      <c r="E82" s="33"/>
      <c r="F82" s="34">
        <v>3000000</v>
      </c>
      <c r="G82" s="33"/>
      <c r="H82" s="33"/>
      <c r="I82" s="33"/>
      <c r="J82" s="33"/>
      <c r="K82" s="33"/>
      <c r="L82" s="34">
        <v>3000000</v>
      </c>
    </row>
    <row r="83" ht="15" customHeight="1" spans="1:12">
      <c r="A83" s="33" t="s">
        <v>316</v>
      </c>
      <c r="B83" s="33" t="s">
        <v>226</v>
      </c>
      <c r="C83" s="33"/>
      <c r="D83" s="33"/>
      <c r="E83" s="33"/>
      <c r="F83" s="33"/>
      <c r="G83" s="34">
        <v>91436.52</v>
      </c>
      <c r="H83" s="34">
        <v>91436.52</v>
      </c>
      <c r="I83" s="34">
        <v>91436.52</v>
      </c>
      <c r="J83" s="34">
        <v>91436.52</v>
      </c>
      <c r="K83" s="33"/>
      <c r="L83" s="33"/>
    </row>
    <row r="84" ht="15" customHeight="1" spans="1:12">
      <c r="A84" s="33" t="s">
        <v>317</v>
      </c>
      <c r="B84" s="33" t="s">
        <v>318</v>
      </c>
      <c r="C84" s="33"/>
      <c r="D84" s="33"/>
      <c r="E84" s="33"/>
      <c r="F84" s="33"/>
      <c r="G84" s="34">
        <v>91436.52</v>
      </c>
      <c r="H84" s="34">
        <v>91436.52</v>
      </c>
      <c r="I84" s="34">
        <v>91436.52</v>
      </c>
      <c r="J84" s="34">
        <v>91436.52</v>
      </c>
      <c r="K84" s="33"/>
      <c r="L84" s="33"/>
    </row>
    <row r="85" ht="15" customHeight="1" spans="1:12">
      <c r="A85" s="33"/>
      <c r="B85" s="33"/>
      <c r="C85" s="33" t="s">
        <v>235</v>
      </c>
      <c r="D85" s="33" t="s">
        <v>319</v>
      </c>
      <c r="E85" s="33"/>
      <c r="F85" s="33"/>
      <c r="G85" s="34">
        <v>43250.13</v>
      </c>
      <c r="H85" s="34">
        <v>43250.13</v>
      </c>
      <c r="I85" s="34">
        <v>43250.13</v>
      </c>
      <c r="J85" s="34">
        <v>43250.13</v>
      </c>
      <c r="K85" s="33"/>
      <c r="L85" s="33"/>
    </row>
    <row r="86" ht="15" customHeight="1" spans="1:12">
      <c r="A86" s="33"/>
      <c r="B86" s="33"/>
      <c r="C86" s="33" t="s">
        <v>229</v>
      </c>
      <c r="D86" s="33" t="s">
        <v>230</v>
      </c>
      <c r="E86" s="33"/>
      <c r="F86" s="33"/>
      <c r="G86" s="34">
        <v>48186.39</v>
      </c>
      <c r="H86" s="34">
        <v>48186.39</v>
      </c>
      <c r="I86" s="34">
        <v>48186.39</v>
      </c>
      <c r="J86" s="34">
        <v>48186.39</v>
      </c>
      <c r="K86" s="33"/>
      <c r="L86" s="33"/>
    </row>
    <row r="87" ht="15" customHeight="1" spans="1:12">
      <c r="A87" s="33" t="s">
        <v>320</v>
      </c>
      <c r="B87" s="33" t="s">
        <v>321</v>
      </c>
      <c r="C87" s="33"/>
      <c r="D87" s="33"/>
      <c r="E87" s="33"/>
      <c r="F87" s="33"/>
      <c r="G87" s="34">
        <v>18829.6</v>
      </c>
      <c r="H87" s="34">
        <v>19027.27</v>
      </c>
      <c r="I87" s="34">
        <v>18829.6</v>
      </c>
      <c r="J87" s="34">
        <v>19027.27</v>
      </c>
      <c r="K87" s="33"/>
      <c r="L87" s="34">
        <v>197.67</v>
      </c>
    </row>
    <row r="88" ht="15" customHeight="1" spans="1:12">
      <c r="A88" s="33" t="s">
        <v>322</v>
      </c>
      <c r="B88" s="33" t="s">
        <v>323</v>
      </c>
      <c r="C88" s="33"/>
      <c r="D88" s="33"/>
      <c r="E88" s="33"/>
      <c r="F88" s="33"/>
      <c r="G88" s="34">
        <v>11297.6</v>
      </c>
      <c r="H88" s="34">
        <v>11297.6</v>
      </c>
      <c r="I88" s="34">
        <v>11297.6</v>
      </c>
      <c r="J88" s="34">
        <v>11297.6</v>
      </c>
      <c r="K88" s="33"/>
      <c r="L88" s="33"/>
    </row>
    <row r="89" ht="15" customHeight="1" spans="1:12">
      <c r="A89" s="33"/>
      <c r="B89" s="33"/>
      <c r="C89" s="33" t="s">
        <v>261</v>
      </c>
      <c r="D89" s="33" t="s">
        <v>261</v>
      </c>
      <c r="E89" s="33"/>
      <c r="F89" s="33"/>
      <c r="G89" s="34">
        <v>11297.6</v>
      </c>
      <c r="H89" s="34">
        <v>11297.6</v>
      </c>
      <c r="I89" s="34">
        <v>11297.6</v>
      </c>
      <c r="J89" s="34">
        <v>11297.6</v>
      </c>
      <c r="K89" s="33"/>
      <c r="L89" s="33"/>
    </row>
    <row r="90" ht="15" customHeight="1" spans="1:12">
      <c r="A90" s="33" t="s">
        <v>324</v>
      </c>
      <c r="B90" s="33" t="s">
        <v>295</v>
      </c>
      <c r="C90" s="33"/>
      <c r="D90" s="33"/>
      <c r="E90" s="33"/>
      <c r="F90" s="33"/>
      <c r="G90" s="34">
        <v>7532</v>
      </c>
      <c r="H90" s="34">
        <v>7532</v>
      </c>
      <c r="I90" s="34">
        <v>7532</v>
      </c>
      <c r="J90" s="34">
        <v>7532</v>
      </c>
      <c r="K90" s="33"/>
      <c r="L90" s="33"/>
    </row>
    <row r="91" ht="15" customHeight="1" spans="1:12">
      <c r="A91" s="33"/>
      <c r="B91" s="33"/>
      <c r="C91" s="33" t="s">
        <v>261</v>
      </c>
      <c r="D91" s="33" t="s">
        <v>261</v>
      </c>
      <c r="E91" s="33"/>
      <c r="F91" s="33"/>
      <c r="G91" s="34">
        <v>7532</v>
      </c>
      <c r="H91" s="34">
        <v>7532</v>
      </c>
      <c r="I91" s="34">
        <v>7532</v>
      </c>
      <c r="J91" s="34">
        <v>7532</v>
      </c>
      <c r="K91" s="33"/>
      <c r="L91" s="33"/>
    </row>
    <row r="92" ht="15" customHeight="1" spans="1:12">
      <c r="A92" s="33" t="s">
        <v>325</v>
      </c>
      <c r="B92" s="33" t="s">
        <v>311</v>
      </c>
      <c r="C92" s="33"/>
      <c r="D92" s="33"/>
      <c r="E92" s="33"/>
      <c r="F92" s="33"/>
      <c r="G92" s="33"/>
      <c r="H92" s="34">
        <v>197.67</v>
      </c>
      <c r="I92" s="33"/>
      <c r="J92" s="34">
        <v>197.67</v>
      </c>
      <c r="K92" s="33"/>
      <c r="L92" s="34">
        <v>197.67</v>
      </c>
    </row>
    <row r="93" ht="15" customHeight="1" spans="1:12">
      <c r="A93" s="33" t="s">
        <v>326</v>
      </c>
      <c r="B93" s="33" t="s">
        <v>327</v>
      </c>
      <c r="C93" s="33"/>
      <c r="D93" s="33"/>
      <c r="E93" s="33"/>
      <c r="F93" s="34">
        <v>60250594.88</v>
      </c>
      <c r="G93" s="33"/>
      <c r="H93" s="33"/>
      <c r="I93" s="33"/>
      <c r="J93" s="33"/>
      <c r="K93" s="33"/>
      <c r="L93" s="34">
        <v>60250594.88</v>
      </c>
    </row>
    <row r="94" ht="15" customHeight="1" spans="1:12">
      <c r="A94" s="33" t="s">
        <v>328</v>
      </c>
      <c r="B94" s="33" t="s">
        <v>329</v>
      </c>
      <c r="C94" s="33"/>
      <c r="D94" s="33"/>
      <c r="E94" s="33"/>
      <c r="F94" s="34">
        <v>60250594.88</v>
      </c>
      <c r="G94" s="33"/>
      <c r="H94" s="33"/>
      <c r="I94" s="33"/>
      <c r="J94" s="33"/>
      <c r="K94" s="33"/>
      <c r="L94" s="34">
        <v>60250594.88</v>
      </c>
    </row>
    <row r="95" ht="15" customHeight="1" spans="1:12">
      <c r="A95" s="33" t="s">
        <v>330</v>
      </c>
      <c r="B95" s="33" t="s">
        <v>331</v>
      </c>
      <c r="C95" s="33"/>
      <c r="D95" s="33"/>
      <c r="E95" s="33"/>
      <c r="F95" s="34">
        <v>3610000000</v>
      </c>
      <c r="G95" s="33"/>
      <c r="H95" s="33"/>
      <c r="I95" s="33"/>
      <c r="J95" s="33"/>
      <c r="K95" s="33"/>
      <c r="L95" s="34">
        <v>3610000000</v>
      </c>
    </row>
    <row r="96" ht="15" customHeight="1" spans="1:12">
      <c r="A96" s="33" t="s">
        <v>332</v>
      </c>
      <c r="B96" s="33" t="s">
        <v>333</v>
      </c>
      <c r="C96" s="33"/>
      <c r="D96" s="33"/>
      <c r="E96" s="33"/>
      <c r="F96" s="34">
        <v>3610000000</v>
      </c>
      <c r="G96" s="33"/>
      <c r="H96" s="33"/>
      <c r="I96" s="33"/>
      <c r="J96" s="33"/>
      <c r="K96" s="33"/>
      <c r="L96" s="34">
        <v>3610000000</v>
      </c>
    </row>
    <row r="97" ht="15" customHeight="1" spans="1:12">
      <c r="A97" s="33" t="s">
        <v>334</v>
      </c>
      <c r="B97" s="33" t="s">
        <v>335</v>
      </c>
      <c r="C97" s="33"/>
      <c r="D97" s="33"/>
      <c r="E97" s="33"/>
      <c r="F97" s="34">
        <v>3610000000</v>
      </c>
      <c r="G97" s="33"/>
      <c r="H97" s="33"/>
      <c r="I97" s="33"/>
      <c r="J97" s="33"/>
      <c r="K97" s="33"/>
      <c r="L97" s="34">
        <v>3610000000</v>
      </c>
    </row>
    <row r="98" ht="15" customHeight="1" spans="1:12">
      <c r="A98" s="33" t="s">
        <v>336</v>
      </c>
      <c r="B98" s="33" t="s">
        <v>337</v>
      </c>
      <c r="C98" s="33"/>
      <c r="D98" s="33"/>
      <c r="E98" s="34">
        <v>2140268268.47</v>
      </c>
      <c r="F98" s="33"/>
      <c r="G98" s="34">
        <v>141344.75</v>
      </c>
      <c r="H98" s="34">
        <v>125.84</v>
      </c>
      <c r="I98" s="34">
        <v>141344.75</v>
      </c>
      <c r="J98" s="34">
        <v>125.84</v>
      </c>
      <c r="K98" s="34">
        <v>2140409487.38</v>
      </c>
      <c r="L98" s="33"/>
    </row>
    <row r="99" ht="15" customHeight="1" spans="1:12">
      <c r="A99" s="33" t="s">
        <v>338</v>
      </c>
      <c r="B99" s="33" t="s">
        <v>339</v>
      </c>
      <c r="C99" s="33"/>
      <c r="D99" s="33"/>
      <c r="E99" s="34">
        <v>2140268268.47</v>
      </c>
      <c r="F99" s="33"/>
      <c r="G99" s="34">
        <v>141344.75</v>
      </c>
      <c r="H99" s="34">
        <v>125.84</v>
      </c>
      <c r="I99" s="34">
        <v>141344.75</v>
      </c>
      <c r="J99" s="34">
        <v>125.84</v>
      </c>
      <c r="K99" s="34">
        <v>2140409487.38</v>
      </c>
      <c r="L99" s="33"/>
    </row>
    <row r="100" ht="15" customHeight="1" spans="1:12">
      <c r="A100" s="33" t="s">
        <v>340</v>
      </c>
      <c r="B100" s="33" t="s">
        <v>341</v>
      </c>
      <c r="C100" s="33"/>
      <c r="D100" s="33"/>
      <c r="E100" s="34">
        <v>2140268268.47</v>
      </c>
      <c r="F100" s="33"/>
      <c r="G100" s="34">
        <v>141344.75</v>
      </c>
      <c r="H100" s="34">
        <v>125.84</v>
      </c>
      <c r="I100" s="34">
        <v>141344.75</v>
      </c>
      <c r="J100" s="34">
        <v>125.84</v>
      </c>
      <c r="K100" s="34">
        <v>2140409487.38</v>
      </c>
      <c r="L100" s="33"/>
    </row>
    <row r="101" ht="15" customHeight="1" spans="1:12">
      <c r="A101" s="33" t="s">
        <v>342</v>
      </c>
      <c r="B101" s="33" t="s">
        <v>343</v>
      </c>
      <c r="C101" s="33"/>
      <c r="D101" s="33"/>
      <c r="E101" s="34">
        <v>55499028.97</v>
      </c>
      <c r="F101" s="33"/>
      <c r="G101" s="34">
        <v>18285.21</v>
      </c>
      <c r="H101" s="33"/>
      <c r="I101" s="34">
        <v>18285.21</v>
      </c>
      <c r="J101" s="33"/>
      <c r="K101" s="34">
        <v>55517314.18</v>
      </c>
      <c r="L101" s="33"/>
    </row>
    <row r="102" ht="15" customHeight="1" spans="1:12">
      <c r="A102" s="33" t="s">
        <v>344</v>
      </c>
      <c r="B102" s="33" t="s">
        <v>345</v>
      </c>
      <c r="C102" s="33"/>
      <c r="D102" s="33"/>
      <c r="E102" s="34">
        <v>14904445.56</v>
      </c>
      <c r="F102" s="33"/>
      <c r="G102" s="34">
        <v>17261.72</v>
      </c>
      <c r="H102" s="33"/>
      <c r="I102" s="34">
        <v>17261.72</v>
      </c>
      <c r="J102" s="33"/>
      <c r="K102" s="34">
        <v>14921707.28</v>
      </c>
      <c r="L102" s="33"/>
    </row>
    <row r="103" ht="15" customHeight="1" spans="1:12">
      <c r="A103" s="33" t="s">
        <v>346</v>
      </c>
      <c r="B103" s="33" t="s">
        <v>347</v>
      </c>
      <c r="C103" s="33"/>
      <c r="D103" s="33"/>
      <c r="E103" s="34">
        <v>9041701.65</v>
      </c>
      <c r="F103" s="33"/>
      <c r="G103" s="33"/>
      <c r="H103" s="33"/>
      <c r="I103" s="33"/>
      <c r="J103" s="33"/>
      <c r="K103" s="34">
        <v>9041701.65</v>
      </c>
      <c r="L103" s="33"/>
    </row>
    <row r="104" ht="15" customHeight="1" spans="1:12">
      <c r="A104" s="33"/>
      <c r="B104" s="33"/>
      <c r="C104" s="33" t="s">
        <v>348</v>
      </c>
      <c r="D104" s="33" t="s">
        <v>349</v>
      </c>
      <c r="E104" s="34">
        <v>9041701.65</v>
      </c>
      <c r="F104" s="33"/>
      <c r="G104" s="33"/>
      <c r="H104" s="33"/>
      <c r="I104" s="33"/>
      <c r="J104" s="33"/>
      <c r="K104" s="34">
        <v>9041701.65</v>
      </c>
      <c r="L104" s="33"/>
    </row>
    <row r="105" ht="15" customHeight="1" spans="1:12">
      <c r="A105" s="33" t="s">
        <v>350</v>
      </c>
      <c r="B105" s="33" t="s">
        <v>351</v>
      </c>
      <c r="C105" s="33"/>
      <c r="D105" s="33"/>
      <c r="E105" s="34">
        <v>94339.62</v>
      </c>
      <c r="F105" s="33"/>
      <c r="G105" s="33"/>
      <c r="H105" s="33"/>
      <c r="I105" s="33"/>
      <c r="J105" s="33"/>
      <c r="K105" s="34">
        <v>94339.62</v>
      </c>
      <c r="L105" s="33"/>
    </row>
    <row r="106" ht="15" customHeight="1" spans="1:12">
      <c r="A106" s="33"/>
      <c r="B106" s="33"/>
      <c r="C106" s="33" t="s">
        <v>352</v>
      </c>
      <c r="D106" s="33" t="s">
        <v>353</v>
      </c>
      <c r="E106" s="34">
        <v>94339.62</v>
      </c>
      <c r="F106" s="33"/>
      <c r="G106" s="33"/>
      <c r="H106" s="33"/>
      <c r="I106" s="33"/>
      <c r="J106" s="33"/>
      <c r="K106" s="34">
        <v>94339.62</v>
      </c>
      <c r="L106" s="33"/>
    </row>
    <row r="107" ht="15" customHeight="1" spans="1:12">
      <c r="A107" s="33" t="s">
        <v>354</v>
      </c>
      <c r="B107" s="33" t="s">
        <v>355</v>
      </c>
      <c r="C107" s="33"/>
      <c r="D107" s="33"/>
      <c r="E107" s="34">
        <v>1529142.5</v>
      </c>
      <c r="F107" s="33"/>
      <c r="G107" s="33"/>
      <c r="H107" s="33"/>
      <c r="I107" s="33"/>
      <c r="J107" s="33"/>
      <c r="K107" s="34">
        <v>1529142.5</v>
      </c>
      <c r="L107" s="33"/>
    </row>
    <row r="108" ht="15" customHeight="1" spans="1:12">
      <c r="A108" s="33"/>
      <c r="B108" s="33"/>
      <c r="C108" s="33" t="s">
        <v>261</v>
      </c>
      <c r="D108" s="33" t="s">
        <v>261</v>
      </c>
      <c r="E108" s="34">
        <v>217821.78</v>
      </c>
      <c r="F108" s="33"/>
      <c r="G108" s="33"/>
      <c r="H108" s="33"/>
      <c r="I108" s="33"/>
      <c r="J108" s="33"/>
      <c r="K108" s="34">
        <v>217821.78</v>
      </c>
      <c r="L108" s="33"/>
    </row>
    <row r="109" ht="15" customHeight="1" spans="1:12">
      <c r="A109" s="33"/>
      <c r="B109" s="33"/>
      <c r="C109" s="33" t="s">
        <v>348</v>
      </c>
      <c r="D109" s="33" t="s">
        <v>349</v>
      </c>
      <c r="E109" s="34">
        <v>1311320.72</v>
      </c>
      <c r="F109" s="33"/>
      <c r="G109" s="33"/>
      <c r="H109" s="33"/>
      <c r="I109" s="33"/>
      <c r="J109" s="33"/>
      <c r="K109" s="34">
        <v>1311320.72</v>
      </c>
      <c r="L109" s="33"/>
    </row>
    <row r="110" ht="15" customHeight="1" spans="1:12">
      <c r="A110" s="33" t="s">
        <v>356</v>
      </c>
      <c r="B110" s="33" t="s">
        <v>357</v>
      </c>
      <c r="C110" s="33"/>
      <c r="D110" s="33"/>
      <c r="E110" s="34">
        <v>99647.14</v>
      </c>
      <c r="F110" s="33"/>
      <c r="G110" s="33"/>
      <c r="H110" s="33"/>
      <c r="I110" s="33"/>
      <c r="J110" s="33"/>
      <c r="K110" s="34">
        <v>99647.14</v>
      </c>
      <c r="L110" s="33"/>
    </row>
    <row r="111" ht="15" customHeight="1" spans="1:12">
      <c r="A111" s="33"/>
      <c r="B111" s="33"/>
      <c r="C111" s="33" t="s">
        <v>352</v>
      </c>
      <c r="D111" s="33" t="s">
        <v>353</v>
      </c>
      <c r="E111" s="34">
        <v>99647.14</v>
      </c>
      <c r="F111" s="33"/>
      <c r="G111" s="33"/>
      <c r="H111" s="33"/>
      <c r="I111" s="33"/>
      <c r="J111" s="33"/>
      <c r="K111" s="34">
        <v>99647.14</v>
      </c>
      <c r="L111" s="33"/>
    </row>
    <row r="112" ht="15" customHeight="1" spans="1:12">
      <c r="A112" s="33" t="s">
        <v>358</v>
      </c>
      <c r="B112" s="33" t="s">
        <v>359</v>
      </c>
      <c r="C112" s="33"/>
      <c r="D112" s="33"/>
      <c r="E112" s="34">
        <v>4139614.65</v>
      </c>
      <c r="F112" s="33"/>
      <c r="G112" s="34">
        <v>17261.72</v>
      </c>
      <c r="H112" s="33"/>
      <c r="I112" s="34">
        <v>17261.72</v>
      </c>
      <c r="J112" s="33"/>
      <c r="K112" s="34">
        <v>4156876.37</v>
      </c>
      <c r="L112" s="33"/>
    </row>
    <row r="113" ht="15" customHeight="1" spans="1:12">
      <c r="A113" s="33"/>
      <c r="B113" s="33"/>
      <c r="C113" s="33" t="s">
        <v>261</v>
      </c>
      <c r="D113" s="33" t="s">
        <v>261</v>
      </c>
      <c r="E113" s="34">
        <v>3310.46</v>
      </c>
      <c r="F113" s="33"/>
      <c r="G113" s="33"/>
      <c r="H113" s="33"/>
      <c r="I113" s="33"/>
      <c r="J113" s="33"/>
      <c r="K113" s="34">
        <v>3310.46</v>
      </c>
      <c r="L113" s="33"/>
    </row>
    <row r="114" ht="15" customHeight="1" spans="1:12">
      <c r="A114" s="33"/>
      <c r="B114" s="33"/>
      <c r="C114" s="33" t="s">
        <v>352</v>
      </c>
      <c r="D114" s="33" t="s">
        <v>353</v>
      </c>
      <c r="E114" s="34">
        <v>4136304.19</v>
      </c>
      <c r="F114" s="33"/>
      <c r="G114" s="34">
        <v>17261.72</v>
      </c>
      <c r="H114" s="33"/>
      <c r="I114" s="34">
        <v>17261.72</v>
      </c>
      <c r="J114" s="33"/>
      <c r="K114" s="34">
        <v>4153565.91</v>
      </c>
      <c r="L114" s="33"/>
    </row>
    <row r="115" ht="15" customHeight="1" spans="1:12">
      <c r="A115" s="33" t="s">
        <v>360</v>
      </c>
      <c r="B115" s="33" t="s">
        <v>361</v>
      </c>
      <c r="C115" s="33"/>
      <c r="D115" s="33"/>
      <c r="E115" s="34">
        <v>1180420.97</v>
      </c>
      <c r="F115" s="33"/>
      <c r="G115" s="33"/>
      <c r="H115" s="33"/>
      <c r="I115" s="33"/>
      <c r="J115" s="33"/>
      <c r="K115" s="34">
        <v>1180420.97</v>
      </c>
      <c r="L115" s="33"/>
    </row>
    <row r="116" ht="15" customHeight="1" spans="1:12">
      <c r="A116" s="33" t="s">
        <v>362</v>
      </c>
      <c r="B116" s="33" t="s">
        <v>363</v>
      </c>
      <c r="C116" s="33"/>
      <c r="D116" s="33"/>
      <c r="E116" s="34">
        <v>7425.75</v>
      </c>
      <c r="F116" s="33"/>
      <c r="G116" s="33"/>
      <c r="H116" s="33"/>
      <c r="I116" s="33"/>
      <c r="J116" s="33"/>
      <c r="K116" s="34">
        <v>7425.75</v>
      </c>
      <c r="L116" s="33"/>
    </row>
    <row r="117" ht="15" customHeight="1" spans="1:12">
      <c r="A117" s="33"/>
      <c r="B117" s="33"/>
      <c r="C117" s="33" t="s">
        <v>261</v>
      </c>
      <c r="D117" s="33" t="s">
        <v>261</v>
      </c>
      <c r="E117" s="34">
        <v>7425.75</v>
      </c>
      <c r="F117" s="33"/>
      <c r="G117" s="33"/>
      <c r="H117" s="33"/>
      <c r="I117" s="33"/>
      <c r="J117" s="33"/>
      <c r="K117" s="34">
        <v>7425.75</v>
      </c>
      <c r="L117" s="33"/>
    </row>
    <row r="118" ht="15" customHeight="1" spans="1:12">
      <c r="A118" s="33" t="s">
        <v>364</v>
      </c>
      <c r="B118" s="33" t="s">
        <v>365</v>
      </c>
      <c r="C118" s="33"/>
      <c r="D118" s="33"/>
      <c r="E118" s="34">
        <v>1172995.22</v>
      </c>
      <c r="F118" s="33"/>
      <c r="G118" s="33"/>
      <c r="H118" s="33"/>
      <c r="I118" s="33"/>
      <c r="J118" s="33"/>
      <c r="K118" s="34">
        <v>1172995.22</v>
      </c>
      <c r="L118" s="33"/>
    </row>
    <row r="119" ht="15" customHeight="1" spans="1:12">
      <c r="A119" s="33"/>
      <c r="B119" s="33"/>
      <c r="C119" s="33" t="s">
        <v>352</v>
      </c>
      <c r="D119" s="33" t="s">
        <v>353</v>
      </c>
      <c r="E119" s="34">
        <v>1172995.22</v>
      </c>
      <c r="F119" s="33"/>
      <c r="G119" s="33"/>
      <c r="H119" s="33"/>
      <c r="I119" s="33"/>
      <c r="J119" s="33"/>
      <c r="K119" s="34">
        <v>1172995.22</v>
      </c>
      <c r="L119" s="33"/>
    </row>
    <row r="120" ht="15" customHeight="1" spans="1:12">
      <c r="A120" s="33" t="s">
        <v>366</v>
      </c>
      <c r="B120" s="33" t="s">
        <v>367</v>
      </c>
      <c r="C120" s="33"/>
      <c r="D120" s="33"/>
      <c r="E120" s="34">
        <v>14271738.44</v>
      </c>
      <c r="F120" s="33"/>
      <c r="G120" s="33"/>
      <c r="H120" s="33"/>
      <c r="I120" s="33"/>
      <c r="J120" s="33"/>
      <c r="K120" s="34">
        <v>14271738.44</v>
      </c>
      <c r="L120" s="33"/>
    </row>
    <row r="121" ht="15" customHeight="1" spans="1:12">
      <c r="A121" s="33" t="s">
        <v>368</v>
      </c>
      <c r="B121" s="33" t="s">
        <v>369</v>
      </c>
      <c r="C121" s="33"/>
      <c r="D121" s="33"/>
      <c r="E121" s="34">
        <v>1422018.35</v>
      </c>
      <c r="F121" s="33"/>
      <c r="G121" s="33"/>
      <c r="H121" s="33"/>
      <c r="I121" s="33"/>
      <c r="J121" s="33"/>
      <c r="K121" s="34">
        <v>1422018.35</v>
      </c>
      <c r="L121" s="33"/>
    </row>
    <row r="122" ht="15" customHeight="1" spans="1:12">
      <c r="A122" s="33"/>
      <c r="B122" s="33"/>
      <c r="C122" s="33" t="s">
        <v>352</v>
      </c>
      <c r="D122" s="33" t="s">
        <v>353</v>
      </c>
      <c r="E122" s="34">
        <v>1422018.35</v>
      </c>
      <c r="F122" s="33"/>
      <c r="G122" s="33"/>
      <c r="H122" s="33"/>
      <c r="I122" s="33"/>
      <c r="J122" s="33"/>
      <c r="K122" s="34">
        <v>1422018.35</v>
      </c>
      <c r="L122" s="33"/>
    </row>
    <row r="123" ht="15" customHeight="1" spans="1:12">
      <c r="A123" s="33" t="s">
        <v>370</v>
      </c>
      <c r="B123" s="33" t="s">
        <v>371</v>
      </c>
      <c r="C123" s="33"/>
      <c r="D123" s="33"/>
      <c r="E123" s="34">
        <v>2106893.49</v>
      </c>
      <c r="F123" s="33"/>
      <c r="G123" s="33"/>
      <c r="H123" s="33"/>
      <c r="I123" s="33"/>
      <c r="J123" s="33"/>
      <c r="K123" s="34">
        <v>2106893.49</v>
      </c>
      <c r="L123" s="33"/>
    </row>
    <row r="124" ht="15" customHeight="1" spans="1:12">
      <c r="A124" s="33"/>
      <c r="B124" s="33"/>
      <c r="C124" s="33" t="s">
        <v>352</v>
      </c>
      <c r="D124" s="33" t="s">
        <v>353</v>
      </c>
      <c r="E124" s="34">
        <v>2106893.49</v>
      </c>
      <c r="F124" s="33"/>
      <c r="G124" s="33"/>
      <c r="H124" s="33"/>
      <c r="I124" s="33"/>
      <c r="J124" s="33"/>
      <c r="K124" s="34">
        <v>2106893.49</v>
      </c>
      <c r="L124" s="33"/>
    </row>
    <row r="125" ht="15" customHeight="1" spans="1:12">
      <c r="A125" s="33" t="s">
        <v>372</v>
      </c>
      <c r="B125" s="33" t="s">
        <v>373</v>
      </c>
      <c r="C125" s="33"/>
      <c r="D125" s="33"/>
      <c r="E125" s="34">
        <v>203773.58</v>
      </c>
      <c r="F125" s="33"/>
      <c r="G125" s="33"/>
      <c r="H125" s="33"/>
      <c r="I125" s="33"/>
      <c r="J125" s="33"/>
      <c r="K125" s="34">
        <v>203773.58</v>
      </c>
      <c r="L125" s="33"/>
    </row>
    <row r="126" ht="15" customHeight="1" spans="1:12">
      <c r="A126" s="33"/>
      <c r="B126" s="33"/>
      <c r="C126" s="33" t="s">
        <v>348</v>
      </c>
      <c r="D126" s="33" t="s">
        <v>349</v>
      </c>
      <c r="E126" s="34">
        <v>203773.58</v>
      </c>
      <c r="F126" s="33"/>
      <c r="G126" s="33"/>
      <c r="H126" s="33"/>
      <c r="I126" s="33"/>
      <c r="J126" s="33"/>
      <c r="K126" s="34">
        <v>203773.58</v>
      </c>
      <c r="L126" s="33"/>
    </row>
    <row r="127" ht="15" customHeight="1" spans="1:12">
      <c r="A127" s="33" t="s">
        <v>374</v>
      </c>
      <c r="B127" s="33" t="s">
        <v>375</v>
      </c>
      <c r="C127" s="33"/>
      <c r="D127" s="33"/>
      <c r="E127" s="33"/>
      <c r="F127" s="33"/>
      <c r="G127" s="33"/>
      <c r="H127" s="33"/>
      <c r="I127" s="33"/>
      <c r="J127" s="33"/>
      <c r="K127" s="33"/>
      <c r="L127" s="33"/>
    </row>
    <row r="128" ht="15" customHeight="1" spans="1:12">
      <c r="A128" s="33"/>
      <c r="B128" s="33"/>
      <c r="C128" s="33" t="s">
        <v>261</v>
      </c>
      <c r="D128" s="33" t="s">
        <v>261</v>
      </c>
      <c r="E128" s="34">
        <v>47412.84</v>
      </c>
      <c r="F128" s="33"/>
      <c r="G128" s="33"/>
      <c r="H128" s="33"/>
      <c r="I128" s="33"/>
      <c r="J128" s="33"/>
      <c r="K128" s="34">
        <v>47412.84</v>
      </c>
      <c r="L128" s="33"/>
    </row>
    <row r="129" ht="15" customHeight="1" spans="1:12">
      <c r="A129" s="33"/>
      <c r="B129" s="33"/>
      <c r="C129" s="33" t="s">
        <v>352</v>
      </c>
      <c r="D129" s="33" t="s">
        <v>353</v>
      </c>
      <c r="E129" s="33"/>
      <c r="F129" s="34">
        <v>47412.84</v>
      </c>
      <c r="G129" s="33"/>
      <c r="H129" s="33"/>
      <c r="I129" s="33"/>
      <c r="J129" s="33"/>
      <c r="K129" s="33"/>
      <c r="L129" s="34">
        <v>47412.84</v>
      </c>
    </row>
    <row r="130" ht="15" customHeight="1" spans="1:12">
      <c r="A130" s="33" t="s">
        <v>376</v>
      </c>
      <c r="B130" s="33" t="s">
        <v>377</v>
      </c>
      <c r="C130" s="33"/>
      <c r="D130" s="33"/>
      <c r="E130" s="34">
        <v>188679.25</v>
      </c>
      <c r="F130" s="33"/>
      <c r="G130" s="33"/>
      <c r="H130" s="33"/>
      <c r="I130" s="33"/>
      <c r="J130" s="33"/>
      <c r="K130" s="34">
        <v>188679.25</v>
      </c>
      <c r="L130" s="33"/>
    </row>
    <row r="131" ht="15" customHeight="1" spans="1:12">
      <c r="A131" s="33"/>
      <c r="B131" s="33"/>
      <c r="C131" s="33" t="s">
        <v>261</v>
      </c>
      <c r="D131" s="33" t="s">
        <v>261</v>
      </c>
      <c r="E131" s="34">
        <v>188679.25</v>
      </c>
      <c r="F131" s="33"/>
      <c r="G131" s="33"/>
      <c r="H131" s="33"/>
      <c r="I131" s="33"/>
      <c r="J131" s="33"/>
      <c r="K131" s="34">
        <v>188679.25</v>
      </c>
      <c r="L131" s="33"/>
    </row>
    <row r="132" ht="15" customHeight="1" spans="1:12">
      <c r="A132" s="33" t="s">
        <v>378</v>
      </c>
      <c r="B132" s="33" t="s">
        <v>379</v>
      </c>
      <c r="C132" s="33"/>
      <c r="D132" s="33"/>
      <c r="E132" s="34">
        <v>9489300.47</v>
      </c>
      <c r="F132" s="33"/>
      <c r="G132" s="33"/>
      <c r="H132" s="33"/>
      <c r="I132" s="33"/>
      <c r="J132" s="33"/>
      <c r="K132" s="34">
        <v>9489300.47</v>
      </c>
      <c r="L132" s="33"/>
    </row>
    <row r="133" ht="15" customHeight="1" spans="1:12">
      <c r="A133" s="33"/>
      <c r="B133" s="33"/>
      <c r="C133" s="33" t="s">
        <v>261</v>
      </c>
      <c r="D133" s="33" t="s">
        <v>261</v>
      </c>
      <c r="E133" s="34">
        <v>202212.39</v>
      </c>
      <c r="F133" s="33"/>
      <c r="G133" s="33"/>
      <c r="H133" s="33"/>
      <c r="I133" s="33"/>
      <c r="J133" s="33"/>
      <c r="K133" s="34">
        <v>202212.39</v>
      </c>
      <c r="L133" s="33"/>
    </row>
    <row r="134" ht="15" customHeight="1" spans="1:12">
      <c r="A134" s="33"/>
      <c r="B134" s="33"/>
      <c r="C134" s="33" t="s">
        <v>352</v>
      </c>
      <c r="D134" s="33" t="s">
        <v>353</v>
      </c>
      <c r="E134" s="34">
        <v>9287088.08</v>
      </c>
      <c r="F134" s="33"/>
      <c r="G134" s="33"/>
      <c r="H134" s="33"/>
      <c r="I134" s="33"/>
      <c r="J134" s="33"/>
      <c r="K134" s="34">
        <v>9287088.08</v>
      </c>
      <c r="L134" s="33"/>
    </row>
    <row r="135" ht="15" customHeight="1" spans="1:12">
      <c r="A135" s="33" t="s">
        <v>380</v>
      </c>
      <c r="B135" s="33" t="s">
        <v>381</v>
      </c>
      <c r="C135" s="33"/>
      <c r="D135" s="33"/>
      <c r="E135" s="34">
        <v>10947.86</v>
      </c>
      <c r="F135" s="33"/>
      <c r="G135" s="33"/>
      <c r="H135" s="33"/>
      <c r="I135" s="33"/>
      <c r="J135" s="33"/>
      <c r="K135" s="34">
        <v>10947.86</v>
      </c>
      <c r="L135" s="33"/>
    </row>
    <row r="136" ht="15" customHeight="1" spans="1:12">
      <c r="A136" s="33"/>
      <c r="B136" s="33"/>
      <c r="C136" s="33" t="s">
        <v>352</v>
      </c>
      <c r="D136" s="33" t="s">
        <v>353</v>
      </c>
      <c r="E136" s="34">
        <v>10947.86</v>
      </c>
      <c r="F136" s="33"/>
      <c r="G136" s="33"/>
      <c r="H136" s="33"/>
      <c r="I136" s="33"/>
      <c r="J136" s="33"/>
      <c r="K136" s="34">
        <v>10947.86</v>
      </c>
      <c r="L136" s="33"/>
    </row>
    <row r="137" ht="15" customHeight="1" spans="1:12">
      <c r="A137" s="33" t="s">
        <v>382</v>
      </c>
      <c r="B137" s="33" t="s">
        <v>263</v>
      </c>
      <c r="C137" s="33"/>
      <c r="D137" s="33"/>
      <c r="E137" s="34">
        <v>850125.44</v>
      </c>
      <c r="F137" s="33"/>
      <c r="G137" s="33"/>
      <c r="H137" s="33"/>
      <c r="I137" s="33"/>
      <c r="J137" s="33"/>
      <c r="K137" s="34">
        <v>850125.44</v>
      </c>
      <c r="L137" s="33"/>
    </row>
    <row r="138" ht="15" customHeight="1" spans="1:12">
      <c r="A138" s="33"/>
      <c r="B138" s="33"/>
      <c r="C138" s="33" t="s">
        <v>261</v>
      </c>
      <c r="D138" s="33" t="s">
        <v>261</v>
      </c>
      <c r="E138" s="34">
        <v>850125.44</v>
      </c>
      <c r="F138" s="33"/>
      <c r="G138" s="33"/>
      <c r="H138" s="33"/>
      <c r="I138" s="33"/>
      <c r="J138" s="33"/>
      <c r="K138" s="34">
        <v>850125.44</v>
      </c>
      <c r="L138" s="33"/>
    </row>
    <row r="139" ht="15" customHeight="1" spans="1:12">
      <c r="A139" s="33" t="s">
        <v>383</v>
      </c>
      <c r="B139" s="33" t="s">
        <v>384</v>
      </c>
      <c r="C139" s="33"/>
      <c r="D139" s="33"/>
      <c r="E139" s="34">
        <v>25142424</v>
      </c>
      <c r="F139" s="33"/>
      <c r="G139" s="34">
        <v>1023.49</v>
      </c>
      <c r="H139" s="33"/>
      <c r="I139" s="34">
        <v>1023.49</v>
      </c>
      <c r="J139" s="33"/>
      <c r="K139" s="34">
        <v>25143447.49</v>
      </c>
      <c r="L139" s="33"/>
    </row>
    <row r="140" ht="15" customHeight="1" spans="1:12">
      <c r="A140" s="33" t="s">
        <v>385</v>
      </c>
      <c r="B140" s="33" t="s">
        <v>386</v>
      </c>
      <c r="C140" s="33"/>
      <c r="D140" s="33"/>
      <c r="E140" s="34">
        <v>25142424</v>
      </c>
      <c r="F140" s="33"/>
      <c r="G140" s="33"/>
      <c r="H140" s="33"/>
      <c r="I140" s="33"/>
      <c r="J140" s="33"/>
      <c r="K140" s="34">
        <v>25142424</v>
      </c>
      <c r="L140" s="33"/>
    </row>
    <row r="141" ht="15" customHeight="1" spans="1:12">
      <c r="A141" s="33"/>
      <c r="B141" s="33"/>
      <c r="C141" s="33" t="s">
        <v>352</v>
      </c>
      <c r="D141" s="33" t="s">
        <v>353</v>
      </c>
      <c r="E141" s="34">
        <v>25142424</v>
      </c>
      <c r="F141" s="33"/>
      <c r="G141" s="33"/>
      <c r="H141" s="33"/>
      <c r="I141" s="33"/>
      <c r="J141" s="33"/>
      <c r="K141" s="34">
        <v>25142424</v>
      </c>
      <c r="L141" s="33"/>
    </row>
    <row r="142" ht="15" customHeight="1" spans="1:12">
      <c r="A142" s="33" t="s">
        <v>387</v>
      </c>
      <c r="B142" s="33" t="s">
        <v>263</v>
      </c>
      <c r="C142" s="33"/>
      <c r="D142" s="33"/>
      <c r="E142" s="33"/>
      <c r="F142" s="33"/>
      <c r="G142" s="34">
        <v>1023.49</v>
      </c>
      <c r="H142" s="33"/>
      <c r="I142" s="34">
        <v>1023.49</v>
      </c>
      <c r="J142" s="33"/>
      <c r="K142" s="34">
        <v>1023.49</v>
      </c>
      <c r="L142" s="33"/>
    </row>
    <row r="143" ht="15" customHeight="1" spans="1:12">
      <c r="A143" s="33"/>
      <c r="B143" s="33"/>
      <c r="C143" s="33" t="s">
        <v>261</v>
      </c>
      <c r="D143" s="33" t="s">
        <v>261</v>
      </c>
      <c r="E143" s="33"/>
      <c r="F143" s="33"/>
      <c r="G143" s="34">
        <v>1023.49</v>
      </c>
      <c r="H143" s="33"/>
      <c r="I143" s="34">
        <v>1023.49</v>
      </c>
      <c r="J143" s="33"/>
      <c r="K143" s="34">
        <v>1023.49</v>
      </c>
      <c r="L143" s="33"/>
    </row>
    <row r="144" ht="15" customHeight="1" spans="1:12">
      <c r="A144" s="33" t="s">
        <v>388</v>
      </c>
      <c r="B144" s="33" t="s">
        <v>389</v>
      </c>
      <c r="C144" s="33"/>
      <c r="D144" s="33"/>
      <c r="E144" s="33"/>
      <c r="F144" s="33"/>
      <c r="G144" s="34">
        <v>125.84</v>
      </c>
      <c r="H144" s="34">
        <v>125.84</v>
      </c>
      <c r="I144" s="34">
        <v>125.84</v>
      </c>
      <c r="J144" s="34">
        <v>125.84</v>
      </c>
      <c r="K144" s="33"/>
      <c r="L144" s="33"/>
    </row>
    <row r="145" ht="15" customHeight="1" spans="1:12">
      <c r="A145" s="33" t="s">
        <v>390</v>
      </c>
      <c r="B145" s="33" t="s">
        <v>391</v>
      </c>
      <c r="C145" s="33"/>
      <c r="D145" s="33"/>
      <c r="E145" s="33"/>
      <c r="F145" s="33"/>
      <c r="G145" s="34">
        <v>125.84</v>
      </c>
      <c r="H145" s="34">
        <v>125.84</v>
      </c>
      <c r="I145" s="34">
        <v>125.84</v>
      </c>
      <c r="J145" s="34">
        <v>125.84</v>
      </c>
      <c r="K145" s="33"/>
      <c r="L145" s="33"/>
    </row>
    <row r="146" ht="15" customHeight="1" spans="1:12">
      <c r="A146" s="33" t="s">
        <v>392</v>
      </c>
      <c r="B146" s="33" t="s">
        <v>263</v>
      </c>
      <c r="C146" s="33"/>
      <c r="D146" s="33"/>
      <c r="E146" s="33"/>
      <c r="F146" s="33"/>
      <c r="G146" s="34">
        <v>125.84</v>
      </c>
      <c r="H146" s="34">
        <v>125.84</v>
      </c>
      <c r="I146" s="34">
        <v>125.84</v>
      </c>
      <c r="J146" s="34">
        <v>125.84</v>
      </c>
      <c r="K146" s="33"/>
      <c r="L146" s="33"/>
    </row>
    <row r="147" ht="15" customHeight="1" spans="1:12">
      <c r="A147" s="33"/>
      <c r="B147" s="33"/>
      <c r="C147" s="33" t="s">
        <v>261</v>
      </c>
      <c r="D147" s="33" t="s">
        <v>261</v>
      </c>
      <c r="E147" s="33"/>
      <c r="F147" s="33"/>
      <c r="G147" s="34">
        <v>125.84</v>
      </c>
      <c r="H147" s="34">
        <v>125.84</v>
      </c>
      <c r="I147" s="34">
        <v>125.84</v>
      </c>
      <c r="J147" s="34">
        <v>125.84</v>
      </c>
      <c r="K147" s="33"/>
      <c r="L147" s="33"/>
    </row>
    <row r="148" ht="15" customHeight="1" spans="1:12">
      <c r="A148" s="33" t="s">
        <v>393</v>
      </c>
      <c r="B148" s="33" t="s">
        <v>394</v>
      </c>
      <c r="C148" s="33"/>
      <c r="D148" s="33"/>
      <c r="E148" s="33"/>
      <c r="F148" s="33"/>
      <c r="G148" s="34">
        <v>84500.26</v>
      </c>
      <c r="H148" s="34">
        <v>84500.26</v>
      </c>
      <c r="I148" s="34">
        <v>84500.26</v>
      </c>
      <c r="J148" s="34">
        <v>84500.26</v>
      </c>
      <c r="K148" s="33"/>
      <c r="L148" s="33"/>
    </row>
    <row r="149" ht="15" customHeight="1" spans="1:12">
      <c r="A149" s="33" t="s">
        <v>395</v>
      </c>
      <c r="B149" s="33" t="s">
        <v>396</v>
      </c>
      <c r="C149" s="33"/>
      <c r="D149" s="33"/>
      <c r="E149" s="33"/>
      <c r="F149" s="33"/>
      <c r="G149" s="34">
        <v>84500.26</v>
      </c>
      <c r="H149" s="34">
        <v>84500.26</v>
      </c>
      <c r="I149" s="34">
        <v>84500.26</v>
      </c>
      <c r="J149" s="34">
        <v>84500.26</v>
      </c>
      <c r="K149" s="33"/>
      <c r="L149" s="33"/>
    </row>
    <row r="150" ht="15" customHeight="1" spans="1:12">
      <c r="A150" s="33" t="s">
        <v>397</v>
      </c>
      <c r="B150" s="33" t="s">
        <v>307</v>
      </c>
      <c r="C150" s="33"/>
      <c r="D150" s="33"/>
      <c r="E150" s="33"/>
      <c r="F150" s="33"/>
      <c r="G150" s="34">
        <v>84500.26</v>
      </c>
      <c r="H150" s="34">
        <v>84500.26</v>
      </c>
      <c r="I150" s="34">
        <v>84500.26</v>
      </c>
      <c r="J150" s="34">
        <v>84500.26</v>
      </c>
      <c r="K150" s="33"/>
      <c r="L150" s="33"/>
    </row>
    <row r="151" ht="15" customHeight="1" spans="1:12">
      <c r="A151" s="33"/>
      <c r="B151" s="33"/>
      <c r="C151" s="33" t="s">
        <v>398</v>
      </c>
      <c r="D151" s="33" t="s">
        <v>399</v>
      </c>
      <c r="E151" s="33"/>
      <c r="F151" s="33"/>
      <c r="G151" s="34">
        <v>84500.26</v>
      </c>
      <c r="H151" s="34">
        <v>84500.26</v>
      </c>
      <c r="I151" s="34">
        <v>84500.26</v>
      </c>
      <c r="J151" s="34">
        <v>84500.26</v>
      </c>
      <c r="K151" s="33"/>
      <c r="L151" s="33"/>
    </row>
    <row r="152" ht="15" customHeight="1" spans="1:12">
      <c r="A152" s="33" t="s">
        <v>400</v>
      </c>
      <c r="B152" s="33" t="s">
        <v>401</v>
      </c>
      <c r="C152" s="33"/>
      <c r="D152" s="33"/>
      <c r="E152" s="33"/>
      <c r="F152" s="33"/>
      <c r="G152" s="34">
        <v>196837.37</v>
      </c>
      <c r="H152" s="34">
        <v>196837.37</v>
      </c>
      <c r="I152" s="34">
        <v>196837.37</v>
      </c>
      <c r="J152" s="34">
        <v>196837.37</v>
      </c>
      <c r="K152" s="33"/>
      <c r="L152" s="33"/>
    </row>
    <row r="153" ht="15" customHeight="1" spans="1:12">
      <c r="A153" s="33" t="s">
        <v>402</v>
      </c>
      <c r="B153" s="33" t="s">
        <v>277</v>
      </c>
      <c r="C153" s="33"/>
      <c r="D153" s="33"/>
      <c r="E153" s="33"/>
      <c r="F153" s="33"/>
      <c r="G153" s="34">
        <v>103583.22</v>
      </c>
      <c r="H153" s="34">
        <v>103583.22</v>
      </c>
      <c r="I153" s="34">
        <v>103583.22</v>
      </c>
      <c r="J153" s="34">
        <v>103583.22</v>
      </c>
      <c r="K153" s="33"/>
      <c r="L153" s="33"/>
    </row>
    <row r="154" ht="15" customHeight="1" spans="1:12">
      <c r="A154" s="33" t="s">
        <v>403</v>
      </c>
      <c r="B154" s="33" t="s">
        <v>279</v>
      </c>
      <c r="C154" s="33"/>
      <c r="D154" s="33"/>
      <c r="E154" s="33"/>
      <c r="F154" s="33"/>
      <c r="G154" s="34">
        <v>103583.22</v>
      </c>
      <c r="H154" s="34">
        <v>103583.22</v>
      </c>
      <c r="I154" s="34">
        <v>103583.22</v>
      </c>
      <c r="J154" s="34">
        <v>103583.22</v>
      </c>
      <c r="K154" s="33"/>
      <c r="L154" s="33"/>
    </row>
    <row r="155" ht="15" customHeight="1" spans="1:12">
      <c r="A155" s="33"/>
      <c r="B155" s="33"/>
      <c r="C155" s="33" t="s">
        <v>404</v>
      </c>
      <c r="D155" s="33" t="s">
        <v>405</v>
      </c>
      <c r="E155" s="33"/>
      <c r="F155" s="33"/>
      <c r="G155" s="34">
        <v>103583.22</v>
      </c>
      <c r="H155" s="34">
        <v>103583.22</v>
      </c>
      <c r="I155" s="34">
        <v>103583.22</v>
      </c>
      <c r="J155" s="34">
        <v>103583.22</v>
      </c>
      <c r="K155" s="33"/>
      <c r="L155" s="33"/>
    </row>
    <row r="156" ht="15" customHeight="1" spans="1:12">
      <c r="A156" s="33" t="s">
        <v>406</v>
      </c>
      <c r="B156" s="33" t="s">
        <v>283</v>
      </c>
      <c r="C156" s="33"/>
      <c r="D156" s="33"/>
      <c r="E156" s="33"/>
      <c r="F156" s="33"/>
      <c r="G156" s="34">
        <v>27781.36</v>
      </c>
      <c r="H156" s="34">
        <v>27781.36</v>
      </c>
      <c r="I156" s="34">
        <v>27781.36</v>
      </c>
      <c r="J156" s="34">
        <v>27781.36</v>
      </c>
      <c r="K156" s="33"/>
      <c r="L156" s="33"/>
    </row>
    <row r="157" ht="15" customHeight="1" spans="1:12">
      <c r="A157" s="33" t="s">
        <v>407</v>
      </c>
      <c r="B157" s="33" t="s">
        <v>285</v>
      </c>
      <c r="C157" s="33"/>
      <c r="D157" s="33"/>
      <c r="E157" s="33"/>
      <c r="F157" s="33"/>
      <c r="G157" s="34">
        <v>17215.36</v>
      </c>
      <c r="H157" s="34">
        <v>17215.36</v>
      </c>
      <c r="I157" s="34">
        <v>17215.36</v>
      </c>
      <c r="J157" s="34">
        <v>17215.36</v>
      </c>
      <c r="K157" s="33"/>
      <c r="L157" s="33"/>
    </row>
    <row r="158" ht="15" customHeight="1" spans="1:12">
      <c r="A158" s="33"/>
      <c r="B158" s="33"/>
      <c r="C158" s="33" t="s">
        <v>404</v>
      </c>
      <c r="D158" s="33" t="s">
        <v>405</v>
      </c>
      <c r="E158" s="33"/>
      <c r="F158" s="33"/>
      <c r="G158" s="34">
        <v>17215.36</v>
      </c>
      <c r="H158" s="34">
        <v>17215.36</v>
      </c>
      <c r="I158" s="34">
        <v>17215.36</v>
      </c>
      <c r="J158" s="34">
        <v>17215.36</v>
      </c>
      <c r="K158" s="33"/>
      <c r="L158" s="33"/>
    </row>
    <row r="159" ht="15" customHeight="1" spans="1:12">
      <c r="A159" s="33" t="s">
        <v>408</v>
      </c>
      <c r="B159" s="33" t="s">
        <v>287</v>
      </c>
      <c r="C159" s="33"/>
      <c r="D159" s="33"/>
      <c r="E159" s="33"/>
      <c r="F159" s="33"/>
      <c r="G159" s="34">
        <v>9683.68</v>
      </c>
      <c r="H159" s="34">
        <v>9683.68</v>
      </c>
      <c r="I159" s="34">
        <v>9683.68</v>
      </c>
      <c r="J159" s="34">
        <v>9683.68</v>
      </c>
      <c r="K159" s="33"/>
      <c r="L159" s="33"/>
    </row>
    <row r="160" ht="15" customHeight="1" spans="1:12">
      <c r="A160" s="33"/>
      <c r="B160" s="33"/>
      <c r="C160" s="33" t="s">
        <v>404</v>
      </c>
      <c r="D160" s="33" t="s">
        <v>405</v>
      </c>
      <c r="E160" s="33"/>
      <c r="F160" s="33"/>
      <c r="G160" s="34">
        <v>9683.68</v>
      </c>
      <c r="H160" s="34">
        <v>9683.68</v>
      </c>
      <c r="I160" s="34">
        <v>9683.68</v>
      </c>
      <c r="J160" s="34">
        <v>9683.68</v>
      </c>
      <c r="K160" s="33"/>
      <c r="L160" s="33"/>
    </row>
    <row r="161" ht="15" customHeight="1" spans="1:12">
      <c r="A161" s="33" t="s">
        <v>409</v>
      </c>
      <c r="B161" s="33" t="s">
        <v>289</v>
      </c>
      <c r="C161" s="33"/>
      <c r="D161" s="33"/>
      <c r="E161" s="33"/>
      <c r="F161" s="33"/>
      <c r="G161" s="34">
        <v>344.32</v>
      </c>
      <c r="H161" s="34">
        <v>344.32</v>
      </c>
      <c r="I161" s="34">
        <v>344.32</v>
      </c>
      <c r="J161" s="34">
        <v>344.32</v>
      </c>
      <c r="K161" s="33"/>
      <c r="L161" s="33"/>
    </row>
    <row r="162" ht="15" customHeight="1" spans="1:12">
      <c r="A162" s="33"/>
      <c r="B162" s="33"/>
      <c r="C162" s="33" t="s">
        <v>404</v>
      </c>
      <c r="D162" s="33" t="s">
        <v>405</v>
      </c>
      <c r="E162" s="33"/>
      <c r="F162" s="33"/>
      <c r="G162" s="34">
        <v>344.32</v>
      </c>
      <c r="H162" s="34">
        <v>344.32</v>
      </c>
      <c r="I162" s="34">
        <v>344.32</v>
      </c>
      <c r="J162" s="34">
        <v>344.32</v>
      </c>
      <c r="K162" s="33"/>
      <c r="L162" s="33"/>
    </row>
    <row r="163" ht="15" customHeight="1" spans="1:12">
      <c r="A163" s="33" t="s">
        <v>410</v>
      </c>
      <c r="B163" s="33" t="s">
        <v>291</v>
      </c>
      <c r="C163" s="33"/>
      <c r="D163" s="33"/>
      <c r="E163" s="33"/>
      <c r="F163" s="33"/>
      <c r="G163" s="34">
        <v>538</v>
      </c>
      <c r="H163" s="34">
        <v>538</v>
      </c>
      <c r="I163" s="34">
        <v>538</v>
      </c>
      <c r="J163" s="34">
        <v>538</v>
      </c>
      <c r="K163" s="33"/>
      <c r="L163" s="33"/>
    </row>
    <row r="164" ht="15" customHeight="1" spans="1:12">
      <c r="A164" s="33"/>
      <c r="B164" s="33"/>
      <c r="C164" s="33" t="s">
        <v>404</v>
      </c>
      <c r="D164" s="33" t="s">
        <v>405</v>
      </c>
      <c r="E164" s="33"/>
      <c r="F164" s="33"/>
      <c r="G164" s="34">
        <v>538</v>
      </c>
      <c r="H164" s="34">
        <v>538</v>
      </c>
      <c r="I164" s="34">
        <v>538</v>
      </c>
      <c r="J164" s="34">
        <v>538</v>
      </c>
      <c r="K164" s="33"/>
      <c r="L164" s="33"/>
    </row>
    <row r="165" ht="15" customHeight="1" spans="1:12">
      <c r="A165" s="33" t="s">
        <v>411</v>
      </c>
      <c r="B165" s="33" t="s">
        <v>293</v>
      </c>
      <c r="C165" s="33"/>
      <c r="D165" s="33"/>
      <c r="E165" s="33"/>
      <c r="F165" s="33"/>
      <c r="G165" s="34">
        <v>7532</v>
      </c>
      <c r="H165" s="34">
        <v>7532</v>
      </c>
      <c r="I165" s="34">
        <v>7532</v>
      </c>
      <c r="J165" s="34">
        <v>7532</v>
      </c>
      <c r="K165" s="33"/>
      <c r="L165" s="33"/>
    </row>
    <row r="166" ht="15" customHeight="1" spans="1:12">
      <c r="A166" s="33" t="s">
        <v>412</v>
      </c>
      <c r="B166" s="33" t="s">
        <v>295</v>
      </c>
      <c r="C166" s="33"/>
      <c r="D166" s="33"/>
      <c r="E166" s="33"/>
      <c r="F166" s="33"/>
      <c r="G166" s="34">
        <v>7532</v>
      </c>
      <c r="H166" s="34">
        <v>7532</v>
      </c>
      <c r="I166" s="34">
        <v>7532</v>
      </c>
      <c r="J166" s="34">
        <v>7532</v>
      </c>
      <c r="K166" s="33"/>
      <c r="L166" s="33"/>
    </row>
    <row r="167" ht="15" customHeight="1" spans="1:12">
      <c r="A167" s="33"/>
      <c r="B167" s="33"/>
      <c r="C167" s="33" t="s">
        <v>404</v>
      </c>
      <c r="D167" s="33" t="s">
        <v>405</v>
      </c>
      <c r="E167" s="33"/>
      <c r="F167" s="33"/>
      <c r="G167" s="34">
        <v>7532</v>
      </c>
      <c r="H167" s="34">
        <v>7532</v>
      </c>
      <c r="I167" s="34">
        <v>7532</v>
      </c>
      <c r="J167" s="34">
        <v>7532</v>
      </c>
      <c r="K167" s="33"/>
      <c r="L167" s="33"/>
    </row>
    <row r="168" ht="15" customHeight="1" spans="1:12">
      <c r="A168" s="33" t="s">
        <v>413</v>
      </c>
      <c r="B168" s="33" t="s">
        <v>414</v>
      </c>
      <c r="C168" s="33"/>
      <c r="D168" s="33"/>
      <c r="E168" s="33"/>
      <c r="F168" s="33"/>
      <c r="G168" s="34">
        <v>57940.79</v>
      </c>
      <c r="H168" s="34">
        <v>57940.79</v>
      </c>
      <c r="I168" s="34">
        <v>57940.79</v>
      </c>
      <c r="J168" s="34">
        <v>57940.79</v>
      </c>
      <c r="K168" s="33"/>
      <c r="L168" s="33"/>
    </row>
    <row r="169" ht="15" customHeight="1" spans="1:12">
      <c r="A169" s="33" t="s">
        <v>415</v>
      </c>
      <c r="B169" s="33" t="s">
        <v>416</v>
      </c>
      <c r="C169" s="33"/>
      <c r="D169" s="33"/>
      <c r="E169" s="33"/>
      <c r="F169" s="33"/>
      <c r="G169" s="34">
        <v>108.02</v>
      </c>
      <c r="H169" s="34">
        <v>108.02</v>
      </c>
      <c r="I169" s="34">
        <v>108.02</v>
      </c>
      <c r="J169" s="34">
        <v>108.02</v>
      </c>
      <c r="K169" s="33"/>
      <c r="L169" s="33"/>
    </row>
    <row r="170" ht="15" customHeight="1" spans="1:12">
      <c r="A170" s="33"/>
      <c r="B170" s="33"/>
      <c r="C170" s="33" t="s">
        <v>261</v>
      </c>
      <c r="D170" s="33" t="s">
        <v>261</v>
      </c>
      <c r="E170" s="33"/>
      <c r="F170" s="33"/>
      <c r="G170" s="34">
        <v>108.02</v>
      </c>
      <c r="H170" s="34">
        <v>108.02</v>
      </c>
      <c r="I170" s="34">
        <v>108.02</v>
      </c>
      <c r="J170" s="34">
        <v>108.02</v>
      </c>
      <c r="K170" s="33"/>
      <c r="L170" s="33"/>
    </row>
    <row r="171" ht="15" customHeight="1" spans="1:12">
      <c r="A171" s="33" t="s">
        <v>417</v>
      </c>
      <c r="B171" s="33" t="s">
        <v>418</v>
      </c>
      <c r="C171" s="33"/>
      <c r="D171" s="33"/>
      <c r="E171" s="33"/>
      <c r="F171" s="33"/>
      <c r="G171" s="34">
        <v>56603.77</v>
      </c>
      <c r="H171" s="34">
        <v>56603.77</v>
      </c>
      <c r="I171" s="34">
        <v>56603.77</v>
      </c>
      <c r="J171" s="34">
        <v>56603.77</v>
      </c>
      <c r="K171" s="33"/>
      <c r="L171" s="33"/>
    </row>
    <row r="172" ht="15" customHeight="1" spans="1:12">
      <c r="A172" s="33"/>
      <c r="B172" s="33"/>
      <c r="C172" s="33" t="s">
        <v>261</v>
      </c>
      <c r="D172" s="33" t="s">
        <v>261</v>
      </c>
      <c r="E172" s="33"/>
      <c r="F172" s="33"/>
      <c r="G172" s="34">
        <v>56603.77</v>
      </c>
      <c r="H172" s="34">
        <v>56603.77</v>
      </c>
      <c r="I172" s="34">
        <v>56603.77</v>
      </c>
      <c r="J172" s="34">
        <v>56603.77</v>
      </c>
      <c r="K172" s="33"/>
      <c r="L172" s="33"/>
    </row>
    <row r="173" ht="15" customHeight="1" spans="1:12">
      <c r="A173" s="33" t="s">
        <v>419</v>
      </c>
      <c r="B173" s="33" t="s">
        <v>420</v>
      </c>
      <c r="C173" s="33"/>
      <c r="D173" s="33"/>
      <c r="E173" s="33"/>
      <c r="F173" s="33"/>
      <c r="G173" s="34">
        <v>1229</v>
      </c>
      <c r="H173" s="34">
        <v>1229</v>
      </c>
      <c r="I173" s="34">
        <v>1229</v>
      </c>
      <c r="J173" s="34">
        <v>1229</v>
      </c>
      <c r="K173" s="33"/>
      <c r="L173" s="33"/>
    </row>
    <row r="174" ht="15" customHeight="1" spans="1:12">
      <c r="A174" s="33"/>
      <c r="B174" s="33"/>
      <c r="C174" s="33" t="s">
        <v>261</v>
      </c>
      <c r="D174" s="33" t="s">
        <v>261</v>
      </c>
      <c r="E174" s="33"/>
      <c r="F174" s="33"/>
      <c r="G174" s="34">
        <v>1229</v>
      </c>
      <c r="H174" s="34">
        <v>1229</v>
      </c>
      <c r="I174" s="34">
        <v>1229</v>
      </c>
      <c r="J174" s="34">
        <v>1229</v>
      </c>
      <c r="K174" s="33"/>
      <c r="L174" s="33"/>
    </row>
    <row r="175" ht="15" customHeight="1" spans="1:12">
      <c r="A175" s="33" t="s">
        <v>421</v>
      </c>
      <c r="B175" s="33" t="s">
        <v>422</v>
      </c>
      <c r="C175" s="33"/>
      <c r="D175" s="33"/>
      <c r="E175" s="33"/>
      <c r="F175" s="33"/>
      <c r="G175" s="34">
        <v>-139992.88</v>
      </c>
      <c r="H175" s="34">
        <v>-139992.88</v>
      </c>
      <c r="I175" s="34">
        <v>-139992.88</v>
      </c>
      <c r="J175" s="34">
        <v>-139992.88</v>
      </c>
      <c r="K175" s="33"/>
      <c r="L175" s="33"/>
    </row>
    <row r="176" ht="15" customHeight="1" spans="1:12">
      <c r="A176" s="33" t="s">
        <v>423</v>
      </c>
      <c r="B176" s="33" t="s">
        <v>424</v>
      </c>
      <c r="C176" s="33"/>
      <c r="D176" s="33"/>
      <c r="E176" s="33"/>
      <c r="F176" s="33"/>
      <c r="G176" s="34">
        <v>-139992.88</v>
      </c>
      <c r="H176" s="34">
        <v>-139992.88</v>
      </c>
      <c r="I176" s="34">
        <v>-139992.88</v>
      </c>
      <c r="J176" s="34">
        <v>-139992.88</v>
      </c>
      <c r="K176" s="33"/>
      <c r="L176" s="33"/>
    </row>
    <row r="177" ht="15" customHeight="1" spans="1:12">
      <c r="A177" s="33" t="s">
        <v>425</v>
      </c>
      <c r="B177" s="33" t="s">
        <v>426</v>
      </c>
      <c r="C177" s="33"/>
      <c r="D177" s="33"/>
      <c r="E177" s="33"/>
      <c r="F177" s="33"/>
      <c r="G177" s="34">
        <v>-143599.88</v>
      </c>
      <c r="H177" s="34">
        <v>-143599.88</v>
      </c>
      <c r="I177" s="34">
        <v>-143599.88</v>
      </c>
      <c r="J177" s="34">
        <v>-143599.88</v>
      </c>
      <c r="K177" s="33"/>
      <c r="L177" s="33"/>
    </row>
    <row r="178" ht="15" customHeight="1" spans="1:12">
      <c r="A178" s="33"/>
      <c r="B178" s="33"/>
      <c r="C178" s="33" t="s">
        <v>261</v>
      </c>
      <c r="D178" s="33" t="s">
        <v>261</v>
      </c>
      <c r="E178" s="33"/>
      <c r="F178" s="33"/>
      <c r="G178" s="34">
        <v>-143599.88</v>
      </c>
      <c r="H178" s="34">
        <v>-143599.88</v>
      </c>
      <c r="I178" s="34">
        <v>-143599.88</v>
      </c>
      <c r="J178" s="34">
        <v>-143599.88</v>
      </c>
      <c r="K178" s="33"/>
      <c r="L178" s="33"/>
    </row>
    <row r="179" ht="15" customHeight="1" spans="1:12">
      <c r="A179" s="33" t="s">
        <v>427</v>
      </c>
      <c r="B179" s="33" t="s">
        <v>428</v>
      </c>
      <c r="C179" s="33"/>
      <c r="D179" s="33"/>
      <c r="E179" s="33"/>
      <c r="F179" s="33"/>
      <c r="G179" s="34">
        <v>3607</v>
      </c>
      <c r="H179" s="34">
        <v>3607</v>
      </c>
      <c r="I179" s="34">
        <v>3607</v>
      </c>
      <c r="J179" s="34">
        <v>3607</v>
      </c>
      <c r="K179" s="33"/>
      <c r="L179" s="33"/>
    </row>
    <row r="180" ht="15" customHeight="1" spans="1:12">
      <c r="A180" s="33"/>
      <c r="B180" s="33"/>
      <c r="C180" s="33" t="s">
        <v>261</v>
      </c>
      <c r="D180" s="33" t="s">
        <v>261</v>
      </c>
      <c r="E180" s="33"/>
      <c r="F180" s="33"/>
      <c r="G180" s="34">
        <v>3607</v>
      </c>
      <c r="H180" s="34">
        <v>3607</v>
      </c>
      <c r="I180" s="34">
        <v>3607</v>
      </c>
      <c r="J180" s="34">
        <v>3607</v>
      </c>
      <c r="K180" s="33"/>
      <c r="L180" s="33"/>
    </row>
    <row r="181" ht="15" customHeight="1" spans="1:12">
      <c r="A181" s="33"/>
      <c r="B181" s="33" t="s">
        <v>429</v>
      </c>
      <c r="C181" s="33"/>
      <c r="D181" s="33"/>
      <c r="E181" s="34">
        <v>5836505420.01</v>
      </c>
      <c r="F181" s="34">
        <v>5836505420.01</v>
      </c>
      <c r="G181" s="34">
        <v>900656.81</v>
      </c>
      <c r="H181" s="34">
        <v>900656.81</v>
      </c>
      <c r="I181" s="34">
        <v>900656.81</v>
      </c>
      <c r="J181" s="34">
        <v>900656.81</v>
      </c>
      <c r="K181" s="34">
        <v>5836504957.19</v>
      </c>
      <c r="L181" s="34">
        <v>5836504957.19</v>
      </c>
    </row>
  </sheetData>
  <mergeCells count="8">
    <mergeCell ref="E2:F2"/>
    <mergeCell ref="G2:H2"/>
    <mergeCell ref="I2:J2"/>
    <mergeCell ref="K2:L2"/>
    <mergeCell ref="A2:A3"/>
    <mergeCell ref="B2:B3"/>
    <mergeCell ref="C2:C3"/>
    <mergeCell ref="D2:D3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selection activeCell="A1" sqref="A1"/>
    </sheetView>
  </sheetViews>
  <sheetFormatPr defaultColWidth="9" defaultRowHeight="9.5" outlineLevelCol="7"/>
  <cols>
    <col min="1" max="1" width="28.1818181818182" style="1" customWidth="1"/>
    <col min="2" max="2" width="35.3636363636364" style="1" customWidth="1"/>
    <col min="3" max="3" width="42.5454545454545" style="1" customWidth="1"/>
    <col min="4" max="4" width="9.90909090909091" style="1" customWidth="1"/>
    <col min="5" max="5" width="12.6363636363636" style="1" customWidth="1"/>
    <col min="6" max="7" width="11.8181818181818" style="1" customWidth="1"/>
    <col min="8" max="8" width="12.6363636363636" style="1"/>
    <col min="9" max="9" width="9" style="1"/>
    <col min="10" max="10" width="9.36363636363636" style="1"/>
    <col min="11" max="16384" width="9" style="1"/>
  </cols>
  <sheetData>
    <row r="1" ht="16" customHeight="1" spans="1:7">
      <c r="A1" s="3" t="s">
        <v>430</v>
      </c>
      <c r="B1" s="4" t="s">
        <v>431</v>
      </c>
      <c r="C1" s="4" t="s">
        <v>432</v>
      </c>
      <c r="D1" s="5" t="s">
        <v>433</v>
      </c>
      <c r="E1" s="6" t="s">
        <v>434</v>
      </c>
      <c r="F1" s="6" t="s">
        <v>435</v>
      </c>
      <c r="G1" s="26" t="s">
        <v>436</v>
      </c>
    </row>
    <row r="2" ht="16" customHeight="1" spans="1:7">
      <c r="A2" s="7" t="s">
        <v>437</v>
      </c>
      <c r="B2" s="7" t="s">
        <v>212</v>
      </c>
      <c r="C2" s="7" t="s">
        <v>438</v>
      </c>
      <c r="D2" s="8">
        <v>43861</v>
      </c>
      <c r="E2" s="27">
        <v>450000000</v>
      </c>
      <c r="F2" s="27">
        <f>427500000+15631284</f>
        <v>443131284</v>
      </c>
      <c r="G2" s="27">
        <f>E2-F2</f>
        <v>6868716</v>
      </c>
    </row>
    <row r="3" ht="16" customHeight="1" spans="1:7">
      <c r="A3" s="7" t="s">
        <v>439</v>
      </c>
      <c r="B3" s="7" t="s">
        <v>212</v>
      </c>
      <c r="C3" s="7" t="s">
        <v>438</v>
      </c>
      <c r="D3" s="8">
        <v>43861</v>
      </c>
      <c r="E3" s="27">
        <v>350000000</v>
      </c>
      <c r="F3" s="28">
        <f>662197500+24212859</f>
        <v>686410359</v>
      </c>
      <c r="G3" s="28">
        <f>SUM(E3:E6)-F3</f>
        <v>10639641</v>
      </c>
    </row>
    <row r="4" ht="16" customHeight="1" spans="1:7">
      <c r="A4" s="7" t="s">
        <v>439</v>
      </c>
      <c r="B4" s="7" t="s">
        <v>212</v>
      </c>
      <c r="C4" s="7" t="s">
        <v>438</v>
      </c>
      <c r="D4" s="8">
        <v>43921</v>
      </c>
      <c r="E4" s="27">
        <v>360000000</v>
      </c>
      <c r="F4" s="29"/>
      <c r="G4" s="29"/>
    </row>
    <row r="5" ht="16" customHeight="1" spans="1:7">
      <c r="A5" s="7" t="s">
        <v>439</v>
      </c>
      <c r="B5" s="7" t="s">
        <v>212</v>
      </c>
      <c r="C5" s="7" t="s">
        <v>440</v>
      </c>
      <c r="D5" s="8">
        <v>44196</v>
      </c>
      <c r="E5" s="27">
        <v>-2950000</v>
      </c>
      <c r="F5" s="29"/>
      <c r="G5" s="29"/>
    </row>
    <row r="6" ht="16" customHeight="1" spans="1:7">
      <c r="A6" s="7" t="s">
        <v>439</v>
      </c>
      <c r="B6" s="7" t="s">
        <v>212</v>
      </c>
      <c r="C6" s="7" t="s">
        <v>440</v>
      </c>
      <c r="D6" s="8">
        <v>44255</v>
      </c>
      <c r="E6" s="27">
        <v>-10000000</v>
      </c>
      <c r="F6" s="30"/>
      <c r="G6" s="30"/>
    </row>
    <row r="7" ht="16" customHeight="1" spans="1:7">
      <c r="A7" s="7" t="s">
        <v>441</v>
      </c>
      <c r="B7" s="7" t="s">
        <v>212</v>
      </c>
      <c r="C7" s="7" t="s">
        <v>442</v>
      </c>
      <c r="D7" s="8">
        <v>44196</v>
      </c>
      <c r="E7" s="27">
        <v>1112000</v>
      </c>
      <c r="F7" s="28">
        <f>666056400+24353957</f>
        <v>690410357</v>
      </c>
      <c r="G7" s="28">
        <f>SUM(E7:E9)-F7</f>
        <v>10701643</v>
      </c>
    </row>
    <row r="8" ht="16" customHeight="1" spans="1:7">
      <c r="A8" s="7" t="s">
        <v>441</v>
      </c>
      <c r="B8" s="7" t="s">
        <v>212</v>
      </c>
      <c r="C8" s="7" t="s">
        <v>438</v>
      </c>
      <c r="D8" s="8">
        <v>43921</v>
      </c>
      <c r="E8" s="27">
        <v>800000000</v>
      </c>
      <c r="F8" s="29"/>
      <c r="G8" s="29"/>
    </row>
    <row r="9" ht="16" customHeight="1" spans="1:7">
      <c r="A9" s="7" t="s">
        <v>441</v>
      </c>
      <c r="B9" s="7" t="s">
        <v>212</v>
      </c>
      <c r="C9" s="7" t="s">
        <v>443</v>
      </c>
      <c r="D9" s="8">
        <v>44500</v>
      </c>
      <c r="E9" s="27">
        <v>-100000000</v>
      </c>
      <c r="F9" s="30"/>
      <c r="G9" s="30"/>
    </row>
    <row r="10" ht="16" customHeight="1" spans="1:7">
      <c r="A10" s="7" t="s">
        <v>444</v>
      </c>
      <c r="B10" s="7" t="s">
        <v>445</v>
      </c>
      <c r="C10" s="7" t="s">
        <v>446</v>
      </c>
      <c r="D10" s="8">
        <v>45224</v>
      </c>
      <c r="E10" s="27">
        <v>0</v>
      </c>
      <c r="F10" s="27"/>
      <c r="G10" s="27">
        <f t="shared" ref="G10:G15" si="0">E10-F10</f>
        <v>0</v>
      </c>
    </row>
    <row r="11" ht="16" customHeight="1" spans="1:7">
      <c r="A11" s="7" t="s">
        <v>444</v>
      </c>
      <c r="B11" s="7" t="s">
        <v>445</v>
      </c>
      <c r="C11" s="7" t="s">
        <v>447</v>
      </c>
      <c r="D11" s="8">
        <v>45224</v>
      </c>
      <c r="E11" s="27">
        <v>1204920</v>
      </c>
      <c r="F11" s="27">
        <v>1204920</v>
      </c>
      <c r="G11" s="27">
        <f t="shared" si="0"/>
        <v>0</v>
      </c>
    </row>
    <row r="12" ht="16" customHeight="1" spans="1:7">
      <c r="A12" s="7" t="s">
        <v>444</v>
      </c>
      <c r="B12" s="7" t="s">
        <v>445</v>
      </c>
      <c r="C12" s="7" t="s">
        <v>448</v>
      </c>
      <c r="D12" s="8">
        <v>45224</v>
      </c>
      <c r="E12" s="27">
        <v>784402</v>
      </c>
      <c r="F12" s="27">
        <v>784402</v>
      </c>
      <c r="G12" s="27">
        <f t="shared" si="0"/>
        <v>0</v>
      </c>
    </row>
    <row r="13" ht="16" customHeight="1" spans="1:7">
      <c r="A13" s="7" t="s">
        <v>444</v>
      </c>
      <c r="B13" s="7" t="s">
        <v>445</v>
      </c>
      <c r="C13" s="7" t="s">
        <v>449</v>
      </c>
      <c r="D13" s="8">
        <v>45224</v>
      </c>
      <c r="E13" s="27">
        <v>0</v>
      </c>
      <c r="F13" s="27"/>
      <c r="G13" s="27">
        <f t="shared" si="0"/>
        <v>0</v>
      </c>
    </row>
    <row r="14" ht="16" customHeight="1" spans="1:7">
      <c r="A14" s="7" t="s">
        <v>444</v>
      </c>
      <c r="B14" s="7" t="s">
        <v>445</v>
      </c>
      <c r="C14" s="7" t="s">
        <v>450</v>
      </c>
      <c r="D14" s="8">
        <v>45535</v>
      </c>
      <c r="E14" s="27">
        <v>22170</v>
      </c>
      <c r="F14" s="27">
        <v>22170</v>
      </c>
      <c r="G14" s="27">
        <f t="shared" si="0"/>
        <v>0</v>
      </c>
    </row>
    <row r="15" ht="16" customHeight="1" spans="1:7">
      <c r="A15" s="7" t="s">
        <v>444</v>
      </c>
      <c r="B15" s="7" t="s">
        <v>445</v>
      </c>
      <c r="C15" s="7" t="s">
        <v>451</v>
      </c>
      <c r="D15" s="8">
        <v>45807</v>
      </c>
      <c r="E15" s="27">
        <v>566777</v>
      </c>
      <c r="F15" s="27">
        <v>566777</v>
      </c>
      <c r="G15" s="27">
        <f t="shared" si="0"/>
        <v>0</v>
      </c>
    </row>
    <row r="16" ht="16" customHeight="1" spans="1:7">
      <c r="A16" s="7" t="s">
        <v>236</v>
      </c>
      <c r="B16" s="7" t="s">
        <v>452</v>
      </c>
      <c r="C16" s="7" t="s">
        <v>453</v>
      </c>
      <c r="D16" s="8">
        <v>46022</v>
      </c>
      <c r="E16" s="27">
        <v>71981976.69</v>
      </c>
      <c r="F16" s="27"/>
      <c r="G16" s="27">
        <v>71981976.69</v>
      </c>
    </row>
    <row r="17" ht="16" customHeight="1" spans="1:8">
      <c r="A17" s="7" t="s">
        <v>230</v>
      </c>
      <c r="B17" s="7" t="s">
        <v>454</v>
      </c>
      <c r="C17" s="7" t="s">
        <v>455</v>
      </c>
      <c r="D17" s="8">
        <v>45777</v>
      </c>
      <c r="E17" s="27">
        <v>5000</v>
      </c>
      <c r="F17" s="27"/>
      <c r="G17" s="27">
        <v>5000</v>
      </c>
    </row>
    <row r="21" spans="1:8">
      <c r="G21" s="1">
        <f>SUM(G2:G17)</f>
        <v>100196976.69</v>
      </c>
      <c r="H21" s="10">
        <f>G21-G22</f>
        <v>0</v>
      </c>
    </row>
    <row r="22" spans="1:8">
      <c r="G22" s="1">
        <f>科目余额表!K17-科目余额表!L34</f>
        <v>100196976.69</v>
      </c>
      <c r="H22" s="10"/>
    </row>
  </sheetData>
  <autoFilter xmlns:etc="http://www.wps.cn/officeDocument/2017/etCustomData" ref="A1:G18" etc:filterBottomFollowUsedRange="0">
    <extLst/>
  </autoFilter>
  <mergeCells count="4">
    <mergeCell ref="F3:F6"/>
    <mergeCell ref="F7:F9"/>
    <mergeCell ref="G3:G6"/>
    <mergeCell ref="G7:G9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18"/>
  <sheetViews>
    <sheetView view="pageBreakPreview" zoomScale="90" zoomScaleNormal="100" workbookViewId="0">
      <selection activeCell="A1" sqref="A1:Q1"/>
    </sheetView>
  </sheetViews>
  <sheetFormatPr defaultColWidth="9" defaultRowHeight="19.5" customHeight="1"/>
  <cols>
    <col min="1" max="1" width="11" style="12" customWidth="1"/>
    <col min="2" max="2" width="26.5454545454545" style="12" customWidth="1"/>
    <col min="3" max="3" width="11.8181818181818" style="12" customWidth="1"/>
    <col min="4" max="6" width="8.63636363636364" style="12" customWidth="1"/>
    <col min="7" max="7" width="27.1818181818182" style="13" customWidth="1"/>
    <col min="8" max="9" width="8.63636363636364" style="12" customWidth="1"/>
    <col min="10" max="10" width="7.18181818181818" style="12" customWidth="1"/>
    <col min="11" max="13" width="8.63636363636364" style="14" customWidth="1"/>
    <col min="14" max="15" width="11.8181818181818" style="14" customWidth="1"/>
    <col min="16" max="16" width="5.72727272727273" style="14" customWidth="1"/>
    <col min="17" max="17" width="11.8181818181818" style="14" customWidth="1"/>
    <col min="18" max="16384" width="9" style="12"/>
  </cols>
  <sheetData>
    <row r="1" customHeight="1" spans="1:17">
      <c r="A1" s="15" t="s">
        <v>456</v>
      </c>
      <c r="B1" s="15"/>
      <c r="C1" s="15"/>
      <c r="D1" s="15"/>
      <c r="E1" s="15"/>
      <c r="F1" s="15"/>
      <c r="G1" s="16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customHeight="1" spans="1:17">
      <c r="A2" s="17">
        <f ca="1">TODAY()-15</f>
        <v>46133</v>
      </c>
      <c r="B2" s="17"/>
      <c r="C2" s="17"/>
      <c r="D2" s="17"/>
      <c r="E2" s="17"/>
      <c r="F2" s="17"/>
      <c r="G2" s="18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customHeight="1" spans="1:17">
      <c r="A3" s="19" t="s">
        <v>457</v>
      </c>
      <c r="B3" s="11"/>
      <c r="C3" s="11"/>
      <c r="D3" s="11"/>
      <c r="E3" s="11"/>
      <c r="F3" s="11"/>
      <c r="G3" s="20"/>
      <c r="K3" s="21"/>
      <c r="L3" s="21"/>
      <c r="M3" s="21"/>
      <c r="N3" s="21"/>
    </row>
    <row r="4" s="11" customFormat="1" customHeight="1" spans="1:17">
      <c r="A4" s="22" t="s">
        <v>458</v>
      </c>
      <c r="B4" s="22" t="s">
        <v>176</v>
      </c>
      <c r="C4" s="22" t="s">
        <v>459</v>
      </c>
      <c r="D4" s="22" t="s">
        <v>460</v>
      </c>
      <c r="E4" s="22" t="s">
        <v>461</v>
      </c>
      <c r="F4" s="22" t="s">
        <v>462</v>
      </c>
      <c r="G4" s="23" t="s">
        <v>463</v>
      </c>
      <c r="H4" s="22" t="s">
        <v>464</v>
      </c>
      <c r="I4" s="22" t="s">
        <v>465</v>
      </c>
      <c r="J4" s="22" t="s">
        <v>466</v>
      </c>
      <c r="K4" s="22" t="s">
        <v>467</v>
      </c>
      <c r="L4" s="22" t="s">
        <v>468</v>
      </c>
      <c r="M4" s="22" t="s">
        <v>469</v>
      </c>
      <c r="N4" s="22" t="s">
        <v>470</v>
      </c>
      <c r="O4" s="22" t="s">
        <v>471</v>
      </c>
      <c r="P4" s="22" t="s">
        <v>472</v>
      </c>
      <c r="Q4" s="22" t="s">
        <v>473</v>
      </c>
    </row>
    <row r="5" s="11" customFormat="1" customHeight="1" spans="1:17">
      <c r="A5" s="24">
        <v>6602</v>
      </c>
      <c r="B5" s="22" t="s">
        <v>401</v>
      </c>
      <c r="C5" s="25" t="s">
        <v>474</v>
      </c>
      <c r="D5" s="22"/>
      <c r="E5" s="22"/>
      <c r="F5" s="22"/>
      <c r="G5" s="23" t="s">
        <v>179</v>
      </c>
      <c r="H5" s="22"/>
      <c r="I5" s="22"/>
      <c r="J5" s="22"/>
      <c r="K5" s="22"/>
      <c r="L5" s="22"/>
      <c r="M5" s="22"/>
      <c r="N5" s="22">
        <v>301667.11</v>
      </c>
      <c r="O5" s="22">
        <v>301667.11</v>
      </c>
      <c r="P5" s="22" t="s">
        <v>475</v>
      </c>
      <c r="Q5" s="22"/>
    </row>
    <row r="6" s="11" customFormat="1" customHeight="1" spans="1:17">
      <c r="A6" s="24" t="s">
        <v>403</v>
      </c>
      <c r="B6" s="22" t="s">
        <v>476</v>
      </c>
      <c r="C6" s="25" t="s">
        <v>477</v>
      </c>
      <c r="D6" s="25" t="s">
        <v>477</v>
      </c>
      <c r="E6" s="22" t="s">
        <v>478</v>
      </c>
      <c r="F6" s="22"/>
      <c r="G6" s="23" t="s">
        <v>476</v>
      </c>
      <c r="H6" s="22"/>
      <c r="I6" s="22"/>
      <c r="J6" s="22"/>
      <c r="K6" s="22"/>
      <c r="L6" s="22"/>
      <c r="M6" s="22"/>
      <c r="N6" s="22">
        <v>26400</v>
      </c>
      <c r="O6" s="22"/>
      <c r="P6" s="22"/>
      <c r="Q6" s="22">
        <f t="shared" ref="Q6:Q16" si="0">N6+Q5-O6</f>
        <v>26400</v>
      </c>
    </row>
    <row r="7" s="11" customFormat="1" customHeight="1" spans="1:17">
      <c r="A7" s="24" t="s">
        <v>407</v>
      </c>
      <c r="B7" s="22" t="s">
        <v>479</v>
      </c>
      <c r="C7" s="25" t="s">
        <v>477</v>
      </c>
      <c r="D7" s="25" t="s">
        <v>477</v>
      </c>
      <c r="E7" s="22" t="s">
        <v>478</v>
      </c>
      <c r="F7" s="22"/>
      <c r="G7" s="23" t="s">
        <v>479</v>
      </c>
      <c r="H7" s="22"/>
      <c r="I7" s="22"/>
      <c r="J7" s="22"/>
      <c r="K7" s="22"/>
      <c r="L7" s="22"/>
      <c r="M7" s="22"/>
      <c r="N7" s="22">
        <v>4303.84</v>
      </c>
      <c r="O7" s="22"/>
      <c r="P7" s="22"/>
      <c r="Q7" s="22">
        <f t="shared" si="0"/>
        <v>30703.84</v>
      </c>
    </row>
    <row r="8" s="11" customFormat="1" customHeight="1" spans="1:17">
      <c r="A8" s="24" t="s">
        <v>408</v>
      </c>
      <c r="B8" s="22" t="s">
        <v>480</v>
      </c>
      <c r="C8" s="25" t="s">
        <v>477</v>
      </c>
      <c r="D8" s="25" t="s">
        <v>477</v>
      </c>
      <c r="E8" s="22" t="s">
        <v>478</v>
      </c>
      <c r="F8" s="22"/>
      <c r="G8" s="23" t="s">
        <v>480</v>
      </c>
      <c r="H8" s="22"/>
      <c r="I8" s="22"/>
      <c r="J8" s="22"/>
      <c r="K8" s="22"/>
      <c r="L8" s="22"/>
      <c r="M8" s="22"/>
      <c r="N8" s="22">
        <v>2420.92</v>
      </c>
      <c r="O8" s="22"/>
      <c r="P8" s="22"/>
      <c r="Q8" s="22">
        <f t="shared" si="0"/>
        <v>33124.76</v>
      </c>
    </row>
    <row r="9" s="11" customFormat="1" customHeight="1" spans="1:17">
      <c r="A9" s="24" t="s">
        <v>409</v>
      </c>
      <c r="B9" s="22" t="s">
        <v>481</v>
      </c>
      <c r="C9" s="25" t="s">
        <v>477</v>
      </c>
      <c r="D9" s="25" t="s">
        <v>477</v>
      </c>
      <c r="E9" s="22" t="s">
        <v>478</v>
      </c>
      <c r="F9" s="22"/>
      <c r="G9" s="23" t="s">
        <v>481</v>
      </c>
      <c r="H9" s="22"/>
      <c r="I9" s="22"/>
      <c r="J9" s="22"/>
      <c r="K9" s="22"/>
      <c r="L9" s="22"/>
      <c r="M9" s="22"/>
      <c r="N9" s="22">
        <v>86.08</v>
      </c>
      <c r="O9" s="22"/>
      <c r="P9" s="22"/>
      <c r="Q9" s="22">
        <f t="shared" si="0"/>
        <v>33210.84</v>
      </c>
    </row>
    <row r="10" s="11" customFormat="1" customHeight="1" spans="1:17">
      <c r="A10" s="24" t="s">
        <v>410</v>
      </c>
      <c r="B10" s="22" t="s">
        <v>482</v>
      </c>
      <c r="C10" s="25" t="s">
        <v>477</v>
      </c>
      <c r="D10" s="25" t="s">
        <v>477</v>
      </c>
      <c r="E10" s="22" t="s">
        <v>478</v>
      </c>
      <c r="F10" s="22"/>
      <c r="G10" s="23" t="s">
        <v>482</v>
      </c>
      <c r="H10" s="22"/>
      <c r="I10" s="22"/>
      <c r="J10" s="22"/>
      <c r="K10" s="22"/>
      <c r="L10" s="22"/>
      <c r="M10" s="22"/>
      <c r="N10" s="22">
        <v>134.5</v>
      </c>
      <c r="O10" s="22"/>
      <c r="P10" s="22"/>
      <c r="Q10" s="22">
        <f t="shared" si="0"/>
        <v>33345.34</v>
      </c>
    </row>
    <row r="11" s="11" customFormat="1" customHeight="1" spans="1:17">
      <c r="A11" s="24" t="s">
        <v>412</v>
      </c>
      <c r="B11" s="22" t="s">
        <v>483</v>
      </c>
      <c r="C11" s="25" t="s">
        <v>477</v>
      </c>
      <c r="D11" s="25" t="s">
        <v>477</v>
      </c>
      <c r="E11" s="22" t="s">
        <v>478</v>
      </c>
      <c r="F11" s="22"/>
      <c r="G11" s="23" t="s">
        <v>483</v>
      </c>
      <c r="H11" s="22"/>
      <c r="I11" s="22"/>
      <c r="J11" s="22"/>
      <c r="K11" s="22"/>
      <c r="L11" s="22"/>
      <c r="M11" s="22"/>
      <c r="N11" s="22">
        <v>1883</v>
      </c>
      <c r="O11" s="22"/>
      <c r="P11" s="22"/>
      <c r="Q11" s="22">
        <f t="shared" si="0"/>
        <v>35228.34</v>
      </c>
    </row>
    <row r="12" s="11" customFormat="1" customHeight="1" spans="1:17">
      <c r="A12" s="24" t="s">
        <v>419</v>
      </c>
      <c r="B12" s="22" t="s">
        <v>484</v>
      </c>
      <c r="C12" s="25" t="s">
        <v>477</v>
      </c>
      <c r="D12" s="25" t="s">
        <v>477</v>
      </c>
      <c r="E12" s="22" t="s">
        <v>485</v>
      </c>
      <c r="F12" s="22"/>
      <c r="G12" s="23" t="s">
        <v>484</v>
      </c>
      <c r="H12" s="22"/>
      <c r="I12" s="22"/>
      <c r="J12" s="22"/>
      <c r="K12" s="22"/>
      <c r="L12" s="22"/>
      <c r="M12" s="22"/>
      <c r="N12" s="22">
        <v>399</v>
      </c>
      <c r="O12" s="22"/>
      <c r="P12" s="22"/>
      <c r="Q12" s="22">
        <f t="shared" si="0"/>
        <v>35627.34</v>
      </c>
    </row>
    <row r="13" s="11" customFormat="1" customHeight="1" spans="1:17">
      <c r="A13" s="24" t="s">
        <v>419</v>
      </c>
      <c r="B13" s="22" t="s">
        <v>484</v>
      </c>
      <c r="C13" s="25" t="s">
        <v>477</v>
      </c>
      <c r="D13" s="25" t="s">
        <v>477</v>
      </c>
      <c r="E13" s="22" t="s">
        <v>486</v>
      </c>
      <c r="F13" s="22"/>
      <c r="G13" s="23" t="s">
        <v>484</v>
      </c>
      <c r="H13" s="22"/>
      <c r="I13" s="22"/>
      <c r="J13" s="22"/>
      <c r="K13" s="22"/>
      <c r="L13" s="22"/>
      <c r="M13" s="22"/>
      <c r="N13" s="22">
        <v>830</v>
      </c>
      <c r="O13" s="22"/>
      <c r="P13" s="22"/>
      <c r="Q13" s="22">
        <f t="shared" si="0"/>
        <v>36457.34</v>
      </c>
    </row>
    <row r="14" s="11" customFormat="1" customHeight="1" spans="1:17">
      <c r="A14" s="24" t="s">
        <v>403</v>
      </c>
      <c r="B14" s="22" t="s">
        <v>487</v>
      </c>
      <c r="C14" s="25" t="s">
        <v>477</v>
      </c>
      <c r="D14" s="25" t="s">
        <v>477</v>
      </c>
      <c r="E14" s="22" t="s">
        <v>488</v>
      </c>
      <c r="F14" s="22"/>
      <c r="G14" s="23" t="s">
        <v>487</v>
      </c>
      <c r="H14" s="22"/>
      <c r="I14" s="22"/>
      <c r="J14" s="22"/>
      <c r="K14" s="22"/>
      <c r="L14" s="22"/>
      <c r="M14" s="22"/>
      <c r="N14" s="22">
        <v>-26400</v>
      </c>
      <c r="O14" s="22"/>
      <c r="P14" s="22"/>
      <c r="Q14" s="22">
        <f t="shared" si="0"/>
        <v>10057.34</v>
      </c>
    </row>
    <row r="15" s="11" customFormat="1" customHeight="1" spans="1:17">
      <c r="A15" s="24" t="s">
        <v>403</v>
      </c>
      <c r="B15" s="22" t="s">
        <v>489</v>
      </c>
      <c r="C15" s="25" t="s">
        <v>477</v>
      </c>
      <c r="D15" s="25" t="s">
        <v>477</v>
      </c>
      <c r="E15" s="22" t="s">
        <v>488</v>
      </c>
      <c r="F15" s="22"/>
      <c r="G15" s="23" t="s">
        <v>489</v>
      </c>
      <c r="H15" s="22"/>
      <c r="I15" s="22"/>
      <c r="J15" s="22"/>
      <c r="K15" s="22"/>
      <c r="L15" s="22"/>
      <c r="M15" s="22"/>
      <c r="N15" s="22">
        <v>25286.44</v>
      </c>
      <c r="O15" s="22"/>
      <c r="P15" s="22"/>
      <c r="Q15" s="22">
        <f t="shared" si="0"/>
        <v>35343.78</v>
      </c>
    </row>
    <row r="16" s="11" customFormat="1" customHeight="1" spans="1:17">
      <c r="A16" s="22"/>
      <c r="B16" s="22"/>
      <c r="C16" s="22"/>
      <c r="D16" s="22"/>
      <c r="E16" s="22"/>
      <c r="F16" s="22"/>
      <c r="G16" s="23" t="s">
        <v>490</v>
      </c>
      <c r="H16" s="22"/>
      <c r="I16" s="22"/>
      <c r="J16" s="22"/>
      <c r="K16" s="22"/>
      <c r="L16" s="22"/>
      <c r="M16" s="22"/>
      <c r="N16" s="22"/>
      <c r="O16" s="22">
        <f>N17</f>
        <v>35343.78</v>
      </c>
      <c r="P16" s="22" t="s">
        <v>475</v>
      </c>
      <c r="Q16" s="22"/>
    </row>
    <row r="17" s="11" customFormat="1" customHeight="1" spans="1:17">
      <c r="A17" s="22"/>
      <c r="B17" s="22"/>
      <c r="C17" s="22"/>
      <c r="D17" s="22"/>
      <c r="E17" s="22"/>
      <c r="F17" s="22"/>
      <c r="G17" s="23" t="s">
        <v>181</v>
      </c>
      <c r="H17" s="22"/>
      <c r="I17" s="22"/>
      <c r="J17" s="22"/>
      <c r="K17" s="22"/>
      <c r="L17" s="22"/>
      <c r="M17" s="22"/>
      <c r="N17" s="22">
        <f>SUM(N6:N16)</f>
        <v>35343.78</v>
      </c>
      <c r="O17" s="22">
        <f>SUM(O6:O16)</f>
        <v>35343.78</v>
      </c>
      <c r="P17" s="22" t="s">
        <v>475</v>
      </c>
      <c r="Q17" s="22">
        <v>0</v>
      </c>
    </row>
    <row r="18" customHeight="1" spans="1:17">
      <c r="N18" s="14">
        <f>N17-利润表!B9</f>
        <v>0</v>
      </c>
    </row>
  </sheetData>
  <mergeCells count="2">
    <mergeCell ref="A1:Q1"/>
    <mergeCell ref="A2:Q2"/>
  </mergeCells>
  <pageMargins left="0.751388888888889" right="0.751388888888889" top="1" bottom="1" header="0.5" footer="0.5"/>
  <pageSetup paperSize="9" scale="68" fitToHeight="0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view="pageBreakPreview" zoomScale="130" zoomScaleNormal="110" workbookViewId="0">
      <selection activeCell="A1" sqref="A1"/>
    </sheetView>
  </sheetViews>
  <sheetFormatPr defaultColWidth="9" defaultRowHeight="9.5" outlineLevelRow="4" outlineLevelCol="4"/>
  <cols>
    <col min="1" max="1" width="44.3636363636364" style="1" customWidth="1"/>
    <col min="2" max="2" width="16.4545454545455" style="1" customWidth="1"/>
    <col min="3" max="3" width="43.1818181818182" style="1" customWidth="1"/>
    <col min="4" max="4" width="14.1818181818182" style="1" customWidth="1"/>
    <col min="5" max="5" width="15.1818181818182" style="1" customWidth="1"/>
    <col min="6" max="16379" width="9" style="1"/>
    <col min="16380" max="16384" width="9" style="2"/>
  </cols>
  <sheetData>
    <row r="1" spans="1:5">
      <c r="A1" s="3" t="s">
        <v>430</v>
      </c>
      <c r="B1" s="4" t="s">
        <v>431</v>
      </c>
      <c r="C1" s="4" t="s">
        <v>432</v>
      </c>
      <c r="D1" s="5" t="s">
        <v>433</v>
      </c>
      <c r="E1" s="6" t="s">
        <v>491</v>
      </c>
    </row>
    <row r="2" spans="1:5">
      <c r="A2" s="7" t="s">
        <v>441</v>
      </c>
      <c r="B2" s="7" t="s">
        <v>313</v>
      </c>
      <c r="C2" s="7" t="s">
        <v>492</v>
      </c>
      <c r="D2" s="8">
        <v>43861</v>
      </c>
      <c r="E2" s="9">
        <v>3000000</v>
      </c>
    </row>
    <row r="3" s="1" customFormat="1" spans="1:5">
      <c r="A3" s="7" t="s">
        <v>493</v>
      </c>
      <c r="B3" s="7" t="s">
        <v>313</v>
      </c>
      <c r="C3" s="7" t="s">
        <v>494</v>
      </c>
      <c r="D3" s="8">
        <v>46142</v>
      </c>
      <c r="E3" s="9">
        <v>197.67</v>
      </c>
    </row>
    <row r="4" spans="1:5">
      <c r="E4" s="1">
        <f>SUM(E2:E3)</f>
        <v>3000197.67</v>
      </c>
    </row>
    <row r="5" spans="1:5">
      <c r="E5" s="10">
        <f>E4-科目余额表!L79</f>
        <v>0</v>
      </c>
    </row>
  </sheetData>
  <pageMargins left="0.7" right="0.7" top="0.75" bottom="0.75" header="0.3" footer="0.3"/>
  <pageSetup paperSize="9" scale="67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资产负债表</vt:lpstr>
      <vt:lpstr>利润表</vt:lpstr>
      <vt:lpstr>现金流量表</vt:lpstr>
      <vt:lpstr>科目余额表</vt:lpstr>
      <vt:lpstr>应收款明细统计</vt:lpstr>
      <vt:lpstr>管理费用明细表</vt:lpstr>
      <vt:lpstr>应付款明细统计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晓晓晓云会剪纸</cp:lastModifiedBy>
  <dcterms:created xsi:type="dcterms:W3CDTF">2026-05-06T07:15:40Z</dcterms:created>
  <dcterms:modified xsi:type="dcterms:W3CDTF">2026-05-06T07:27:13Z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898A9536100844278C2DA74BCA34F8D0_12</vt:lpwstr>
  </property>
  <property fmtid="{D5CDD505-2E9C-101B-9397-08002B2CF9AE}" pid="4" name="KSOProductBuildVer">
    <vt:lpwstr>2052-12.1.0.25225</vt:lpwstr>
  </property>
  <property fmtid="{D5CDD505-2E9C-101B-9397-08002B2CF9AE}" pid="5" name="CalculationRule">
    <vt:i4>0</vt:i4>
  </property>
</Properties>
</file>