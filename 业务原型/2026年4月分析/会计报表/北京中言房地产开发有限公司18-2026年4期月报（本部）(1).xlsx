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.中言2023.3.21\18、上报君康\2026\"/>
    </mc:Choice>
  </mc:AlternateContent>
  <xr:revisionPtr revIDLastSave="0" documentId="13_ncr:1_{7E858C17-3AD5-4B9D-919D-89BB4FF36E6C}" xr6:coauthVersionLast="47" xr6:coauthVersionMax="47" xr10:uidLastSave="{00000000-0000-0000-0000-000000000000}"/>
  <bookViews>
    <workbookView xWindow="-120" yWindow="-120" windowWidth="28110" windowHeight="16440" tabRatio="500" activeTab="2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6" i="1" l="1"/>
  <c r="G46" i="1"/>
</calcChain>
</file>

<file path=xl/sharedStrings.xml><?xml version="1.0" encoding="utf-8"?>
<sst xmlns="http://schemas.openxmlformats.org/spreadsheetml/2006/main" count="195" uniqueCount="182">
  <si>
    <t>资产负债表</t>
  </si>
  <si>
    <t>2026年04月30日</t>
  </si>
  <si>
    <t>会企01表</t>
  </si>
  <si>
    <t>单位：元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</si>
  <si>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</si>
  <si>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</si>
  <si>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</si>
  <si>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</si>
  <si>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</si>
  <si>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</si>
  <si>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</si>
  <si>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</si>
  <si>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</si>
  <si>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</si>
  <si>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</si>
  <si>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</si>
  <si>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</si>
  <si>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</si>
  <si>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</si>
  <si>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</si>
  <si>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</si>
  <si>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</si>
  <si>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</si>
  <si>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</si>
  <si>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</si>
  <si>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</si>
  <si>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</si>
  <si>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</si>
  <si>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</si>
  <si>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</si>
  <si>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</si>
  <si>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</si>
  <si>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</si>
  <si>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</si>
  <si>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</si>
  <si>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</si>
  <si>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</si>
  <si>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</si>
  <si>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</si>
  <si>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</si>
  <si>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</si>
  <si>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</si>
  <si>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</si>
  <si>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</si>
  <si>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</si>
  <si>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</si>
  <si>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</si>
  <si>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</si>
  <si>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</si>
  <si>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</si>
  <si>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</si>
  <si>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</si>
  <si>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</si>
  <si>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</si>
  <si>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</si>
  <si>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</si>
  <si>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</si>
  <si>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</si>
  <si>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</si>
  <si>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</si>
  <si>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</si>
  <si>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</si>
  <si>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</si>
  <si>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</si>
  <si>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</si>
  <si>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</si>
  <si>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</si>
  <si>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</si>
  <si>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</si>
  <si>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</si>
  <si>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</si>
  <si>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</si>
  <si>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</si>
  <si>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</si>
  <si>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</si>
  <si>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</si>
  <si>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</si>
  <si>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</si>
  <si>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</si>
  <si>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</si>
  <si>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</si>
  <si>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外币报表折算差额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</si>
  <si>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</si>
  <si>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</si>
  <si>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</si>
  <si>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</si>
  <si>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2026年04月</t>
  </si>
  <si>
    <t>会企02表</t>
  </si>
  <si>
    <t>项目名称</t>
  </si>
  <si>
    <t>本期金额</t>
  </si>
  <si>
    <t>本年金额</t>
  </si>
  <si>
    <t>上期金额</t>
  </si>
  <si>
    <t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</si>
  <si>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</si>
  <si>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</si>
  <si>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</si>
  <si>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</si>
  <si>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</si>
  <si>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</si>
  <si>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</si>
  <si>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</si>
  <si>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</si>
  <si>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</si>
  <si>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</si>
  <si>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</si>
  <si>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</si>
  <si>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</si>
  <si>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</si>
  <si>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</si>
  <si>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</si>
  <si>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</si>
  <si>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</si>
  <si>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</si>
  <si>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</si>
  <si>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</si>
  <si>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</si>
  <si>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</si>
  <si>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</si>
  <si>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</si>
  <si>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</si>
  <si>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</si>
  <si>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</si>
  <si>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</si>
  <si>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</si>
  <si>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</si>
  <si>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</si>
  <si>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</si>
  <si>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</si>
  <si>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</si>
  <si>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</si>
  <si>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</si>
  <si>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</si>
  <si>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</si>
  <si>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</si>
  <si>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</si>
  <si>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</si>
  <si>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加：年初未分配利润</t>
  </si>
  <si>
    <t>六、可供分配的利润</t>
  </si>
  <si>
    <t>减:提取盈余公积</t>
  </si>
  <si>
    <t>向股东分配利润</t>
  </si>
  <si>
    <t>七、年末未分配利润</t>
  </si>
  <si>
    <t>现金流量表</t>
  </si>
  <si>
    <t>会企03表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</si>
  <si>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</si>
  <si>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</si>
  <si>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</si>
  <si>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</si>
  <si>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</si>
  <si>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</si>
  <si>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</si>
  <si>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</si>
  <si>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</si>
  <si>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</si>
  <si>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</si>
  <si>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</si>
  <si>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</si>
  <si>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</si>
  <si>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</si>
  <si>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</si>
  <si>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</si>
  <si>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</si>
  <si>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</si>
  <si>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</si>
  <si>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</si>
  <si>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</si>
  <si>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</si>
  <si>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</si>
  <si>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</si>
  <si>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</si>
  <si>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</si>
  <si>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</si>
  <si>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</si>
  <si>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</si>
  <si>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</si>
  <si>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</si>
  <si>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</si>
  <si>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</si>
  <si>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</si>
  <si>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</si>
  <si>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</si>
  <si>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</si>
  <si>
    <t>编制单位：北京中言房地产开发有限公司（本部）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</si>
</sst>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 x14ac:knownFonts="1">
    <font>
      <sz val="11"/>
      <name val="宋体"/>
      <charset val="1"/>
    </font>
    <font>
      <sz val="11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8"/>
      <name val="等线"/>
      <family val="2"/>
      <scheme val="minor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top"/>
      <protection locked="0"/>
    </xf>
    <xf numFmtId="0" fontId="17" fillId="0" borderId="0">
      <alignment vertical="top"/>
      <protection locked="0"/>
    </xf>
    <xf numFmtId="43" fontId="17" fillId="0" borderId="0" applyFont="0" applyFill="0" applyBorder="0" applyAlignment="0" applyProtection="0">
      <alignment vertical="center"/>
    </xf>
    <xf numFmtId="0" fontId="18" fillId="0" borderId="1">
      <alignment vertical="center"/>
    </xf>
  </cellStyleXfs>
  <cellXfs count="25">
    <xf numFmtId="0" fontId="0" fillId="0" borderId="0" xfId="0">
      <alignment vertical="top"/>
      <protection locked="0"/>
    </xf>
    <xf numFmtId="0" fontId="1" fillId="0" borderId="0" xfId="1" applyFont="1" applyAlignment="1">
      <protection locked="0"/>
    </xf>
    <xf numFmtId="0" fontId="4" fillId="0" borderId="0" xfId="1" applyFont="1" applyAlignment="1">
      <protection locked="0"/>
    </xf>
    <xf numFmtId="0" fontId="6" fillId="0" borderId="2" xfId="1" applyFont="1" applyBorder="1" applyAlignment="1">
      <alignment horizontal="center"/>
      <protection locked="0"/>
    </xf>
    <xf numFmtId="0" fontId="8" fillId="0" borderId="4" xfId="1" applyFont="1" applyBorder="1" applyAlignment="1">
      <protection locked="0"/>
    </xf>
    <xf numFmtId="4" fontId="11" fillId="0" borderId="0" xfId="1" applyNumberFormat="1" applyFont="1" applyAlignment="1">
      <protection locked="0"/>
    </xf>
    <xf numFmtId="0" fontId="14" fillId="0" borderId="2" xfId="1" applyFont="1" applyBorder="1" applyAlignment="1">
      <alignment horizontal="left"/>
      <protection locked="0"/>
    </xf>
    <xf numFmtId="0" fontId="15" fillId="0" borderId="2" xfId="1" applyFont="1" applyBorder="1" applyAlignment="1">
      <protection locked="0"/>
    </xf>
    <xf numFmtId="43" fontId="5" fillId="0" borderId="0" xfId="2" applyFont="1" applyAlignment="1" applyProtection="1">
      <protection locked="0"/>
    </xf>
    <xf numFmtId="43" fontId="4" fillId="0" borderId="0" xfId="2" applyFont="1" applyAlignment="1" applyProtection="1">
      <protection locked="0"/>
    </xf>
    <xf numFmtId="43" fontId="7" fillId="0" borderId="3" xfId="2" applyFont="1" applyBorder="1" applyAlignment="1" applyProtection="1">
      <alignment horizontal="center"/>
      <protection locked="0"/>
    </xf>
    <xf numFmtId="43" fontId="6" fillId="0" borderId="2" xfId="2" applyFont="1" applyBorder="1" applyAlignment="1" applyProtection="1">
      <alignment horizontal="center"/>
      <protection locked="0"/>
    </xf>
    <xf numFmtId="43" fontId="9" fillId="0" borderId="5" xfId="2" applyFont="1" applyBorder="1" applyAlignment="1" applyProtection="1">
      <protection locked="0"/>
    </xf>
    <xf numFmtId="43" fontId="10" fillId="0" borderId="5" xfId="2" applyFont="1" applyBorder="1" applyAlignment="1" applyProtection="1">
      <protection locked="0"/>
    </xf>
    <xf numFmtId="43" fontId="11" fillId="0" borderId="0" xfId="2" applyFont="1" applyAlignment="1" applyProtection="1">
      <protection locked="0"/>
    </xf>
    <xf numFmtId="43" fontId="1" fillId="0" borderId="0" xfId="2" applyFont="1" applyAlignment="1" applyProtection="1">
      <protection locked="0"/>
    </xf>
    <xf numFmtId="43" fontId="1" fillId="0" borderId="0" xfId="1" applyNumberFormat="1" applyFont="1" applyAlignment="1">
      <protection locked="0"/>
    </xf>
    <xf numFmtId="0" fontId="20" fillId="0" borderId="0" xfId="1" applyFont="1" applyAlignment="1">
      <protection locked="0"/>
    </xf>
    <xf numFmtId="43" fontId="13" fillId="0" borderId="5" xfId="2" applyFont="1" applyBorder="1" applyAlignment="1" applyProtection="1">
      <protection locked="0"/>
    </xf>
    <xf numFmtId="43" fontId="15" fillId="0" borderId="2" xfId="2" applyFont="1" applyBorder="1" applyAlignment="1" applyProtection="1">
      <protection locked="0"/>
    </xf>
    <xf numFmtId="43" fontId="16" fillId="0" borderId="2" xfId="2" applyFont="1" applyBorder="1" applyAlignment="1" applyProtection="1">
      <protection locked="0"/>
    </xf>
    <xf numFmtId="4" fontId="2" fillId="0" borderId="1" xfId="1" applyNumberFormat="1" applyFont="1" applyBorder="1" applyAlignment="1">
      <alignment horizontal="center"/>
      <protection locked="0"/>
    </xf>
    <xf numFmtId="4" fontId="3" fillId="0" borderId="1" xfId="1" applyNumberFormat="1" applyFont="1" applyBorder="1" applyAlignment="1">
      <protection locked="0"/>
    </xf>
    <xf numFmtId="0" fontId="12" fillId="0" borderId="0" xfId="1" applyFont="1" applyAlignment="1">
      <alignment horizontal="center"/>
      <protection locked="0"/>
    </xf>
    <xf numFmtId="0" fontId="1" fillId="0" borderId="0" xfId="1" applyFont="1" applyAlignment="1">
      <protection locked="0"/>
    </xf>
  </cellXfs>
  <cellStyles count="4">
    <cellStyle name="Normal" xfId="1" xr:uid="{00000000-0005-0000-0000-000000000000}"/>
    <cellStyle name="常规" xfId="0" builtinId="0"/>
    <cellStyle name="常规 2" xfId="3" xr:uid="{D0B9A317-FEC0-4E16-93F9-5AD2857B6268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orkbookViewId="0">
      <selection activeCell="C23" sqref="C23"/>
    </sheetView>
  </sheetViews>
  <sheetFormatPr defaultColWidth="8.625" defaultRowHeight="15" customHeight="1" x14ac:dyDescent="0.15"/>
  <cols>
    <col min="1" max="1" width="32.625" style="1" customWidth="1"/>
    <col min="2" max="2" width="21.25" style="15" customWidth="1"/>
    <col min="3" max="3" width="18.75" style="15" customWidth="1"/>
    <col min="4" max="4" width="47.75" style="15" customWidth="1"/>
    <col min="5" max="5" width="19.875" style="15" customWidth="1"/>
    <col min="6" max="6" width="21.625" style="15" bestFit="1" customWidth="1"/>
    <col min="7" max="7" width="8.625" style="1" customWidth="1"/>
    <col min="8" max="8" width="20.625" style="1" customWidth="1"/>
    <col min="9" max="13" width="8.625" style="1" customWidth="1"/>
    <col min="14" max="16384" width="8.625" style="1"/>
  </cols>
  <sheetData>
    <row r="1" spans="1:8" ht="29.25" customHeight="1" x14ac:dyDescent="0.25">
      <c r="A1" s="21" t="s">
        <v>0</v>
      </c>
      <c r="B1" s="22"/>
      <c r="C1" s="22"/>
      <c r="D1" s="22"/>
      <c r="E1" s="22"/>
      <c r="F1" s="22"/>
    </row>
    <row r="2" spans="1:8" ht="15" customHeight="1" x14ac:dyDescent="0.15">
      <c r="A2" s="2" t="s">
        <v>1</v>
      </c>
      <c r="B2" s="8"/>
      <c r="C2" s="8"/>
      <c r="D2" s="8"/>
      <c r="E2" s="8"/>
      <c r="F2" s="9" t="s">
        <v>2</v>
      </c>
    </row>
    <row r="3" spans="1:8" ht="15" customHeight="1" x14ac:dyDescent="0.15">
      <c r="A3" s="17" t="s">
        <v>181</v>
      </c>
      <c r="B3" s="8"/>
      <c r="C3" s="8"/>
      <c r="D3" s="8"/>
      <c r="E3" s="8"/>
      <c r="F3" s="9" t="s">
        <v>3</v>
      </c>
    </row>
    <row r="4" spans="1:8" ht="15" customHeight="1" x14ac:dyDescent="0.15">
      <c r="A4" s="3" t="s">
        <v>4</v>
      </c>
      <c r="B4" s="10" t="s">
        <v>5</v>
      </c>
      <c r="C4" s="10" t="s">
        <v>6</v>
      </c>
      <c r="D4" s="11" t="s">
        <v>7</v>
      </c>
      <c r="E4" s="10" t="s">
        <v>5</v>
      </c>
      <c r="F4" s="10" t="s">
        <v>6</v>
      </c>
    </row>
    <row r="5" spans="1:8" ht="15" customHeight="1" x14ac:dyDescent="0.15">
      <c r="A5" s="4" t="s">
        <v>8</v>
      </c>
      <c r="B5" s="12"/>
      <c r="C5" s="12"/>
      <c r="D5" s="13" t="s">
        <v>9</v>
      </c>
      <c r="E5" s="12"/>
      <c r="F5" s="12"/>
    </row>
    <row r="6" spans="1:8" ht="15" customHeight="1" x14ac:dyDescent="0.15">
      <c r="A6" s="4" t="s">
        <v>10</v>
      </c>
      <c r="B6" s="12">
        <v>53842408.649999999</v>
      </c>
      <c r="C6" s="12">
        <v>25133384.27</v>
      </c>
      <c r="D6" s="13" t="s">
        <v>11</v>
      </c>
      <c r="E6" s="12">
        <v>0</v>
      </c>
      <c r="F6" s="12">
        <v>0</v>
      </c>
      <c r="H6" s="5"/>
    </row>
    <row r="7" spans="1:8" ht="15" customHeight="1" x14ac:dyDescent="0.15">
      <c r="A7" s="4" t="s">
        <v>12</v>
      </c>
      <c r="B7" s="12">
        <v>0</v>
      </c>
      <c r="C7" s="12">
        <v>0</v>
      </c>
      <c r="D7" s="13" t="s">
        <v>13</v>
      </c>
      <c r="E7" s="12"/>
      <c r="F7" s="12"/>
    </row>
    <row r="8" spans="1:8" ht="15" customHeight="1" x14ac:dyDescent="0.15">
      <c r="A8" s="4" t="s">
        <v>14</v>
      </c>
      <c r="B8" s="12"/>
      <c r="C8" s="12"/>
      <c r="D8" s="13" t="s">
        <v>15</v>
      </c>
      <c r="E8" s="12"/>
      <c r="F8" s="12"/>
    </row>
    <row r="9" spans="1:8" ht="15" customHeight="1" x14ac:dyDescent="0.15">
      <c r="A9" s="4" t="s">
        <v>16</v>
      </c>
      <c r="B9" s="12">
        <v>0</v>
      </c>
      <c r="C9" s="12">
        <v>6678300</v>
      </c>
      <c r="D9" s="13" t="s">
        <v>17</v>
      </c>
      <c r="E9" s="12"/>
      <c r="F9" s="12"/>
    </row>
    <row r="10" spans="1:8" ht="15" customHeight="1" x14ac:dyDescent="0.15">
      <c r="A10" s="4" t="s">
        <v>18</v>
      </c>
      <c r="B10" s="12">
        <v>20401403.370000001</v>
      </c>
      <c r="C10" s="12">
        <v>22714599.940000001</v>
      </c>
      <c r="D10" s="13" t="s">
        <v>19</v>
      </c>
      <c r="E10" s="12">
        <v>16308177.300000001</v>
      </c>
      <c r="F10" s="12">
        <v>19689074.91</v>
      </c>
      <c r="G10" s="5"/>
    </row>
    <row r="11" spans="1:8" ht="15" customHeight="1" x14ac:dyDescent="0.15">
      <c r="A11" s="4" t="s">
        <v>20</v>
      </c>
      <c r="B11" s="12"/>
      <c r="C11" s="12"/>
      <c r="D11" s="13" t="s">
        <v>21</v>
      </c>
      <c r="E11" s="12">
        <v>13533397.5</v>
      </c>
      <c r="F11" s="12">
        <v>9268884.9900000002</v>
      </c>
    </row>
    <row r="12" spans="1:8" ht="15" customHeight="1" x14ac:dyDescent="0.15">
      <c r="A12" s="4" t="s">
        <v>22</v>
      </c>
      <c r="B12" s="12">
        <v>1630937.33</v>
      </c>
      <c r="C12" s="12">
        <v>0</v>
      </c>
      <c r="D12" s="13" t="s">
        <v>23</v>
      </c>
      <c r="E12" s="12"/>
      <c r="F12" s="12"/>
    </row>
    <row r="13" spans="1:8" ht="15" customHeight="1" x14ac:dyDescent="0.15">
      <c r="A13" s="4" t="s">
        <v>24</v>
      </c>
      <c r="B13" s="12">
        <v>105183000</v>
      </c>
      <c r="C13" s="12">
        <v>105130000</v>
      </c>
      <c r="D13" s="13" t="s">
        <v>25</v>
      </c>
      <c r="E13" s="12">
        <v>583669.73</v>
      </c>
      <c r="F13" s="12">
        <v>540822.82999999996</v>
      </c>
    </row>
    <row r="14" spans="1:8" ht="15" customHeight="1" x14ac:dyDescent="0.15">
      <c r="A14" s="4" t="s">
        <v>26</v>
      </c>
      <c r="B14" s="12">
        <v>0</v>
      </c>
      <c r="C14" s="12">
        <v>0</v>
      </c>
      <c r="D14" s="13" t="s">
        <v>27</v>
      </c>
      <c r="E14" s="12">
        <v>-77642382.620000005</v>
      </c>
      <c r="F14" s="12">
        <v>-76744940.239999995</v>
      </c>
    </row>
    <row r="15" spans="1:8" ht="15" customHeight="1" x14ac:dyDescent="0.15">
      <c r="A15" s="4" t="s">
        <v>28</v>
      </c>
      <c r="B15" s="12"/>
      <c r="C15" s="12"/>
      <c r="D15" s="13" t="s">
        <v>29</v>
      </c>
      <c r="E15" s="12">
        <v>914739519.13</v>
      </c>
      <c r="F15" s="12">
        <v>911409993.75999999</v>
      </c>
    </row>
    <row r="16" spans="1:8" ht="15" customHeight="1" x14ac:dyDescent="0.15">
      <c r="A16" s="4" t="s">
        <v>30</v>
      </c>
      <c r="B16" s="12"/>
      <c r="C16" s="12"/>
      <c r="D16" s="13" t="s">
        <v>31</v>
      </c>
      <c r="E16" s="12"/>
      <c r="F16" s="12"/>
    </row>
    <row r="17" spans="1:6" ht="15" customHeight="1" x14ac:dyDescent="0.15">
      <c r="A17" s="4" t="s">
        <v>32</v>
      </c>
      <c r="B17" s="12"/>
      <c r="C17" s="12"/>
      <c r="D17" s="13" t="s">
        <v>33</v>
      </c>
      <c r="E17" s="12"/>
      <c r="F17" s="12"/>
    </row>
    <row r="18" spans="1:6" ht="15" customHeight="1" x14ac:dyDescent="0.15">
      <c r="A18" s="4" t="s">
        <v>34</v>
      </c>
      <c r="B18" s="12">
        <v>235073.39</v>
      </c>
      <c r="C18" s="12">
        <v>0</v>
      </c>
      <c r="D18" s="13" t="s">
        <v>35</v>
      </c>
      <c r="E18" s="12"/>
      <c r="F18" s="12"/>
    </row>
    <row r="19" spans="1:6" ht="15" customHeight="1" x14ac:dyDescent="0.15">
      <c r="A19" s="4" t="s">
        <v>36</v>
      </c>
      <c r="B19" s="12">
        <v>181292822.74000001</v>
      </c>
      <c r="C19" s="12">
        <v>159656284.21000001</v>
      </c>
      <c r="D19" s="13" t="s">
        <v>37</v>
      </c>
      <c r="E19" s="12">
        <v>867522381.03999996</v>
      </c>
      <c r="F19" s="12">
        <v>864163836.25</v>
      </c>
    </row>
    <row r="20" spans="1:6" ht="15" customHeight="1" x14ac:dyDescent="0.15">
      <c r="A20" s="4" t="s">
        <v>38</v>
      </c>
      <c r="B20" s="12"/>
      <c r="C20" s="12"/>
      <c r="D20" s="13" t="s">
        <v>39</v>
      </c>
      <c r="E20" s="12"/>
      <c r="F20" s="12"/>
    </row>
    <row r="21" spans="1:6" ht="15" customHeight="1" x14ac:dyDescent="0.15">
      <c r="A21" s="4" t="s">
        <v>40</v>
      </c>
      <c r="B21" s="12"/>
      <c r="C21" s="12"/>
      <c r="D21" s="13" t="s">
        <v>41</v>
      </c>
      <c r="E21" s="12">
        <v>0</v>
      </c>
      <c r="F21" s="12">
        <v>0</v>
      </c>
    </row>
    <row r="22" spans="1:6" ht="15" customHeight="1" x14ac:dyDescent="0.15">
      <c r="A22" s="4" t="s">
        <v>42</v>
      </c>
      <c r="B22" s="12"/>
      <c r="C22" s="12"/>
      <c r="D22" s="13" t="s">
        <v>43</v>
      </c>
      <c r="E22" s="12">
        <v>0</v>
      </c>
      <c r="F22" s="12">
        <v>0</v>
      </c>
    </row>
    <row r="23" spans="1:6" ht="15" customHeight="1" x14ac:dyDescent="0.15">
      <c r="A23" s="4" t="s">
        <v>44</v>
      </c>
      <c r="B23" s="12"/>
      <c r="C23" s="12"/>
      <c r="D23" s="13" t="s">
        <v>45</v>
      </c>
      <c r="E23" s="12"/>
      <c r="F23" s="12"/>
    </row>
    <row r="24" spans="1:6" ht="15" customHeight="1" x14ac:dyDescent="0.15">
      <c r="A24" s="4" t="s">
        <v>46</v>
      </c>
      <c r="B24" s="12">
        <v>0</v>
      </c>
      <c r="C24" s="12">
        <v>0</v>
      </c>
      <c r="D24" s="13" t="s">
        <v>47</v>
      </c>
      <c r="E24" s="12"/>
      <c r="F24" s="12"/>
    </row>
    <row r="25" spans="1:6" ht="15" customHeight="1" x14ac:dyDescent="0.15">
      <c r="A25" s="4" t="s">
        <v>48</v>
      </c>
      <c r="B25" s="12"/>
      <c r="C25" s="12"/>
      <c r="D25" s="13" t="s">
        <v>49</v>
      </c>
      <c r="E25" s="12"/>
      <c r="F25" s="12"/>
    </row>
    <row r="26" spans="1:6" ht="15" customHeight="1" x14ac:dyDescent="0.15">
      <c r="A26" s="4" t="s">
        <v>50</v>
      </c>
      <c r="B26" s="12"/>
      <c r="C26" s="12"/>
      <c r="D26" s="13" t="s">
        <v>51</v>
      </c>
      <c r="E26" s="12">
        <v>0</v>
      </c>
      <c r="F26" s="12">
        <v>0</v>
      </c>
    </row>
    <row r="27" spans="1:6" ht="15" customHeight="1" x14ac:dyDescent="0.15">
      <c r="A27" s="4" t="s">
        <v>52</v>
      </c>
      <c r="B27" s="12">
        <v>1998929664.3599999</v>
      </c>
      <c r="C27" s="12">
        <v>2021478731.52</v>
      </c>
      <c r="D27" s="13" t="s">
        <v>53</v>
      </c>
      <c r="E27" s="12">
        <v>1358789.62</v>
      </c>
      <c r="F27" s="12">
        <v>1358789.62</v>
      </c>
    </row>
    <row r="28" spans="1:6" ht="15" customHeight="1" x14ac:dyDescent="0.15">
      <c r="A28" s="4" t="s">
        <v>54</v>
      </c>
      <c r="B28" s="12">
        <v>3757194.25</v>
      </c>
      <c r="C28" s="12">
        <v>3881735.91</v>
      </c>
      <c r="D28" s="13" t="s">
        <v>55</v>
      </c>
      <c r="E28" s="12"/>
      <c r="F28" s="12"/>
    </row>
    <row r="29" spans="1:6" ht="15" customHeight="1" x14ac:dyDescent="0.15">
      <c r="A29" s="4" t="s">
        <v>56</v>
      </c>
      <c r="B29" s="12">
        <v>0</v>
      </c>
      <c r="C29" s="12">
        <v>0</v>
      </c>
      <c r="D29" s="13" t="s">
        <v>57</v>
      </c>
      <c r="E29" s="12">
        <v>0</v>
      </c>
      <c r="F29" s="12">
        <v>0</v>
      </c>
    </row>
    <row r="30" spans="1:6" ht="15" customHeight="1" x14ac:dyDescent="0.15">
      <c r="A30" s="4" t="s">
        <v>58</v>
      </c>
      <c r="B30" s="12"/>
      <c r="C30" s="12"/>
      <c r="D30" s="13" t="s">
        <v>59</v>
      </c>
      <c r="E30" s="12"/>
      <c r="F30" s="12"/>
    </row>
    <row r="31" spans="1:6" ht="15" customHeight="1" x14ac:dyDescent="0.15">
      <c r="A31" s="4" t="s">
        <v>60</v>
      </c>
      <c r="B31" s="12"/>
      <c r="C31" s="12"/>
      <c r="D31" s="13" t="s">
        <v>61</v>
      </c>
      <c r="E31" s="12">
        <v>1358789.62</v>
      </c>
      <c r="F31" s="12">
        <v>1358789.62</v>
      </c>
    </row>
    <row r="32" spans="1:6" ht="15" customHeight="1" x14ac:dyDescent="0.15">
      <c r="A32" s="4" t="s">
        <v>62</v>
      </c>
      <c r="B32" s="12"/>
      <c r="C32" s="12"/>
      <c r="D32" s="13" t="s">
        <v>63</v>
      </c>
      <c r="E32" s="12">
        <v>868881170.65999997</v>
      </c>
      <c r="F32" s="12">
        <v>865522625.87</v>
      </c>
    </row>
    <row r="33" spans="1:8" ht="15" customHeight="1" x14ac:dyDescent="0.15">
      <c r="A33" s="4" t="s">
        <v>64</v>
      </c>
      <c r="B33" s="12">
        <v>0</v>
      </c>
      <c r="C33" s="12">
        <v>0</v>
      </c>
      <c r="D33" s="13" t="s">
        <v>65</v>
      </c>
      <c r="E33" s="12"/>
      <c r="F33" s="12"/>
    </row>
    <row r="34" spans="1:8" ht="15" customHeight="1" x14ac:dyDescent="0.15">
      <c r="A34" s="4" t="s">
        <v>66</v>
      </c>
      <c r="B34" s="12"/>
      <c r="C34" s="12"/>
      <c r="D34" s="13" t="s">
        <v>67</v>
      </c>
      <c r="E34" s="12">
        <v>3274015500</v>
      </c>
      <c r="F34" s="12">
        <v>3274015500</v>
      </c>
    </row>
    <row r="35" spans="1:8" ht="15" customHeight="1" x14ac:dyDescent="0.15">
      <c r="A35" s="4" t="s">
        <v>68</v>
      </c>
      <c r="B35" s="12"/>
      <c r="C35" s="12"/>
      <c r="D35" s="13" t="s">
        <v>69</v>
      </c>
      <c r="E35" s="12">
        <v>0</v>
      </c>
      <c r="F35" s="12">
        <v>0</v>
      </c>
    </row>
    <row r="36" spans="1:8" ht="15" customHeight="1" x14ac:dyDescent="0.15">
      <c r="A36" s="4" t="s">
        <v>70</v>
      </c>
      <c r="B36" s="12">
        <v>5205295.9800000004</v>
      </c>
      <c r="C36" s="12">
        <v>5457426.4800000004</v>
      </c>
      <c r="D36" s="13" t="s">
        <v>45</v>
      </c>
      <c r="E36" s="12"/>
      <c r="F36" s="12"/>
    </row>
    <row r="37" spans="1:8" ht="15" customHeight="1" x14ac:dyDescent="0.15">
      <c r="A37" s="4" t="s">
        <v>71</v>
      </c>
      <c r="B37" s="12"/>
      <c r="C37" s="12"/>
      <c r="D37" s="13" t="s">
        <v>72</v>
      </c>
      <c r="E37" s="12"/>
      <c r="F37" s="12"/>
    </row>
    <row r="38" spans="1:8" ht="15" customHeight="1" x14ac:dyDescent="0.15">
      <c r="A38" s="4" t="s">
        <v>73</v>
      </c>
      <c r="B38" s="12"/>
      <c r="C38" s="12"/>
      <c r="D38" s="13" t="s">
        <v>74</v>
      </c>
      <c r="E38" s="12">
        <v>601697900</v>
      </c>
      <c r="F38" s="12">
        <v>601697900</v>
      </c>
    </row>
    <row r="39" spans="1:8" ht="15" customHeight="1" x14ac:dyDescent="0.15">
      <c r="A39" s="4" t="s">
        <v>75</v>
      </c>
      <c r="B39" s="12">
        <v>2007892154.5899999</v>
      </c>
      <c r="C39" s="12">
        <v>2030817893.9100001</v>
      </c>
      <c r="D39" s="13" t="s">
        <v>76</v>
      </c>
      <c r="E39" s="12"/>
      <c r="F39" s="12"/>
    </row>
    <row r="40" spans="1:8" ht="15" customHeight="1" x14ac:dyDescent="0.15">
      <c r="A40" s="4"/>
      <c r="B40" s="12"/>
      <c r="C40" s="12"/>
      <c r="D40" s="13" t="s">
        <v>77</v>
      </c>
      <c r="E40" s="12"/>
      <c r="F40" s="12"/>
    </row>
    <row r="41" spans="1:8" ht="15" customHeight="1" x14ac:dyDescent="0.15">
      <c r="A41" s="4"/>
      <c r="B41" s="12"/>
      <c r="C41" s="12"/>
      <c r="D41" s="13" t="s">
        <v>78</v>
      </c>
      <c r="E41" s="12"/>
      <c r="F41" s="12"/>
    </row>
    <row r="42" spans="1:8" ht="15" customHeight="1" x14ac:dyDescent="0.15">
      <c r="A42" s="4"/>
      <c r="B42" s="12"/>
      <c r="C42" s="12"/>
      <c r="D42" s="13" t="s">
        <v>79</v>
      </c>
      <c r="E42" s="12">
        <v>0</v>
      </c>
      <c r="F42" s="12">
        <v>0</v>
      </c>
    </row>
    <row r="43" spans="1:8" ht="15" customHeight="1" x14ac:dyDescent="0.15">
      <c r="A43" s="4"/>
      <c r="B43" s="12"/>
      <c r="C43" s="12"/>
      <c r="D43" s="13" t="s">
        <v>80</v>
      </c>
      <c r="E43" s="12">
        <v>-2555409593.3299999</v>
      </c>
      <c r="F43" s="12">
        <v>-2550761847.75</v>
      </c>
      <c r="G43" s="15"/>
      <c r="H43" s="5"/>
    </row>
    <row r="44" spans="1:8" ht="15" customHeight="1" x14ac:dyDescent="0.15">
      <c r="A44" s="4"/>
      <c r="B44" s="12"/>
      <c r="C44" s="12"/>
      <c r="D44" s="13" t="s">
        <v>81</v>
      </c>
      <c r="E44" s="12"/>
      <c r="F44" s="12"/>
    </row>
    <row r="45" spans="1:8" ht="15" customHeight="1" x14ac:dyDescent="0.15">
      <c r="A45" s="4"/>
      <c r="B45" s="12"/>
      <c r="C45" s="12"/>
      <c r="D45" s="13" t="s">
        <v>82</v>
      </c>
      <c r="E45" s="12">
        <v>1320303806.6700001</v>
      </c>
      <c r="F45" s="12">
        <v>1324951552.25</v>
      </c>
    </row>
    <row r="46" spans="1:8" ht="15" customHeight="1" x14ac:dyDescent="0.15">
      <c r="A46" s="4" t="s">
        <v>83</v>
      </c>
      <c r="B46" s="12">
        <v>2189184977.3299999</v>
      </c>
      <c r="C46" s="12">
        <v>2190474178.1199999</v>
      </c>
      <c r="D46" s="13" t="s">
        <v>84</v>
      </c>
      <c r="E46" s="12">
        <v>2189184977.3299999</v>
      </c>
      <c r="F46" s="12">
        <v>2190474178.1199999</v>
      </c>
      <c r="G46" s="16">
        <f>B46-E46</f>
        <v>0</v>
      </c>
      <c r="H46" s="16">
        <f>C46-F46</f>
        <v>0</v>
      </c>
    </row>
    <row r="47" spans="1:8" ht="15" customHeight="1" x14ac:dyDescent="0.15">
      <c r="B47" s="14"/>
      <c r="C47" s="14"/>
      <c r="D47" s="14"/>
      <c r="E47" s="14"/>
      <c r="F47" s="14"/>
    </row>
    <row r="48" spans="1:8" ht="15" customHeight="1" x14ac:dyDescent="0.15">
      <c r="B48" s="14"/>
      <c r="C48" s="14"/>
      <c r="D48" s="14"/>
      <c r="E48" s="14"/>
      <c r="F48" s="14"/>
    </row>
  </sheetData>
  <mergeCells count="1">
    <mergeCell ref="A1:F1"/>
  </mergeCells>
  <phoneticPr fontId="19" type="noConversion"/>
  <printOptions gridLines="1"/>
  <pageMargins left="0.67708331346511841" right="0.67708331346511841" top="0.71875" bottom="0.71875" header="0.3020833432674408" footer="0.3020833432674408"/>
  <pageSetup paperSize="9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workbookViewId="0">
      <selection activeCell="B2" sqref="B1:D1048576"/>
    </sheetView>
  </sheetViews>
  <sheetFormatPr defaultColWidth="8.625" defaultRowHeight="15" customHeight="1" x14ac:dyDescent="0.15"/>
  <cols>
    <col min="1" max="1" width="77.375" style="1" customWidth="1"/>
    <col min="2" max="2" width="17.25" style="15" bestFit="1" customWidth="1"/>
    <col min="3" max="3" width="21.625" style="15" bestFit="1" customWidth="1"/>
    <col min="4" max="4" width="17.25" style="15" bestFit="1" customWidth="1"/>
    <col min="5" max="11" width="8.625" style="1" customWidth="1"/>
    <col min="12" max="16384" width="8.625" style="1"/>
  </cols>
  <sheetData>
    <row r="1" spans="1:4" ht="29.25" customHeight="1" x14ac:dyDescent="0.25">
      <c r="A1" s="23" t="s">
        <v>85</v>
      </c>
      <c r="B1" s="24"/>
      <c r="C1" s="24"/>
      <c r="D1" s="24"/>
    </row>
    <row r="2" spans="1:4" ht="15" customHeight="1" x14ac:dyDescent="0.15">
      <c r="A2" s="2" t="s">
        <v>86</v>
      </c>
      <c r="B2" s="9"/>
      <c r="C2" s="9"/>
      <c r="D2" s="9" t="s">
        <v>87</v>
      </c>
    </row>
    <row r="3" spans="1:4" ht="15" customHeight="1" x14ac:dyDescent="0.15">
      <c r="A3" s="17" t="s">
        <v>181</v>
      </c>
      <c r="B3" s="9"/>
      <c r="C3" s="9"/>
      <c r="D3" s="9" t="s">
        <v>3</v>
      </c>
    </row>
    <row r="4" spans="1:4" ht="15" customHeight="1" x14ac:dyDescent="0.15">
      <c r="A4" s="3" t="s">
        <v>88</v>
      </c>
      <c r="B4" s="10" t="s">
        <v>89</v>
      </c>
      <c r="C4" s="10" t="s">
        <v>90</v>
      </c>
      <c r="D4" s="10" t="s">
        <v>91</v>
      </c>
    </row>
    <row r="5" spans="1:4" ht="15" customHeight="1" x14ac:dyDescent="0.15">
      <c r="A5" s="4" t="s">
        <v>92</v>
      </c>
      <c r="B5" s="18">
        <v>11442762.220000001</v>
      </c>
      <c r="C5" s="18">
        <v>34669735.219999999</v>
      </c>
      <c r="D5" s="18">
        <v>28327311.710000001</v>
      </c>
    </row>
    <row r="6" spans="1:4" ht="15" customHeight="1" x14ac:dyDescent="0.15">
      <c r="A6" s="4" t="s">
        <v>93</v>
      </c>
      <c r="B6" s="18">
        <v>6674283.1500000004</v>
      </c>
      <c r="C6" s="18">
        <v>24825871.5</v>
      </c>
      <c r="D6" s="18">
        <v>21157887.280000001</v>
      </c>
    </row>
    <row r="7" spans="1:4" ht="15" customHeight="1" x14ac:dyDescent="0.15">
      <c r="A7" s="4" t="s">
        <v>94</v>
      </c>
      <c r="B7" s="18">
        <v>2197000.88</v>
      </c>
      <c r="C7" s="18">
        <v>8839023.7400000002</v>
      </c>
      <c r="D7" s="18">
        <v>8704645.4499999993</v>
      </c>
    </row>
    <row r="8" spans="1:4" ht="15" customHeight="1" x14ac:dyDescent="0.15">
      <c r="A8" s="4" t="s">
        <v>95</v>
      </c>
      <c r="B8" s="18">
        <v>100704.41</v>
      </c>
      <c r="C8" s="18">
        <v>286538.19</v>
      </c>
      <c r="D8" s="18">
        <v>119882.16</v>
      </c>
    </row>
    <row r="9" spans="1:4" ht="15" customHeight="1" x14ac:dyDescent="0.15">
      <c r="A9" s="4" t="s">
        <v>96</v>
      </c>
      <c r="B9" s="18">
        <v>469775.05</v>
      </c>
      <c r="C9" s="18">
        <v>1703324.1</v>
      </c>
      <c r="D9" s="18">
        <v>1911592.04</v>
      </c>
    </row>
    <row r="10" spans="1:4" ht="15" customHeight="1" x14ac:dyDescent="0.15">
      <c r="A10" s="4" t="s">
        <v>97</v>
      </c>
      <c r="B10" s="13"/>
      <c r="C10" s="13"/>
      <c r="D10" s="13"/>
    </row>
    <row r="11" spans="1:4" ht="15" customHeight="1" x14ac:dyDescent="0.15">
      <c r="A11" s="4" t="s">
        <v>98</v>
      </c>
      <c r="B11" s="18">
        <v>1854.09</v>
      </c>
      <c r="C11" s="18">
        <v>3664135.61</v>
      </c>
      <c r="D11" s="18">
        <v>4257452.16</v>
      </c>
    </row>
    <row r="12" spans="1:4" ht="15" customHeight="1" x14ac:dyDescent="0.15">
      <c r="A12" s="4" t="s">
        <v>99</v>
      </c>
      <c r="B12" s="18">
        <v>0</v>
      </c>
      <c r="C12" s="18">
        <v>3674061.53</v>
      </c>
      <c r="D12" s="18">
        <v>4293536.28</v>
      </c>
    </row>
    <row r="13" spans="1:4" ht="15" customHeight="1" x14ac:dyDescent="0.15">
      <c r="A13" s="4" t="s">
        <v>100</v>
      </c>
      <c r="B13" s="18">
        <v>0</v>
      </c>
      <c r="C13" s="18">
        <v>-16935.32</v>
      </c>
      <c r="D13" s="18">
        <v>-39102.15</v>
      </c>
    </row>
    <row r="14" spans="1:4" ht="15" customHeight="1" x14ac:dyDescent="0.15">
      <c r="A14" s="4" t="s">
        <v>101</v>
      </c>
      <c r="B14" s="18">
        <v>0</v>
      </c>
      <c r="C14" s="18">
        <v>1412.34</v>
      </c>
      <c r="D14" s="18">
        <v>2522.92</v>
      </c>
    </row>
    <row r="15" spans="1:4" ht="15" customHeight="1" x14ac:dyDescent="0.15">
      <c r="A15" s="4" t="s">
        <v>102</v>
      </c>
      <c r="B15" s="18">
        <v>0</v>
      </c>
      <c r="C15" s="18">
        <v>0</v>
      </c>
      <c r="D15" s="18">
        <v>0</v>
      </c>
    </row>
    <row r="16" spans="1:4" ht="15" customHeight="1" x14ac:dyDescent="0.15">
      <c r="A16" s="4" t="s">
        <v>103</v>
      </c>
      <c r="B16" s="13"/>
      <c r="C16" s="13"/>
      <c r="D16" s="13"/>
    </row>
    <row r="17" spans="1:4" ht="15" customHeight="1" x14ac:dyDescent="0.15">
      <c r="A17" s="4" t="s">
        <v>104</v>
      </c>
      <c r="B17" s="13"/>
      <c r="C17" s="13"/>
      <c r="D17" s="13"/>
    </row>
    <row r="18" spans="1:4" ht="15" customHeight="1" x14ac:dyDescent="0.15">
      <c r="A18" s="4" t="s">
        <v>105</v>
      </c>
      <c r="B18" s="13"/>
      <c r="C18" s="13"/>
      <c r="D18" s="13"/>
    </row>
    <row r="19" spans="1:4" ht="15" customHeight="1" x14ac:dyDescent="0.15">
      <c r="A19" s="4" t="s">
        <v>106</v>
      </c>
      <c r="B19" s="13"/>
      <c r="C19" s="13"/>
      <c r="D19" s="13"/>
    </row>
    <row r="20" spans="1:4" ht="15" customHeight="1" x14ac:dyDescent="0.15">
      <c r="A20" s="4" t="s">
        <v>107</v>
      </c>
      <c r="B20" s="12">
        <v>0</v>
      </c>
      <c r="C20" s="12">
        <v>0</v>
      </c>
      <c r="D20" s="12">
        <v>0</v>
      </c>
    </row>
    <row r="21" spans="1:4" ht="15" customHeight="1" x14ac:dyDescent="0.15">
      <c r="A21" s="4" t="s">
        <v>108</v>
      </c>
      <c r="B21" s="18">
        <v>0</v>
      </c>
      <c r="C21" s="18">
        <v>0</v>
      </c>
      <c r="D21" s="18">
        <v>0</v>
      </c>
    </row>
    <row r="22" spans="1:4" ht="15" customHeight="1" x14ac:dyDescent="0.15">
      <c r="A22" s="4" t="s">
        <v>109</v>
      </c>
      <c r="B22" s="13"/>
      <c r="C22" s="13"/>
      <c r="D22" s="13"/>
    </row>
    <row r="23" spans="1:4" ht="15" customHeight="1" x14ac:dyDescent="0.15">
      <c r="A23" s="4" t="s">
        <v>110</v>
      </c>
      <c r="B23" s="18">
        <v>1999144.64</v>
      </c>
      <c r="C23" s="18">
        <v>-4647745.58</v>
      </c>
      <c r="D23" s="18">
        <v>-7821624.46</v>
      </c>
    </row>
    <row r="24" spans="1:4" ht="15" customHeight="1" x14ac:dyDescent="0.15">
      <c r="A24" s="4" t="s">
        <v>111</v>
      </c>
      <c r="B24" s="18">
        <v>0</v>
      </c>
      <c r="C24" s="18">
        <v>0</v>
      </c>
      <c r="D24" s="18">
        <v>0.11</v>
      </c>
    </row>
    <row r="25" spans="1:4" ht="15" customHeight="1" x14ac:dyDescent="0.15">
      <c r="A25" s="4" t="s">
        <v>112</v>
      </c>
      <c r="B25" s="18">
        <v>0</v>
      </c>
      <c r="C25" s="18">
        <v>0</v>
      </c>
      <c r="D25" s="18">
        <v>28566</v>
      </c>
    </row>
    <row r="26" spans="1:4" ht="15" customHeight="1" x14ac:dyDescent="0.15">
      <c r="A26" s="4" t="s">
        <v>113</v>
      </c>
      <c r="B26" s="18">
        <v>1999144.64</v>
      </c>
      <c r="C26" s="18">
        <v>-4647745.58</v>
      </c>
      <c r="D26" s="18">
        <v>-7850190.3499999996</v>
      </c>
    </row>
    <row r="27" spans="1:4" ht="15" customHeight="1" x14ac:dyDescent="0.15">
      <c r="A27" s="4" t="s">
        <v>114</v>
      </c>
      <c r="B27" s="18">
        <v>0</v>
      </c>
      <c r="C27" s="18">
        <v>0</v>
      </c>
      <c r="D27" s="18">
        <v>0</v>
      </c>
    </row>
    <row r="28" spans="1:4" ht="15" customHeight="1" x14ac:dyDescent="0.15">
      <c r="A28" s="4" t="s">
        <v>115</v>
      </c>
      <c r="B28" s="18">
        <v>1999144.64</v>
      </c>
      <c r="C28" s="18">
        <v>-4647745.58</v>
      </c>
      <c r="D28" s="18">
        <v>-7850190.3499999996</v>
      </c>
    </row>
    <row r="29" spans="1:4" ht="15" customHeight="1" x14ac:dyDescent="0.15">
      <c r="A29" s="4" t="s">
        <v>116</v>
      </c>
      <c r="B29" s="13"/>
      <c r="C29" s="13"/>
      <c r="D29" s="13"/>
    </row>
    <row r="30" spans="1:4" ht="15" customHeight="1" x14ac:dyDescent="0.15">
      <c r="A30" s="4" t="s">
        <v>117</v>
      </c>
      <c r="B30" s="13"/>
      <c r="C30" s="13"/>
      <c r="D30" s="13"/>
    </row>
    <row r="31" spans="1:4" ht="15" customHeight="1" x14ac:dyDescent="0.15">
      <c r="A31" s="4" t="s">
        <v>118</v>
      </c>
      <c r="B31" s="18">
        <v>0</v>
      </c>
      <c r="C31" s="18">
        <v>0</v>
      </c>
      <c r="D31" s="18">
        <v>0</v>
      </c>
    </row>
    <row r="32" spans="1:4" ht="15" customHeight="1" x14ac:dyDescent="0.15">
      <c r="A32" s="4" t="s">
        <v>119</v>
      </c>
      <c r="B32" s="18">
        <v>0</v>
      </c>
      <c r="C32" s="18">
        <v>0</v>
      </c>
      <c r="D32" s="18">
        <v>0</v>
      </c>
    </row>
    <row r="33" spans="1:4" ht="15" customHeight="1" x14ac:dyDescent="0.15">
      <c r="A33" s="4" t="s">
        <v>120</v>
      </c>
      <c r="B33" s="13"/>
      <c r="C33" s="13"/>
      <c r="D33" s="13"/>
    </row>
    <row r="34" spans="1:4" ht="15" customHeight="1" x14ac:dyDescent="0.15">
      <c r="A34" s="4" t="s">
        <v>121</v>
      </c>
      <c r="B34" s="13"/>
      <c r="C34" s="13"/>
      <c r="D34" s="13"/>
    </row>
    <row r="35" spans="1:4" ht="15" customHeight="1" x14ac:dyDescent="0.15">
      <c r="A35" s="4" t="s">
        <v>122</v>
      </c>
      <c r="B35" s="13"/>
      <c r="C35" s="13"/>
      <c r="D35" s="13"/>
    </row>
    <row r="36" spans="1:4" ht="15" customHeight="1" x14ac:dyDescent="0.15">
      <c r="A36" s="4" t="s">
        <v>123</v>
      </c>
      <c r="B36" s="13"/>
      <c r="C36" s="13"/>
      <c r="D36" s="13"/>
    </row>
    <row r="37" spans="1:4" ht="15" customHeight="1" x14ac:dyDescent="0.15">
      <c r="A37" s="4" t="s">
        <v>124</v>
      </c>
      <c r="B37" s="13"/>
      <c r="C37" s="13"/>
      <c r="D37" s="13"/>
    </row>
    <row r="38" spans="1:4" ht="15" customHeight="1" x14ac:dyDescent="0.15">
      <c r="A38" s="4" t="s">
        <v>125</v>
      </c>
      <c r="B38" s="18">
        <v>0</v>
      </c>
      <c r="C38" s="18">
        <v>0</v>
      </c>
      <c r="D38" s="18">
        <v>0</v>
      </c>
    </row>
    <row r="39" spans="1:4" ht="15" customHeight="1" x14ac:dyDescent="0.15">
      <c r="A39" s="4" t="s">
        <v>126</v>
      </c>
      <c r="B39" s="13"/>
      <c r="C39" s="13"/>
      <c r="D39" s="13"/>
    </row>
    <row r="40" spans="1:4" ht="15" customHeight="1" x14ac:dyDescent="0.15">
      <c r="A40" s="4" t="s">
        <v>127</v>
      </c>
      <c r="B40" s="13"/>
      <c r="C40" s="13"/>
      <c r="D40" s="13"/>
    </row>
    <row r="41" spans="1:4" ht="15" customHeight="1" x14ac:dyDescent="0.15">
      <c r="A41" s="4" t="s">
        <v>128</v>
      </c>
      <c r="B41" s="13"/>
      <c r="C41" s="13"/>
      <c r="D41" s="13"/>
    </row>
    <row r="42" spans="1:4" ht="15" customHeight="1" x14ac:dyDescent="0.15">
      <c r="A42" s="4" t="s">
        <v>129</v>
      </c>
      <c r="B42" s="13"/>
      <c r="C42" s="13"/>
      <c r="D42" s="13"/>
    </row>
    <row r="43" spans="1:4" ht="15" customHeight="1" x14ac:dyDescent="0.15">
      <c r="A43" s="4" t="s">
        <v>130</v>
      </c>
      <c r="B43" s="13"/>
      <c r="C43" s="13"/>
      <c r="D43" s="13"/>
    </row>
    <row r="44" spans="1:4" ht="15" customHeight="1" x14ac:dyDescent="0.15">
      <c r="A44" s="4" t="s">
        <v>131</v>
      </c>
      <c r="B44" s="13"/>
      <c r="C44" s="13"/>
      <c r="D44" s="13"/>
    </row>
    <row r="45" spans="1:4" ht="15" customHeight="1" x14ac:dyDescent="0.15">
      <c r="A45" s="4" t="s">
        <v>124</v>
      </c>
      <c r="B45" s="13"/>
      <c r="C45" s="13"/>
      <c r="D45" s="13"/>
    </row>
    <row r="46" spans="1:4" ht="15" customHeight="1" x14ac:dyDescent="0.15">
      <c r="A46" s="4" t="s">
        <v>132</v>
      </c>
      <c r="B46" s="18">
        <v>1999144.64</v>
      </c>
      <c r="C46" s="18">
        <v>-4647745.58</v>
      </c>
      <c r="D46" s="18">
        <v>-7850190.3499999996</v>
      </c>
    </row>
    <row r="47" spans="1:4" ht="15" customHeight="1" x14ac:dyDescent="0.15">
      <c r="A47" s="4" t="s">
        <v>133</v>
      </c>
      <c r="B47" s="18">
        <v>0</v>
      </c>
      <c r="C47" s="18">
        <v>0</v>
      </c>
      <c r="D47" s="18">
        <v>0</v>
      </c>
    </row>
    <row r="48" spans="1:4" ht="15" customHeight="1" x14ac:dyDescent="0.15">
      <c r="A48" s="4" t="s">
        <v>134</v>
      </c>
      <c r="B48" s="13"/>
      <c r="C48" s="13"/>
      <c r="D48" s="13"/>
    </row>
    <row r="49" spans="1:4" ht="15" customHeight="1" x14ac:dyDescent="0.15">
      <c r="A49" s="4" t="s">
        <v>135</v>
      </c>
      <c r="B49" s="13"/>
      <c r="C49" s="13"/>
      <c r="D49" s="13"/>
    </row>
    <row r="50" spans="1:4" ht="17.25" customHeight="1" x14ac:dyDescent="0.15">
      <c r="A50" s="6" t="s">
        <v>136</v>
      </c>
      <c r="B50" s="19"/>
      <c r="C50" s="20">
        <v>-2550761847.75</v>
      </c>
      <c r="D50" s="19"/>
    </row>
    <row r="51" spans="1:4" ht="15" customHeight="1" x14ac:dyDescent="0.15">
      <c r="A51" s="7" t="s">
        <v>137</v>
      </c>
      <c r="B51" s="19"/>
      <c r="C51" s="20">
        <v>-2555409593.3299999</v>
      </c>
      <c r="D51" s="19"/>
    </row>
    <row r="52" spans="1:4" ht="17.25" customHeight="1" x14ac:dyDescent="0.15">
      <c r="A52" s="7" t="s">
        <v>138</v>
      </c>
      <c r="B52" s="19"/>
      <c r="C52" s="19"/>
      <c r="D52" s="19"/>
    </row>
    <row r="53" spans="1:4" ht="15" customHeight="1" x14ac:dyDescent="0.15">
      <c r="A53" s="7" t="s">
        <v>139</v>
      </c>
      <c r="B53" s="19"/>
      <c r="C53" s="19"/>
      <c r="D53" s="19"/>
    </row>
    <row r="54" spans="1:4" ht="15" customHeight="1" x14ac:dyDescent="0.15">
      <c r="A54" s="7" t="s">
        <v>140</v>
      </c>
      <c r="B54" s="19"/>
      <c r="C54" s="20">
        <v>-2555409593.3299999</v>
      </c>
      <c r="D54" s="19"/>
    </row>
  </sheetData>
  <mergeCells count="1">
    <mergeCell ref="A1:D1"/>
  </mergeCells>
  <phoneticPr fontId="19" type="noConversion"/>
  <printOptions gridLines="1"/>
  <pageMargins left="0.67708331346511841" right="0.67708331346511841" top="0.71875" bottom="0.71875" header="0.3020833432674408" footer="0.3020833432674408"/>
  <pageSetup paperSize="9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abSelected="1" workbookViewId="0">
      <selection activeCell="B24" sqref="B24"/>
    </sheetView>
  </sheetViews>
  <sheetFormatPr defaultColWidth="8.625" defaultRowHeight="15" customHeight="1" x14ac:dyDescent="0.15"/>
  <cols>
    <col min="1" max="1" width="69.125" style="1" customWidth="1"/>
    <col min="2" max="4" width="17.25" style="15" bestFit="1" customWidth="1"/>
    <col min="5" max="7" width="8.625" style="1" customWidth="1"/>
    <col min="8" max="16384" width="8.625" style="1"/>
  </cols>
  <sheetData>
    <row r="1" spans="1:4" ht="30" customHeight="1" x14ac:dyDescent="0.25">
      <c r="A1" s="23" t="s">
        <v>141</v>
      </c>
      <c r="B1" s="24"/>
      <c r="C1" s="24"/>
      <c r="D1" s="24"/>
    </row>
    <row r="2" spans="1:4" ht="15" customHeight="1" x14ac:dyDescent="0.15">
      <c r="A2" s="2" t="s">
        <v>86</v>
      </c>
      <c r="B2" s="9"/>
      <c r="D2" s="9" t="s">
        <v>142</v>
      </c>
    </row>
    <row r="3" spans="1:4" ht="15" customHeight="1" x14ac:dyDescent="0.15">
      <c r="A3" s="17" t="s">
        <v>181</v>
      </c>
      <c r="B3" s="9"/>
      <c r="D3" s="9" t="s">
        <v>3</v>
      </c>
    </row>
    <row r="4" spans="1:4" ht="15" customHeight="1" x14ac:dyDescent="0.15">
      <c r="A4" s="3" t="s">
        <v>88</v>
      </c>
      <c r="B4" s="11" t="s">
        <v>89</v>
      </c>
      <c r="C4" s="11" t="s">
        <v>90</v>
      </c>
      <c r="D4" s="11" t="s">
        <v>91</v>
      </c>
    </row>
    <row r="5" spans="1:4" ht="15" customHeight="1" x14ac:dyDescent="0.15">
      <c r="A5" s="4" t="s">
        <v>143</v>
      </c>
      <c r="B5" s="13"/>
      <c r="C5" s="13"/>
      <c r="D5" s="13"/>
    </row>
    <row r="6" spans="1:4" ht="15" customHeight="1" x14ac:dyDescent="0.15">
      <c r="A6" s="4" t="s">
        <v>144</v>
      </c>
      <c r="B6" s="18">
        <v>30180633.579999998</v>
      </c>
      <c r="C6" s="18">
        <v>52851589.119999997</v>
      </c>
      <c r="D6" s="18">
        <v>40090840.659999996</v>
      </c>
    </row>
    <row r="7" spans="1:4" ht="15" customHeight="1" x14ac:dyDescent="0.15">
      <c r="A7" s="4" t="s">
        <v>145</v>
      </c>
      <c r="B7" s="18">
        <v>0</v>
      </c>
      <c r="C7" s="18">
        <v>0</v>
      </c>
      <c r="D7" s="18">
        <v>0</v>
      </c>
    </row>
    <row r="8" spans="1:4" ht="15" customHeight="1" x14ac:dyDescent="0.15">
      <c r="A8" s="4" t="s">
        <v>146</v>
      </c>
      <c r="B8" s="18">
        <v>10946500.449999999</v>
      </c>
      <c r="C8" s="18">
        <v>13427080.23</v>
      </c>
      <c r="D8" s="18">
        <v>990214.47</v>
      </c>
    </row>
    <row r="9" spans="1:4" ht="15" customHeight="1" x14ac:dyDescent="0.15">
      <c r="A9" s="4" t="s">
        <v>147</v>
      </c>
      <c r="B9" s="18">
        <v>41127134.030000001</v>
      </c>
      <c r="C9" s="18">
        <v>66278669.350000001</v>
      </c>
      <c r="D9" s="18">
        <v>41081055.130000003</v>
      </c>
    </row>
    <row r="10" spans="1:4" ht="15" customHeight="1" x14ac:dyDescent="0.15">
      <c r="A10" s="4" t="s">
        <v>148</v>
      </c>
      <c r="B10" s="18">
        <v>491679.69</v>
      </c>
      <c r="C10" s="18">
        <v>6705131.9900000002</v>
      </c>
      <c r="D10" s="18">
        <v>5233957.58</v>
      </c>
    </row>
    <row r="11" spans="1:4" ht="15" customHeight="1" x14ac:dyDescent="0.15">
      <c r="A11" s="4" t="s">
        <v>149</v>
      </c>
      <c r="B11" s="18">
        <v>357028.49</v>
      </c>
      <c r="C11" s="18">
        <v>1379446.79</v>
      </c>
      <c r="D11" s="18">
        <v>2025078.89</v>
      </c>
    </row>
    <row r="12" spans="1:4" ht="15" customHeight="1" x14ac:dyDescent="0.15">
      <c r="A12" s="4" t="s">
        <v>150</v>
      </c>
      <c r="B12" s="18">
        <v>13027070.99</v>
      </c>
      <c r="C12" s="18">
        <v>13152466.18</v>
      </c>
      <c r="D12" s="18">
        <v>13124154.74</v>
      </c>
    </row>
    <row r="13" spans="1:4" ht="15" customHeight="1" x14ac:dyDescent="0.15">
      <c r="A13" s="4" t="s">
        <v>151</v>
      </c>
      <c r="B13" s="18">
        <v>942106.59</v>
      </c>
      <c r="C13" s="18">
        <v>16298295.93</v>
      </c>
      <c r="D13" s="18">
        <v>4068416.07</v>
      </c>
    </row>
    <row r="14" spans="1:4" ht="15" customHeight="1" x14ac:dyDescent="0.15">
      <c r="A14" s="4" t="s">
        <v>152</v>
      </c>
      <c r="B14" s="18">
        <v>14817885.76</v>
      </c>
      <c r="C14" s="18">
        <v>37535340.890000001</v>
      </c>
      <c r="D14" s="18">
        <v>24451607.280000001</v>
      </c>
    </row>
    <row r="15" spans="1:4" ht="15" customHeight="1" x14ac:dyDescent="0.15">
      <c r="A15" s="4" t="s">
        <v>153</v>
      </c>
      <c r="B15" s="18">
        <v>26309248.27</v>
      </c>
      <c r="C15" s="18">
        <v>28743328.460000001</v>
      </c>
      <c r="D15" s="18">
        <v>16629447.85</v>
      </c>
    </row>
    <row r="16" spans="1:4" ht="15" customHeight="1" x14ac:dyDescent="0.15">
      <c r="A16" s="4" t="s">
        <v>154</v>
      </c>
      <c r="B16" s="13"/>
      <c r="C16" s="13"/>
      <c r="D16" s="13"/>
    </row>
    <row r="17" spans="1:4" ht="15" customHeight="1" x14ac:dyDescent="0.15">
      <c r="A17" s="4" t="s">
        <v>155</v>
      </c>
      <c r="B17" s="18">
        <v>0</v>
      </c>
      <c r="C17" s="18">
        <v>0</v>
      </c>
      <c r="D17" s="18">
        <v>0</v>
      </c>
    </row>
    <row r="18" spans="1:4" ht="15" customHeight="1" x14ac:dyDescent="0.15">
      <c r="A18" s="4" t="s">
        <v>156</v>
      </c>
      <c r="B18" s="18">
        <v>0</v>
      </c>
      <c r="C18" s="18">
        <v>0</v>
      </c>
      <c r="D18" s="18">
        <v>0</v>
      </c>
    </row>
    <row r="19" spans="1:4" ht="15" customHeight="1" x14ac:dyDescent="0.15">
      <c r="A19" s="4" t="s">
        <v>157</v>
      </c>
      <c r="B19" s="18">
        <v>0</v>
      </c>
      <c r="C19" s="18">
        <v>0</v>
      </c>
      <c r="D19" s="18">
        <v>0</v>
      </c>
    </row>
    <row r="20" spans="1:4" ht="15" customHeight="1" x14ac:dyDescent="0.15">
      <c r="A20" s="4" t="s">
        <v>158</v>
      </c>
      <c r="B20" s="18">
        <v>0</v>
      </c>
      <c r="C20" s="18">
        <v>0</v>
      </c>
      <c r="D20" s="18">
        <v>0</v>
      </c>
    </row>
    <row r="21" spans="1:4" ht="15" customHeight="1" x14ac:dyDescent="0.15">
      <c r="A21" s="4" t="s">
        <v>159</v>
      </c>
      <c r="B21" s="18">
        <v>0</v>
      </c>
      <c r="C21" s="18">
        <v>0</v>
      </c>
      <c r="D21" s="18">
        <v>0</v>
      </c>
    </row>
    <row r="22" spans="1:4" ht="15" customHeight="1" x14ac:dyDescent="0.15">
      <c r="A22" s="4" t="s">
        <v>160</v>
      </c>
      <c r="B22" s="18">
        <v>0</v>
      </c>
      <c r="C22" s="18">
        <v>0</v>
      </c>
      <c r="D22" s="18">
        <v>0</v>
      </c>
    </row>
    <row r="23" spans="1:4" ht="15" customHeight="1" x14ac:dyDescent="0.15">
      <c r="A23" s="4" t="s">
        <v>161</v>
      </c>
      <c r="B23" s="18">
        <v>3302.31</v>
      </c>
      <c r="C23" s="18">
        <v>34304.080000000002</v>
      </c>
      <c r="D23" s="18">
        <v>518900</v>
      </c>
    </row>
    <row r="24" spans="1:4" ht="15" customHeight="1" x14ac:dyDescent="0.15">
      <c r="A24" s="4" t="s">
        <v>162</v>
      </c>
      <c r="B24" s="18">
        <v>0</v>
      </c>
      <c r="C24" s="18">
        <v>0</v>
      </c>
      <c r="D24" s="18">
        <v>0</v>
      </c>
    </row>
    <row r="25" spans="1:4" ht="15" customHeight="1" x14ac:dyDescent="0.15">
      <c r="A25" s="4" t="s">
        <v>163</v>
      </c>
      <c r="B25" s="18">
        <v>0</v>
      </c>
      <c r="C25" s="18">
        <v>0</v>
      </c>
      <c r="D25" s="18">
        <v>0</v>
      </c>
    </row>
    <row r="26" spans="1:4" ht="15" customHeight="1" x14ac:dyDescent="0.15">
      <c r="A26" s="4" t="s">
        <v>164</v>
      </c>
      <c r="B26" s="18">
        <v>0</v>
      </c>
      <c r="C26" s="18">
        <v>0</v>
      </c>
      <c r="D26" s="18">
        <v>0</v>
      </c>
    </row>
    <row r="27" spans="1:4" ht="15" customHeight="1" x14ac:dyDescent="0.15">
      <c r="A27" s="4" t="s">
        <v>165</v>
      </c>
      <c r="B27" s="18">
        <v>3302.31</v>
      </c>
      <c r="C27" s="18">
        <v>34304.080000000002</v>
      </c>
      <c r="D27" s="18">
        <v>518900</v>
      </c>
    </row>
    <row r="28" spans="1:4" ht="15" customHeight="1" x14ac:dyDescent="0.15">
      <c r="A28" s="4" t="s">
        <v>166</v>
      </c>
      <c r="B28" s="18">
        <v>-3302.31</v>
      </c>
      <c r="C28" s="18">
        <v>-34304.080000000002</v>
      </c>
      <c r="D28" s="18">
        <v>-518900</v>
      </c>
    </row>
    <row r="29" spans="1:4" ht="15" customHeight="1" x14ac:dyDescent="0.15">
      <c r="A29" s="4" t="s">
        <v>167</v>
      </c>
      <c r="B29" s="13"/>
      <c r="C29" s="13"/>
      <c r="D29" s="13"/>
    </row>
    <row r="30" spans="1:4" ht="15" customHeight="1" x14ac:dyDescent="0.15">
      <c r="A30" s="4" t="s">
        <v>168</v>
      </c>
      <c r="B30" s="18">
        <v>0</v>
      </c>
      <c r="C30" s="18">
        <v>0</v>
      </c>
      <c r="D30" s="18">
        <v>0</v>
      </c>
    </row>
    <row r="31" spans="1:4" ht="15" customHeight="1" x14ac:dyDescent="0.15">
      <c r="A31" s="4" t="s">
        <v>169</v>
      </c>
      <c r="B31" s="18">
        <v>0</v>
      </c>
      <c r="C31" s="18">
        <v>0</v>
      </c>
      <c r="D31" s="18">
        <v>0</v>
      </c>
    </row>
    <row r="32" spans="1:4" ht="15" customHeight="1" x14ac:dyDescent="0.15">
      <c r="A32" s="4" t="s">
        <v>170</v>
      </c>
      <c r="B32" s="18">
        <v>0</v>
      </c>
      <c r="C32" s="18">
        <v>0</v>
      </c>
      <c r="D32" s="18">
        <v>0</v>
      </c>
    </row>
    <row r="33" spans="1:4" ht="15" customHeight="1" x14ac:dyDescent="0.15">
      <c r="A33" s="4" t="s">
        <v>171</v>
      </c>
      <c r="B33" s="18">
        <v>0</v>
      </c>
      <c r="C33" s="18">
        <v>0</v>
      </c>
      <c r="D33" s="18">
        <v>0</v>
      </c>
    </row>
    <row r="34" spans="1:4" ht="15" customHeight="1" x14ac:dyDescent="0.15">
      <c r="A34" s="4" t="s">
        <v>172</v>
      </c>
      <c r="B34" s="18">
        <v>0</v>
      </c>
      <c r="C34" s="18">
        <v>0</v>
      </c>
      <c r="D34" s="18">
        <v>0</v>
      </c>
    </row>
    <row r="35" spans="1:4" ht="15" customHeight="1" x14ac:dyDescent="0.15">
      <c r="A35" s="4" t="s">
        <v>173</v>
      </c>
      <c r="B35" s="18">
        <v>0</v>
      </c>
      <c r="C35" s="18">
        <v>0</v>
      </c>
      <c r="D35" s="18">
        <v>0</v>
      </c>
    </row>
    <row r="36" spans="1:4" ht="15" customHeight="1" x14ac:dyDescent="0.15">
      <c r="A36" s="4" t="s">
        <v>174</v>
      </c>
      <c r="B36" s="18">
        <v>0</v>
      </c>
      <c r="C36" s="18">
        <v>0</v>
      </c>
      <c r="D36" s="18">
        <v>0</v>
      </c>
    </row>
    <row r="37" spans="1:4" ht="15" customHeight="1" x14ac:dyDescent="0.15">
      <c r="A37" s="4" t="s">
        <v>175</v>
      </c>
      <c r="B37" s="18">
        <v>0</v>
      </c>
      <c r="C37" s="18">
        <v>0</v>
      </c>
      <c r="D37" s="18">
        <v>0</v>
      </c>
    </row>
    <row r="38" spans="1:4" ht="15" customHeight="1" x14ac:dyDescent="0.15">
      <c r="A38" s="4" t="s">
        <v>176</v>
      </c>
      <c r="B38" s="18">
        <v>0</v>
      </c>
      <c r="C38" s="18">
        <v>0</v>
      </c>
      <c r="D38" s="18">
        <v>0</v>
      </c>
    </row>
    <row r="39" spans="1:4" ht="15" customHeight="1" x14ac:dyDescent="0.15">
      <c r="A39" s="4" t="s">
        <v>177</v>
      </c>
      <c r="B39" s="13"/>
      <c r="C39" s="13"/>
      <c r="D39" s="18">
        <v>0</v>
      </c>
    </row>
    <row r="40" spans="1:4" ht="15" customHeight="1" x14ac:dyDescent="0.15">
      <c r="A40" s="4" t="s">
        <v>178</v>
      </c>
      <c r="B40" s="18">
        <v>26305945.960000001</v>
      </c>
      <c r="C40" s="18">
        <v>28709024.379999999</v>
      </c>
      <c r="D40" s="18">
        <v>16110547.85</v>
      </c>
    </row>
    <row r="41" spans="1:4" ht="15" customHeight="1" x14ac:dyDescent="0.15">
      <c r="A41" s="4" t="s">
        <v>179</v>
      </c>
      <c r="B41" s="18">
        <v>27536462.690000001</v>
      </c>
      <c r="C41" s="18">
        <v>25133384.27</v>
      </c>
      <c r="D41" s="18">
        <v>17712618.129999999</v>
      </c>
    </row>
    <row r="42" spans="1:4" ht="15" customHeight="1" x14ac:dyDescent="0.15">
      <c r="A42" s="4" t="s">
        <v>180</v>
      </c>
      <c r="B42" s="18">
        <v>53842408.649999999</v>
      </c>
      <c r="C42" s="18">
        <v>53842408.649999999</v>
      </c>
      <c r="D42" s="18">
        <v>33823165.979999997</v>
      </c>
    </row>
  </sheetData>
  <mergeCells count="1">
    <mergeCell ref="A1:D1"/>
  </mergeCells>
  <phoneticPr fontId="19" type="noConversion"/>
  <printOptions gridLines="1"/>
  <pageMargins left="0.67708331346511841" right="0.67708331346511841" top="0.71875" bottom="0.71875" header="0.3020833432674408" footer="0.3020833432674408"/>
  <pageSetup paperSize="9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刘琪</cp:lastModifiedBy>
  <dcterms:modified xsi:type="dcterms:W3CDTF">2026-05-09T09:14:57Z</dcterms:modified>
</cp:coreProperties>
</file>