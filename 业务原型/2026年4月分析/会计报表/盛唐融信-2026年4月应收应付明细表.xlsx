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应收款明细统计" sheetId="1" r:id="rId1"/>
    <sheet name="应付款明细统计" sheetId="2" r:id="rId2"/>
  </sheets>
  <definedNames>
    <definedName name="_xlnm._FilterDatabase" localSheetId="0" hidden="1">应收款明细统计!$A$1:$G$13</definedName>
    <definedName name="_xlnm._FilterDatabase" localSheetId="1" hidden="1">应付款明细统计!$A$1:$E$143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<sst xmlns="http://schemas.openxmlformats.org/spreadsheetml/2006/main" count="458" uniqueCount="108">
  <si>
    <t>往来对象名称</t>
  </si>
  <si>
    <t>会计科目</t>
  </si>
  <si>
    <t>往来项目说明</t>
  </si>
  <si>
    <t>款项形成日期</t>
  </si>
  <si>
    <t>应收金额</t>
  </si>
  <si>
    <t>减值准备</t>
  </si>
  <si>
    <t>应收净额</t>
  </si>
  <si>
    <t>中英人寿保险有限公司北京分公司</t>
  </si>
  <si>
    <t>应收账款</t>
  </si>
  <si>
    <t>手续费</t>
  </si>
  <si>
    <t>中国人民健康保险股份有限公司北京分公司</t>
  </si>
  <si>
    <t>泰康人寿保险有限责任公司北京分公司</t>
  </si>
  <si>
    <t>暂估</t>
  </si>
  <si>
    <t>富德生命人寿保险股份有限公司北京分公司</t>
  </si>
  <si>
    <t>光大永明人寿保险有限公司北京分公司</t>
  </si>
  <si>
    <t>信泰人寿保险股份有限公司北京分公司</t>
  </si>
  <si>
    <t>卡富斯保险经纪有限公司</t>
  </si>
  <si>
    <t>中汇人寿保险股份有限公司</t>
  </si>
  <si>
    <t>合计</t>
  </si>
  <si>
    <t>应付金额</t>
  </si>
  <si>
    <t>王社娟</t>
  </si>
  <si>
    <t>应付佣金-缓发佣金</t>
  </si>
  <si>
    <t>王剑英</t>
  </si>
  <si>
    <t>张晓伟</t>
  </si>
  <si>
    <t>孙丽</t>
  </si>
  <si>
    <t>雷家琴</t>
  </si>
  <si>
    <t>肖莉</t>
  </si>
  <si>
    <t>赵芳媛</t>
  </si>
  <si>
    <t>黄金弟</t>
  </si>
  <si>
    <t>孟凡娟</t>
  </si>
  <si>
    <t>王利</t>
  </si>
  <si>
    <t>孟蔚</t>
  </si>
  <si>
    <t>徐爱凤</t>
  </si>
  <si>
    <t>王怡梅</t>
  </si>
  <si>
    <t>高原</t>
  </si>
  <si>
    <t>孙凤敏</t>
  </si>
  <si>
    <t>吕赞东</t>
  </si>
  <si>
    <t>王云菊</t>
  </si>
  <si>
    <t>米岩</t>
  </si>
  <si>
    <t>扈海霞</t>
  </si>
  <si>
    <t>连鑫鑫</t>
  </si>
  <si>
    <t>孟秀云</t>
  </si>
  <si>
    <t>王红梅</t>
  </si>
  <si>
    <t>张荣涛</t>
  </si>
  <si>
    <t>庞冰冰</t>
  </si>
  <si>
    <t>王卫华</t>
  </si>
  <si>
    <t>王燕</t>
  </si>
  <si>
    <t>康会肖</t>
  </si>
  <si>
    <t>蒋金贺</t>
  </si>
  <si>
    <t>张克飞</t>
  </si>
  <si>
    <t>白云</t>
  </si>
  <si>
    <t>刘铭铭</t>
  </si>
  <si>
    <t>孙淑琴</t>
  </si>
  <si>
    <t>慈洪霞</t>
  </si>
  <si>
    <t>陈锐华</t>
  </si>
  <si>
    <t>马波</t>
  </si>
  <si>
    <t>柳菲</t>
  </si>
  <si>
    <t>王新玲</t>
  </si>
  <si>
    <t>栾义荣</t>
  </si>
  <si>
    <t>黄泽英</t>
  </si>
  <si>
    <t>王昭棠</t>
  </si>
  <si>
    <t>王晶</t>
  </si>
  <si>
    <t>杨齐</t>
  </si>
  <si>
    <t>姜灵慧</t>
  </si>
  <si>
    <t>张晶</t>
  </si>
  <si>
    <t>吕京京</t>
  </si>
  <si>
    <t>齐跃红</t>
  </si>
  <si>
    <t>齐守勇</t>
  </si>
  <si>
    <t>赵文</t>
  </si>
  <si>
    <t>李群</t>
  </si>
  <si>
    <t>吴丽娜</t>
  </si>
  <si>
    <t>奚智睿</t>
  </si>
  <si>
    <t>裴丽蓉</t>
  </si>
  <si>
    <t>马德宝</t>
  </si>
  <si>
    <t>杨晓静</t>
  </si>
  <si>
    <t>李书香</t>
  </si>
  <si>
    <t>刘斯佳</t>
  </si>
  <si>
    <t>武爱华</t>
  </si>
  <si>
    <t>高彬</t>
  </si>
  <si>
    <t>钱广珍</t>
  </si>
  <si>
    <t>王国娟</t>
  </si>
  <si>
    <t>肖梅</t>
  </si>
  <si>
    <t>冀怀苗</t>
  </si>
  <si>
    <t>张小燕</t>
  </si>
  <si>
    <t>李文芳</t>
  </si>
  <si>
    <t>李粉梅</t>
  </si>
  <si>
    <t>焦林娟</t>
  </si>
  <si>
    <t>张秀红</t>
  </si>
  <si>
    <t>刘海华</t>
  </si>
  <si>
    <t>石保曼</t>
  </si>
  <si>
    <t>王鸿</t>
  </si>
  <si>
    <t>刘迁科</t>
  </si>
  <si>
    <t>王庆</t>
  </si>
  <si>
    <t>薛赛赛</t>
  </si>
  <si>
    <t>赵娜</t>
  </si>
  <si>
    <t>王柳</t>
  </si>
  <si>
    <t>霍金枝</t>
  </si>
  <si>
    <t>杨洪山</t>
  </si>
  <si>
    <t>胡常利</t>
  </si>
  <si>
    <t>郑强</t>
  </si>
  <si>
    <t>王艳菊</t>
  </si>
  <si>
    <t>王敏</t>
  </si>
  <si>
    <t>方云琴</t>
  </si>
  <si>
    <t>孙建建</t>
  </si>
  <si>
    <t>应付佣金</t>
  </si>
  <si>
    <t>3月续期佣金</t>
  </si>
  <si>
    <t>佣金暂估</t>
  </si>
  <si>
    <t>年初暂估差额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</si>
</sst>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\¥_-;\-* #,##0\¥_-;_-* &quot;-&quot;\¥_-;_-@_-"/>
    <numFmt numFmtId="177" formatCode="_(* #,##0.00_);_(* \(#,##0.00\);_(* &quot;-&quot;??_);_(@_)"/>
    <numFmt numFmtId="178" formatCode="#,##0.00_ "/>
    <numFmt numFmtId="179" formatCode="yyyy&quot;年&quot;m&quot;月&quot;;@"/>
    <numFmt numFmtId="180" formatCode="yyyy&quot;年&quot;m&quot;月&quot;d&quot;日&quot;;@"/>
  </numFmts>
  <fonts count="26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b/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2"/>
      <name val="Times New Roman"/>
      <charset val="134"/>
    </font>
    <font>
      <sz val="11"/>
      <color indexed="8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theme="4" tint="0.399945066682943"/>
      </left>
      <right style="medium">
        <color theme="4" tint="0.399945066682943"/>
      </right>
      <top style="medium">
        <color theme="4" tint="0.399945066682943"/>
      </top>
      <bottom/>
      <diagonal/>
    </border>
    <border>
      <left style="medium">
        <color theme="4" tint="0.399945066682943"/>
      </left>
      <right style="medium">
        <color theme="4" tint="0.399945066682943"/>
      </right>
      <top style="medium">
        <color theme="4" tint="0.399945066682943"/>
      </top>
      <bottom style="medium">
        <color theme="4" tint="0.39994506668294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0" applyNumberFormat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  <xf numFmtId="0" fontId="24" fillId="0" borderId="0"/>
    <xf numFmtId="176" fontId="23" fillId="0" borderId="0" applyFont="0" applyFill="0" applyBorder="0" applyAlignment="0" applyProtection="0"/>
    <xf numFmtId="0" fontId="0" fillId="0" borderId="0">
      <alignment vertical="center"/>
    </xf>
    <xf numFmtId="0" fontId="25" fillId="0" borderId="0">
      <alignment vertical="center"/>
    </xf>
    <xf numFmtId="177" fontId="24" fillId="0" borderId="0" applyFont="0" applyFill="0" applyBorder="0" applyAlignment="0" applyProtection="0"/>
  </cellStyleXfs>
  <cellXfs count="21">
    <xf numFmtId="0" fontId="0" fillId="0" borderId="0" xfId="0">
      <alignment vertical="center"/>
    </xf>
    <xf numFmtId="178" fontId="0" fillId="0" borderId="0" xfId="0" applyNumberFormat="1">
      <alignment vertical="center"/>
    </xf>
    <xf numFmtId="49" fontId="1" fillId="2" borderId="1" xfId="52" applyNumberFormat="1" applyFont="1" applyFill="1" applyBorder="1" applyAlignment="1">
      <alignment horizontal="center" vertical="center" wrapText="1"/>
    </xf>
    <xf numFmtId="179" fontId="1" fillId="2" borderId="1" xfId="52" applyNumberFormat="1" applyFont="1" applyFill="1" applyBorder="1" applyAlignment="1">
      <alignment horizontal="center" vertical="center" wrapText="1"/>
    </xf>
    <xf numFmtId="178" fontId="1" fillId="2" borderId="1" xfId="1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31" fontId="0" fillId="0" borderId="1" xfId="0" applyNumberFormat="1" applyBorder="1" applyAlignment="1">
      <alignment horizontal="left" vertical="center"/>
    </xf>
    <xf numFmtId="178" fontId="0" fillId="0" borderId="1" xfId="0" applyNumberFormat="1" applyBorder="1">
      <alignment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>
      <alignment vertical="center"/>
    </xf>
    <xf numFmtId="0" fontId="0" fillId="0" borderId="0" xfId="0" applyFill="1">
      <alignment vertical="center"/>
    </xf>
    <xf numFmtId="49" fontId="1" fillId="2" borderId="2" xfId="52" applyNumberFormat="1" applyFont="1" applyFill="1" applyBorder="1" applyAlignment="1">
      <alignment horizontal="center" vertical="center" wrapText="1"/>
    </xf>
    <xf numFmtId="49" fontId="1" fillId="2" borderId="3" xfId="52" applyNumberFormat="1" applyFont="1" applyFill="1" applyBorder="1" applyAlignment="1">
      <alignment horizontal="center" vertical="center" wrapText="1"/>
    </xf>
    <xf numFmtId="179" fontId="1" fillId="2" borderId="3" xfId="52" applyNumberFormat="1" applyFont="1" applyFill="1" applyBorder="1" applyAlignment="1">
      <alignment horizontal="center" vertical="center" wrapText="1"/>
    </xf>
    <xf numFmtId="43" fontId="1" fillId="2" borderId="3" xfId="1" applyFont="1" applyFill="1" applyBorder="1" applyAlignment="1">
      <alignment horizontal="center" vertical="center" wrapText="1"/>
    </xf>
    <xf numFmtId="43" fontId="1" fillId="2" borderId="4" xfId="1" applyFont="1" applyFill="1" applyBorder="1" applyAlignment="1">
      <alignment horizontal="center" vertical="center" wrapText="1"/>
    </xf>
    <xf numFmtId="0" fontId="3" fillId="0" borderId="5" xfId="0" applyNumberFormat="1" applyFont="1" applyFill="1" applyBorder="1" applyAlignment="1">
      <alignment horizontal="justify" vertical="top" wrapText="1"/>
    </xf>
    <xf numFmtId="180" fontId="3" fillId="0" borderId="5" xfId="0" applyNumberFormat="1" applyFont="1" applyFill="1" applyBorder="1" applyAlignment="1">
      <alignment horizontal="justify" vertical="top" wrapText="1"/>
    </xf>
    <xf numFmtId="178" fontId="3" fillId="0" borderId="5" xfId="0" applyNumberFormat="1" applyFont="1" applyFill="1" applyBorder="1" applyAlignment="1">
      <alignment horizontal="center" vertical="top" wrapText="1"/>
    </xf>
    <xf numFmtId="0" fontId="0" fillId="0" borderId="6" xfId="0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G_pending" xfId="49"/>
    <cellStyle name="常规 12" xfId="50"/>
    <cellStyle name="Comma_PBC_minsheng草稿" xfId="51"/>
    <cellStyle name="常规 2 2" xfId="52"/>
    <cellStyle name="常规 2" xfId="53"/>
    <cellStyle name="千位分隔 16 2" xfId="54"/>
  </cellStyles>
  <tableStyles count="0" defaultTableStyle="TableStyleMedium2" defaultPivotStyle="PivotStyleLight16"/>
  <colors>
    <mruColors>
      <color rgb="00FFFF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G13" sqref="G13"/>
    </sheetView>
  </sheetViews>
  <sheetFormatPr defaultColWidth="9" defaultRowHeight="14.4" outlineLevelCol="6"/>
  <cols>
    <col min="1" max="1" width="41.6666666666667" customWidth="1"/>
    <col min="2" max="2" width="11.2222222222222" customWidth="1"/>
    <col min="3" max="3" width="13.4444444444444" customWidth="1"/>
    <col min="4" max="4" width="16.1111111111111" customWidth="1"/>
    <col min="5" max="7" width="18.8888888888889" customWidth="1"/>
  </cols>
  <sheetData>
    <row r="1" ht="22" customHeight="1" spans="1:7">
      <c r="A1" s="11" t="s">
        <v>0</v>
      </c>
      <c r="B1" s="12" t="s">
        <v>1</v>
      </c>
      <c r="C1" s="12" t="s">
        <v>2</v>
      </c>
      <c r="D1" s="13" t="s">
        <v>3</v>
      </c>
      <c r="E1" s="14" t="s">
        <v>4</v>
      </c>
      <c r="F1" s="14" t="s">
        <v>5</v>
      </c>
      <c r="G1" s="15" t="s">
        <v>6</v>
      </c>
    </row>
    <row r="2" ht="22" customHeight="1" spans="1:7">
      <c r="A2" s="16" t="s">
        <v>7</v>
      </c>
      <c r="B2" s="16" t="s">
        <v>8</v>
      </c>
      <c r="C2" s="16" t="s">
        <v>9</v>
      </c>
      <c r="D2" s="17">
        <v>46113</v>
      </c>
      <c r="E2" s="18">
        <v>20012.18</v>
      </c>
      <c r="F2" s="18"/>
      <c r="G2" s="18">
        <f>E2-F2</f>
        <v>20012.18</v>
      </c>
    </row>
    <row r="3" ht="22" customHeight="1" spans="1:7">
      <c r="A3" s="16" t="s">
        <v>10</v>
      </c>
      <c r="B3" s="16" t="s">
        <v>8</v>
      </c>
      <c r="C3" s="16" t="s">
        <v>9</v>
      </c>
      <c r="D3" s="17">
        <v>46113</v>
      </c>
      <c r="E3" s="18">
        <v>214.15</v>
      </c>
      <c r="F3" s="18"/>
      <c r="G3" s="18">
        <f t="shared" ref="G3:G15" si="0">E3-F3</f>
        <v>214.15</v>
      </c>
    </row>
    <row r="4" ht="22" customHeight="1" spans="1:7">
      <c r="A4" s="16" t="s">
        <v>11</v>
      </c>
      <c r="B4" s="16" t="s">
        <v>8</v>
      </c>
      <c r="C4" s="16" t="s">
        <v>9</v>
      </c>
      <c r="D4" s="17">
        <v>46113</v>
      </c>
      <c r="E4" s="18">
        <v>6252.36</v>
      </c>
      <c r="F4" s="18"/>
      <c r="G4" s="18">
        <f t="shared" si="0"/>
        <v>6252.36</v>
      </c>
    </row>
    <row r="5" ht="22" customHeight="1" spans="1:7">
      <c r="A5" s="16" t="s">
        <v>12</v>
      </c>
      <c r="B5" s="16" t="s">
        <v>8</v>
      </c>
      <c r="C5" s="16" t="s">
        <v>9</v>
      </c>
      <c r="D5" s="17">
        <v>46113</v>
      </c>
      <c r="E5" s="18">
        <v>149087.83</v>
      </c>
      <c r="F5" s="18"/>
      <c r="G5" s="18">
        <f t="shared" si="0"/>
        <v>149087.83</v>
      </c>
    </row>
    <row r="6" ht="22" customHeight="1" spans="1:7">
      <c r="A6" s="16" t="s">
        <v>13</v>
      </c>
      <c r="B6" s="16" t="s">
        <v>8</v>
      </c>
      <c r="C6" s="16" t="s">
        <v>9</v>
      </c>
      <c r="D6" s="17">
        <v>46113</v>
      </c>
      <c r="E6" s="18">
        <v>1252.71</v>
      </c>
      <c r="F6" s="18"/>
      <c r="G6" s="18">
        <f t="shared" si="0"/>
        <v>1252.71</v>
      </c>
    </row>
    <row r="7" ht="22" customHeight="1" spans="1:7">
      <c r="A7" s="16" t="s">
        <v>14</v>
      </c>
      <c r="B7" s="16" t="s">
        <v>8</v>
      </c>
      <c r="C7" s="16" t="s">
        <v>9</v>
      </c>
      <c r="D7" s="17">
        <v>46113</v>
      </c>
      <c r="E7" s="18">
        <v>1580.95</v>
      </c>
      <c r="F7" s="18"/>
      <c r="G7" s="18">
        <f t="shared" si="0"/>
        <v>1580.95</v>
      </c>
    </row>
    <row r="8" s="10" customFormat="1" ht="22" customHeight="1" spans="1:7">
      <c r="A8" s="16" t="s">
        <v>15</v>
      </c>
      <c r="B8" s="16" t="s">
        <v>8</v>
      </c>
      <c r="C8" s="16" t="s">
        <v>9</v>
      </c>
      <c r="D8" s="17">
        <v>46113</v>
      </c>
      <c r="E8" s="18">
        <v>14232.82</v>
      </c>
      <c r="F8" s="18"/>
      <c r="G8" s="18">
        <f t="shared" si="0"/>
        <v>14232.82</v>
      </c>
    </row>
    <row r="9" ht="22" customHeight="1" spans="1:7">
      <c r="A9" s="16" t="s">
        <v>16</v>
      </c>
      <c r="B9" s="16" t="s">
        <v>8</v>
      </c>
      <c r="C9" s="16" t="s">
        <v>9</v>
      </c>
      <c r="D9" s="17">
        <v>46113</v>
      </c>
      <c r="E9" s="18">
        <v>3821.02</v>
      </c>
      <c r="F9" s="18"/>
      <c r="G9" s="18">
        <f t="shared" si="0"/>
        <v>3821.02</v>
      </c>
    </row>
    <row r="10" ht="22" customHeight="1" spans="1:7">
      <c r="A10" s="16" t="s">
        <v>17</v>
      </c>
      <c r="B10" s="16" t="s">
        <v>8</v>
      </c>
      <c r="C10" s="16" t="s">
        <v>9</v>
      </c>
      <c r="D10" s="17">
        <v>46113</v>
      </c>
      <c r="E10" s="18">
        <v>2540.8</v>
      </c>
      <c r="F10" s="18"/>
      <c r="G10" s="18">
        <f t="shared" si="0"/>
        <v>2540.8</v>
      </c>
    </row>
    <row r="11" ht="22" customHeight="1" spans="1:7">
      <c r="A11" s="16"/>
      <c r="B11" s="16"/>
      <c r="C11" s="16"/>
      <c r="D11" s="17"/>
      <c r="E11" s="18"/>
      <c r="F11" s="18"/>
      <c r="G11" s="18"/>
    </row>
    <row r="12" ht="22" customHeight="1" spans="1:7">
      <c r="A12" s="16"/>
      <c r="B12" s="16"/>
      <c r="C12" s="16"/>
      <c r="D12" s="17"/>
      <c r="E12" s="18"/>
      <c r="F12" s="18"/>
      <c r="G12" s="18"/>
    </row>
    <row r="13" ht="22" customHeight="1" spans="1:7">
      <c r="A13" s="19" t="s">
        <v>18</v>
      </c>
      <c r="B13" s="19"/>
      <c r="C13" s="19"/>
      <c r="D13" s="19"/>
      <c r="E13" s="19"/>
      <c r="F13" s="19"/>
      <c r="G13" s="20">
        <f>SUM(G2:G12)</f>
        <v>198994.82</v>
      </c>
    </row>
  </sheetData>
  <autoFilter xmlns:etc="http://www.wps.cn/officeDocument/2017/etCustomData" ref="A1:G13" etc:filterBottomFollowUsedRange="0">
    <extLst/>
  </autoFilter>
  <mergeCells count="1">
    <mergeCell ref="A13:F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1"/>
  <sheetViews>
    <sheetView tabSelected="1" workbookViewId="0">
      <selection activeCell="D133" sqref="D133"/>
    </sheetView>
  </sheetViews>
  <sheetFormatPr defaultColWidth="9" defaultRowHeight="14.4" outlineLevelCol="4"/>
  <cols>
    <col min="1" max="1" width="20.7777777777778" customWidth="1"/>
    <col min="2" max="2" width="14.2222222222222" customWidth="1"/>
    <col min="3" max="3" width="18.8888888888889" customWidth="1"/>
    <col min="4" max="4" width="26.7777777777778" customWidth="1"/>
    <col min="5" max="5" width="14.2222222222222" style="1" customWidth="1"/>
    <col min="6" max="6" width="9.66666666666667"/>
    <col min="7" max="7" width="10.6666666666667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4" t="s">
        <v>19</v>
      </c>
    </row>
    <row r="2" spans="1:5">
      <c r="A2" s="5" t="s">
        <v>20</v>
      </c>
      <c r="B2" s="5" t="s">
        <v>21</v>
      </c>
      <c r="C2" s="5" t="s">
        <v>21</v>
      </c>
      <c r="D2" s="6">
        <v>43221</v>
      </c>
      <c r="E2" s="7">
        <v>166</v>
      </c>
    </row>
    <row r="3" spans="1:5">
      <c r="A3" s="5" t="s">
        <v>22</v>
      </c>
      <c r="B3" s="5" t="s">
        <v>21</v>
      </c>
      <c r="C3" s="5" t="s">
        <v>21</v>
      </c>
      <c r="D3" s="6">
        <v>43221</v>
      </c>
      <c r="E3" s="7">
        <v>313.2</v>
      </c>
    </row>
    <row r="4" spans="1:5">
      <c r="A4" s="5" t="s">
        <v>23</v>
      </c>
      <c r="B4" s="5" t="s">
        <v>21</v>
      </c>
      <c r="C4" s="5" t="s">
        <v>21</v>
      </c>
      <c r="D4" s="6">
        <v>43221</v>
      </c>
      <c r="E4" s="7">
        <v>4399.53</v>
      </c>
    </row>
    <row r="5" spans="1:5">
      <c r="A5" s="5" t="s">
        <v>24</v>
      </c>
      <c r="B5" s="5" t="s">
        <v>21</v>
      </c>
      <c r="C5" s="5" t="s">
        <v>21</v>
      </c>
      <c r="D5" s="6">
        <v>43253</v>
      </c>
      <c r="E5" s="7">
        <v>2300</v>
      </c>
    </row>
    <row r="6" spans="1:5">
      <c r="A6" s="5" t="s">
        <v>25</v>
      </c>
      <c r="B6" s="5" t="s">
        <v>21</v>
      </c>
      <c r="C6" s="5" t="s">
        <v>21</v>
      </c>
      <c r="D6" s="6">
        <v>43253</v>
      </c>
      <c r="E6" s="7">
        <v>6221.8</v>
      </c>
    </row>
    <row r="7" spans="1:5">
      <c r="A7" s="5" t="s">
        <v>26</v>
      </c>
      <c r="B7" s="5" t="s">
        <v>21</v>
      </c>
      <c r="C7" s="5" t="s">
        <v>21</v>
      </c>
      <c r="D7" s="6">
        <v>43253</v>
      </c>
      <c r="E7" s="7">
        <v>2300</v>
      </c>
    </row>
    <row r="8" spans="1:5">
      <c r="A8" s="5" t="s">
        <v>27</v>
      </c>
      <c r="B8" s="5" t="s">
        <v>21</v>
      </c>
      <c r="C8" s="5" t="s">
        <v>21</v>
      </c>
      <c r="D8" s="6">
        <v>43253</v>
      </c>
      <c r="E8" s="7">
        <v>1895.25</v>
      </c>
    </row>
    <row r="9" spans="1:5">
      <c r="A9" s="5" t="s">
        <v>28</v>
      </c>
      <c r="B9" s="5" t="s">
        <v>21</v>
      </c>
      <c r="C9" s="5" t="s">
        <v>21</v>
      </c>
      <c r="D9" s="6">
        <v>43283</v>
      </c>
      <c r="E9" s="7">
        <v>183.4</v>
      </c>
    </row>
    <row r="10" spans="1:5">
      <c r="A10" s="5" t="s">
        <v>24</v>
      </c>
      <c r="B10" s="5" t="s">
        <v>21</v>
      </c>
      <c r="C10" s="5" t="s">
        <v>21</v>
      </c>
      <c r="D10" s="6">
        <v>43283</v>
      </c>
      <c r="E10" s="7">
        <v>1150</v>
      </c>
    </row>
    <row r="11" spans="1:5">
      <c r="A11" s="5" t="s">
        <v>29</v>
      </c>
      <c r="B11" s="5" t="s">
        <v>21</v>
      </c>
      <c r="C11" s="5" t="s">
        <v>21</v>
      </c>
      <c r="D11" s="6">
        <v>43283</v>
      </c>
      <c r="E11" s="7">
        <v>2300</v>
      </c>
    </row>
    <row r="12" spans="1:5">
      <c r="A12" s="5" t="s">
        <v>30</v>
      </c>
      <c r="B12" s="5" t="s">
        <v>21</v>
      </c>
      <c r="C12" s="5" t="s">
        <v>21</v>
      </c>
      <c r="D12" s="6">
        <v>43314</v>
      </c>
      <c r="E12" s="7">
        <v>1355.17</v>
      </c>
    </row>
    <row r="13" spans="1:5">
      <c r="A13" s="5" t="s">
        <v>31</v>
      </c>
      <c r="B13" s="5" t="s">
        <v>21</v>
      </c>
      <c r="C13" s="5" t="s">
        <v>21</v>
      </c>
      <c r="D13" s="6">
        <v>43314</v>
      </c>
      <c r="E13" s="7">
        <v>4379.9</v>
      </c>
    </row>
    <row r="14" spans="1:5">
      <c r="A14" s="5" t="s">
        <v>32</v>
      </c>
      <c r="B14" s="5" t="s">
        <v>21</v>
      </c>
      <c r="C14" s="5" t="s">
        <v>21</v>
      </c>
      <c r="D14" s="6">
        <v>43345</v>
      </c>
      <c r="E14" s="7">
        <v>1547.7</v>
      </c>
    </row>
    <row r="15" spans="1:5">
      <c r="A15" s="5" t="s">
        <v>33</v>
      </c>
      <c r="B15" s="5" t="s">
        <v>21</v>
      </c>
      <c r="C15" s="5" t="s">
        <v>21</v>
      </c>
      <c r="D15" s="6">
        <v>43345</v>
      </c>
      <c r="E15" s="7">
        <v>5.67</v>
      </c>
    </row>
    <row r="16" spans="1:5">
      <c r="A16" s="5" t="s">
        <v>34</v>
      </c>
      <c r="B16" s="5" t="s">
        <v>21</v>
      </c>
      <c r="C16" s="5" t="s">
        <v>21</v>
      </c>
      <c r="D16" s="6">
        <v>43345</v>
      </c>
      <c r="E16" s="7">
        <v>3657.53</v>
      </c>
    </row>
    <row r="17" spans="1:5">
      <c r="A17" s="5" t="s">
        <v>35</v>
      </c>
      <c r="B17" s="5" t="s">
        <v>21</v>
      </c>
      <c r="C17" s="5" t="s">
        <v>21</v>
      </c>
      <c r="D17" s="6">
        <v>43345</v>
      </c>
      <c r="E17" s="7">
        <v>441</v>
      </c>
    </row>
    <row r="18" spans="1:5">
      <c r="A18" s="5" t="s">
        <v>36</v>
      </c>
      <c r="B18" s="5" t="s">
        <v>21</v>
      </c>
      <c r="C18" s="5" t="s">
        <v>21</v>
      </c>
      <c r="D18" s="6">
        <v>43345</v>
      </c>
      <c r="E18" s="7">
        <v>329.6</v>
      </c>
    </row>
    <row r="19" spans="1:5">
      <c r="A19" s="5" t="s">
        <v>37</v>
      </c>
      <c r="B19" s="5" t="s">
        <v>21</v>
      </c>
      <c r="C19" s="5" t="s">
        <v>21</v>
      </c>
      <c r="D19" s="6">
        <v>43375</v>
      </c>
      <c r="E19" s="7">
        <v>78.56</v>
      </c>
    </row>
    <row r="20" spans="1:5">
      <c r="A20" s="5" t="s">
        <v>38</v>
      </c>
      <c r="B20" s="5" t="s">
        <v>21</v>
      </c>
      <c r="C20" s="5" t="s">
        <v>21</v>
      </c>
      <c r="D20" s="6">
        <v>43375</v>
      </c>
      <c r="E20" s="7">
        <v>3.07</v>
      </c>
    </row>
    <row r="21" spans="1:5">
      <c r="A21" s="5" t="s">
        <v>39</v>
      </c>
      <c r="B21" s="5" t="s">
        <v>21</v>
      </c>
      <c r="C21" s="5" t="s">
        <v>21</v>
      </c>
      <c r="D21" s="6">
        <v>43375</v>
      </c>
      <c r="E21" s="7">
        <v>1578</v>
      </c>
    </row>
    <row r="22" spans="1:5">
      <c r="A22" s="5" t="s">
        <v>40</v>
      </c>
      <c r="B22" s="5" t="s">
        <v>21</v>
      </c>
      <c r="C22" s="5" t="s">
        <v>21</v>
      </c>
      <c r="D22" s="6">
        <v>43375</v>
      </c>
      <c r="E22" s="7">
        <v>822.6</v>
      </c>
    </row>
    <row r="23" spans="1:5">
      <c r="A23" s="5" t="s">
        <v>41</v>
      </c>
      <c r="B23" s="5" t="s">
        <v>21</v>
      </c>
      <c r="C23" s="5" t="s">
        <v>21</v>
      </c>
      <c r="D23" s="6">
        <v>43375</v>
      </c>
      <c r="E23" s="7">
        <v>4696.22</v>
      </c>
    </row>
    <row r="24" spans="1:5">
      <c r="A24" s="5" t="s">
        <v>24</v>
      </c>
      <c r="B24" s="5" t="s">
        <v>21</v>
      </c>
      <c r="C24" s="5" t="s">
        <v>21</v>
      </c>
      <c r="D24" s="6">
        <v>43406</v>
      </c>
      <c r="E24" s="7">
        <v>178.35</v>
      </c>
    </row>
    <row r="25" spans="1:5">
      <c r="A25" s="5" t="s">
        <v>33</v>
      </c>
      <c r="B25" s="5" t="s">
        <v>21</v>
      </c>
      <c r="C25" s="5" t="s">
        <v>21</v>
      </c>
      <c r="D25" s="6">
        <v>43406</v>
      </c>
      <c r="E25" s="7">
        <v>157.4</v>
      </c>
    </row>
    <row r="26" spans="1:5">
      <c r="A26" s="5" t="s">
        <v>34</v>
      </c>
      <c r="B26" s="5" t="s">
        <v>21</v>
      </c>
      <c r="C26" s="5" t="s">
        <v>21</v>
      </c>
      <c r="D26" s="6">
        <v>43406</v>
      </c>
      <c r="E26" s="7">
        <v>2300</v>
      </c>
    </row>
    <row r="27" spans="1:5">
      <c r="A27" s="5" t="s">
        <v>42</v>
      </c>
      <c r="B27" s="5" t="s">
        <v>21</v>
      </c>
      <c r="C27" s="5" t="s">
        <v>21</v>
      </c>
      <c r="D27" s="6">
        <v>43406</v>
      </c>
      <c r="E27" s="7">
        <v>4800</v>
      </c>
    </row>
    <row r="28" spans="1:5">
      <c r="A28" s="5" t="s">
        <v>39</v>
      </c>
      <c r="B28" s="5" t="s">
        <v>21</v>
      </c>
      <c r="C28" s="5" t="s">
        <v>21</v>
      </c>
      <c r="D28" s="6">
        <v>43406</v>
      </c>
      <c r="E28" s="7">
        <v>350.4</v>
      </c>
    </row>
    <row r="29" spans="1:5">
      <c r="A29" s="5" t="s">
        <v>43</v>
      </c>
      <c r="B29" s="5" t="s">
        <v>21</v>
      </c>
      <c r="C29" s="5" t="s">
        <v>21</v>
      </c>
      <c r="D29" s="6">
        <v>43406</v>
      </c>
      <c r="E29" s="7">
        <v>2.33999999999969</v>
      </c>
    </row>
    <row r="30" spans="1:5">
      <c r="A30" s="5" t="s">
        <v>44</v>
      </c>
      <c r="B30" s="5" t="s">
        <v>21</v>
      </c>
      <c r="C30" s="5" t="s">
        <v>21</v>
      </c>
      <c r="D30" s="6">
        <v>43436</v>
      </c>
      <c r="E30" s="7">
        <v>1848.14</v>
      </c>
    </row>
    <row r="31" spans="1:5">
      <c r="A31" s="5" t="s">
        <v>32</v>
      </c>
      <c r="B31" s="5" t="s">
        <v>21</v>
      </c>
      <c r="C31" s="5" t="s">
        <v>21</v>
      </c>
      <c r="D31" s="6">
        <v>43436</v>
      </c>
      <c r="E31" s="7">
        <v>5311.32</v>
      </c>
    </row>
    <row r="32" spans="1:5">
      <c r="A32" s="5" t="s">
        <v>38</v>
      </c>
      <c r="B32" s="5" t="s">
        <v>21</v>
      </c>
      <c r="C32" s="5" t="s">
        <v>21</v>
      </c>
      <c r="D32" s="6">
        <v>43436</v>
      </c>
      <c r="E32" s="7">
        <v>3.07</v>
      </c>
    </row>
    <row r="33" spans="1:5">
      <c r="A33" s="5" t="s">
        <v>45</v>
      </c>
      <c r="B33" s="5" t="s">
        <v>21</v>
      </c>
      <c r="C33" s="5" t="s">
        <v>21</v>
      </c>
      <c r="D33" s="6">
        <v>43436</v>
      </c>
      <c r="E33" s="7">
        <v>867.98</v>
      </c>
    </row>
    <row r="34" spans="1:5">
      <c r="A34" s="5" t="s">
        <v>46</v>
      </c>
      <c r="B34" s="5" t="s">
        <v>21</v>
      </c>
      <c r="C34" s="5" t="s">
        <v>21</v>
      </c>
      <c r="D34" s="6">
        <v>43436</v>
      </c>
      <c r="E34" s="7">
        <v>509.34</v>
      </c>
    </row>
    <row r="35" spans="1:5">
      <c r="A35" s="5" t="s">
        <v>47</v>
      </c>
      <c r="B35" s="5" t="s">
        <v>21</v>
      </c>
      <c r="C35" s="5" t="s">
        <v>21</v>
      </c>
      <c r="D35" s="6">
        <v>43467</v>
      </c>
      <c r="E35" s="7">
        <v>1008</v>
      </c>
    </row>
    <row r="36" spans="1:5">
      <c r="A36" s="5" t="s">
        <v>48</v>
      </c>
      <c r="B36" s="5" t="s">
        <v>21</v>
      </c>
      <c r="C36" s="5" t="s">
        <v>21</v>
      </c>
      <c r="D36" s="6">
        <v>43467</v>
      </c>
      <c r="E36" s="7">
        <v>1278.48</v>
      </c>
    </row>
    <row r="37" spans="1:5">
      <c r="A37" s="5" t="s">
        <v>49</v>
      </c>
      <c r="B37" s="5" t="s">
        <v>21</v>
      </c>
      <c r="C37" s="5" t="s">
        <v>21</v>
      </c>
      <c r="D37" s="6">
        <v>43467</v>
      </c>
      <c r="E37" s="7">
        <v>14.88</v>
      </c>
    </row>
    <row r="38" spans="1:5">
      <c r="A38" s="5" t="s">
        <v>50</v>
      </c>
      <c r="B38" s="5" t="s">
        <v>21</v>
      </c>
      <c r="C38" s="5" t="s">
        <v>21</v>
      </c>
      <c r="D38" s="6">
        <v>43467</v>
      </c>
      <c r="E38" s="7">
        <v>3060</v>
      </c>
    </row>
    <row r="39" spans="1:5">
      <c r="A39" s="5" t="s">
        <v>38</v>
      </c>
      <c r="B39" s="5" t="s">
        <v>21</v>
      </c>
      <c r="C39" s="5" t="s">
        <v>21</v>
      </c>
      <c r="D39" s="6">
        <v>43467</v>
      </c>
      <c r="E39" s="7">
        <v>3.06999999999994</v>
      </c>
    </row>
    <row r="40" spans="1:5">
      <c r="A40" s="5" t="s">
        <v>33</v>
      </c>
      <c r="B40" s="5" t="s">
        <v>21</v>
      </c>
      <c r="C40" s="5" t="s">
        <v>21</v>
      </c>
      <c r="D40" s="6">
        <v>43467</v>
      </c>
      <c r="E40" s="7">
        <v>1801.8</v>
      </c>
    </row>
    <row r="41" spans="1:5">
      <c r="A41" s="5" t="s">
        <v>34</v>
      </c>
      <c r="B41" s="5" t="s">
        <v>21</v>
      </c>
      <c r="C41" s="5" t="s">
        <v>21</v>
      </c>
      <c r="D41" s="6">
        <v>43467</v>
      </c>
      <c r="E41" s="7">
        <v>1499.85</v>
      </c>
    </row>
    <row r="42" spans="1:5">
      <c r="A42" s="5" t="s">
        <v>51</v>
      </c>
      <c r="B42" s="5" t="s">
        <v>21</v>
      </c>
      <c r="C42" s="5" t="s">
        <v>21</v>
      </c>
      <c r="D42" s="6">
        <v>43467</v>
      </c>
      <c r="E42" s="7">
        <v>2641.75</v>
      </c>
    </row>
    <row r="43" spans="1:5">
      <c r="A43" s="5" t="s">
        <v>52</v>
      </c>
      <c r="B43" s="5" t="s">
        <v>21</v>
      </c>
      <c r="C43" s="5" t="s">
        <v>21</v>
      </c>
      <c r="D43" s="6">
        <v>43467</v>
      </c>
      <c r="E43" s="7">
        <v>3.07</v>
      </c>
    </row>
    <row r="44" spans="1:5">
      <c r="A44" s="5" t="s">
        <v>48</v>
      </c>
      <c r="B44" s="5" t="s">
        <v>21</v>
      </c>
      <c r="C44" s="5" t="s">
        <v>21</v>
      </c>
      <c r="D44" s="6">
        <v>43499</v>
      </c>
      <c r="E44" s="7">
        <v>3252.9</v>
      </c>
    </row>
    <row r="45" spans="1:5">
      <c r="A45" s="5" t="s">
        <v>53</v>
      </c>
      <c r="B45" s="5" t="s">
        <v>21</v>
      </c>
      <c r="C45" s="5" t="s">
        <v>21</v>
      </c>
      <c r="D45" s="6">
        <v>43499</v>
      </c>
      <c r="E45" s="7">
        <v>15.712</v>
      </c>
    </row>
    <row r="46" spans="1:5">
      <c r="A46" s="5" t="s">
        <v>54</v>
      </c>
      <c r="B46" s="5" t="s">
        <v>21</v>
      </c>
      <c r="C46" s="5" t="s">
        <v>21</v>
      </c>
      <c r="D46" s="6">
        <v>43499</v>
      </c>
      <c r="E46" s="7">
        <v>381</v>
      </c>
    </row>
    <row r="47" spans="1:5">
      <c r="A47" s="5" t="s">
        <v>55</v>
      </c>
      <c r="B47" s="5" t="s">
        <v>21</v>
      </c>
      <c r="C47" s="5" t="s">
        <v>21</v>
      </c>
      <c r="D47" s="6">
        <v>43499</v>
      </c>
      <c r="E47" s="7">
        <v>5.67</v>
      </c>
    </row>
    <row r="48" spans="1:5">
      <c r="A48" s="5" t="s">
        <v>56</v>
      </c>
      <c r="B48" s="5" t="s">
        <v>21</v>
      </c>
      <c r="C48" s="5" t="s">
        <v>21</v>
      </c>
      <c r="D48" s="6">
        <v>43528</v>
      </c>
      <c r="E48" s="7">
        <v>4.01</v>
      </c>
    </row>
    <row r="49" spans="1:5">
      <c r="A49" s="5" t="s">
        <v>57</v>
      </c>
      <c r="B49" s="5" t="s">
        <v>21</v>
      </c>
      <c r="C49" s="5" t="s">
        <v>21</v>
      </c>
      <c r="D49" s="6">
        <v>43528</v>
      </c>
      <c r="E49" s="7">
        <v>9.21</v>
      </c>
    </row>
    <row r="50" spans="1:5">
      <c r="A50" s="5" t="s">
        <v>58</v>
      </c>
      <c r="B50" s="5" t="s">
        <v>21</v>
      </c>
      <c r="C50" s="5" t="s">
        <v>21</v>
      </c>
      <c r="D50" s="6">
        <v>43528</v>
      </c>
      <c r="E50" s="7">
        <v>1248.07</v>
      </c>
    </row>
    <row r="51" spans="1:5">
      <c r="A51" s="5" t="s">
        <v>59</v>
      </c>
      <c r="B51" s="5" t="s">
        <v>21</v>
      </c>
      <c r="C51" s="5" t="s">
        <v>21</v>
      </c>
      <c r="D51" s="6">
        <v>43528</v>
      </c>
      <c r="E51" s="7">
        <v>4.01</v>
      </c>
    </row>
    <row r="52" spans="1:5">
      <c r="A52" s="5" t="s">
        <v>60</v>
      </c>
      <c r="B52" s="5" t="s">
        <v>21</v>
      </c>
      <c r="C52" s="5" t="s">
        <v>21</v>
      </c>
      <c r="D52" s="6">
        <v>43528</v>
      </c>
      <c r="E52" s="7">
        <v>3201.8</v>
      </c>
    </row>
    <row r="53" spans="1:5">
      <c r="A53" s="5" t="s">
        <v>34</v>
      </c>
      <c r="B53" s="5" t="s">
        <v>21</v>
      </c>
      <c r="C53" s="5" t="s">
        <v>21</v>
      </c>
      <c r="D53" s="6">
        <v>43559</v>
      </c>
      <c r="E53" s="7">
        <v>1232.46</v>
      </c>
    </row>
    <row r="54" spans="1:5">
      <c r="A54" s="5" t="s">
        <v>61</v>
      </c>
      <c r="B54" s="5" t="s">
        <v>21</v>
      </c>
      <c r="C54" s="5" t="s">
        <v>21</v>
      </c>
      <c r="D54" s="6">
        <v>43559</v>
      </c>
      <c r="E54" s="7">
        <v>5.67</v>
      </c>
    </row>
    <row r="55" spans="1:5">
      <c r="A55" s="5" t="s">
        <v>62</v>
      </c>
      <c r="B55" s="5" t="s">
        <v>21</v>
      </c>
      <c r="C55" s="5" t="s">
        <v>21</v>
      </c>
      <c r="D55" s="6">
        <v>43559</v>
      </c>
      <c r="E55" s="7">
        <v>3.07</v>
      </c>
    </row>
    <row r="56" spans="1:5">
      <c r="A56" s="5" t="s">
        <v>63</v>
      </c>
      <c r="B56" s="5" t="s">
        <v>21</v>
      </c>
      <c r="C56" s="5" t="s">
        <v>21</v>
      </c>
      <c r="D56" s="6">
        <v>43589</v>
      </c>
      <c r="E56" s="7">
        <v>1063.04</v>
      </c>
    </row>
    <row r="57" spans="1:5">
      <c r="A57" s="5" t="s">
        <v>64</v>
      </c>
      <c r="B57" s="5" t="s">
        <v>21</v>
      </c>
      <c r="C57" s="5" t="s">
        <v>21</v>
      </c>
      <c r="D57" s="6">
        <v>43589</v>
      </c>
      <c r="E57" s="7">
        <v>1742.92</v>
      </c>
    </row>
    <row r="58" spans="1:5">
      <c r="A58" s="5" t="s">
        <v>65</v>
      </c>
      <c r="B58" s="5" t="s">
        <v>21</v>
      </c>
      <c r="C58" s="5" t="s">
        <v>21</v>
      </c>
      <c r="D58" s="6">
        <v>43589</v>
      </c>
      <c r="E58" s="7">
        <v>1128.6</v>
      </c>
    </row>
    <row r="59" spans="1:5">
      <c r="A59" s="5" t="s">
        <v>66</v>
      </c>
      <c r="B59" s="5" t="s">
        <v>21</v>
      </c>
      <c r="C59" s="5" t="s">
        <v>21</v>
      </c>
      <c r="D59" s="6">
        <v>43650</v>
      </c>
      <c r="E59" s="7">
        <v>5.805</v>
      </c>
    </row>
    <row r="60" spans="1:5">
      <c r="A60" s="5" t="s">
        <v>46</v>
      </c>
      <c r="B60" s="5" t="s">
        <v>21</v>
      </c>
      <c r="C60" s="5" t="s">
        <v>21</v>
      </c>
      <c r="D60" s="6">
        <v>43650</v>
      </c>
      <c r="E60" s="7">
        <v>414.66</v>
      </c>
    </row>
    <row r="61" spans="1:5">
      <c r="A61" s="5" t="s">
        <v>67</v>
      </c>
      <c r="B61" s="5" t="s">
        <v>21</v>
      </c>
      <c r="C61" s="5" t="s">
        <v>21</v>
      </c>
      <c r="D61" s="6">
        <v>43650</v>
      </c>
      <c r="E61" s="7">
        <v>4023</v>
      </c>
    </row>
    <row r="62" spans="1:5">
      <c r="A62" s="5" t="s">
        <v>57</v>
      </c>
      <c r="B62" s="5" t="s">
        <v>21</v>
      </c>
      <c r="C62" s="5" t="s">
        <v>21</v>
      </c>
      <c r="D62" s="6">
        <v>43681</v>
      </c>
      <c r="E62" s="7">
        <v>9.21</v>
      </c>
    </row>
    <row r="63" spans="1:5">
      <c r="A63" s="5" t="s">
        <v>68</v>
      </c>
      <c r="B63" s="5" t="s">
        <v>21</v>
      </c>
      <c r="C63" s="5" t="s">
        <v>21</v>
      </c>
      <c r="D63" s="6">
        <v>43681</v>
      </c>
      <c r="E63" s="7">
        <v>104.85</v>
      </c>
    </row>
    <row r="64" spans="1:5">
      <c r="A64" s="5" t="s">
        <v>69</v>
      </c>
      <c r="B64" s="5" t="s">
        <v>21</v>
      </c>
      <c r="C64" s="5" t="s">
        <v>21</v>
      </c>
      <c r="D64" s="6">
        <v>43681</v>
      </c>
      <c r="E64" s="7">
        <v>846.6</v>
      </c>
    </row>
    <row r="65" spans="1:5">
      <c r="A65" s="5" t="s">
        <v>70</v>
      </c>
      <c r="B65" s="5" t="s">
        <v>21</v>
      </c>
      <c r="C65" s="5" t="s">
        <v>21</v>
      </c>
      <c r="D65" s="6">
        <v>43681</v>
      </c>
      <c r="E65" s="7">
        <v>11.78</v>
      </c>
    </row>
    <row r="66" spans="1:5">
      <c r="A66" s="5" t="s">
        <v>71</v>
      </c>
      <c r="B66" s="5" t="s">
        <v>21</v>
      </c>
      <c r="C66" s="5" t="s">
        <v>21</v>
      </c>
      <c r="D66" s="6">
        <v>43712</v>
      </c>
      <c r="E66" s="7">
        <v>331.2</v>
      </c>
    </row>
    <row r="67" spans="1:5">
      <c r="A67" s="5" t="s">
        <v>72</v>
      </c>
      <c r="B67" s="5" t="s">
        <v>21</v>
      </c>
      <c r="C67" s="5" t="s">
        <v>21</v>
      </c>
      <c r="D67" s="6">
        <v>43712</v>
      </c>
      <c r="E67" s="7">
        <v>92.85</v>
      </c>
    </row>
    <row r="68" spans="1:5">
      <c r="A68" s="5" t="s">
        <v>73</v>
      </c>
      <c r="B68" s="5" t="s">
        <v>21</v>
      </c>
      <c r="C68" s="5" t="s">
        <v>21</v>
      </c>
      <c r="D68" s="6">
        <v>43712</v>
      </c>
      <c r="E68" s="7">
        <v>9.86</v>
      </c>
    </row>
    <row r="69" spans="1:5">
      <c r="A69" s="5" t="s">
        <v>74</v>
      </c>
      <c r="B69" s="5" t="s">
        <v>21</v>
      </c>
      <c r="C69" s="5" t="s">
        <v>21</v>
      </c>
      <c r="D69" s="6">
        <v>43742</v>
      </c>
      <c r="E69" s="7">
        <v>1553.25</v>
      </c>
    </row>
    <row r="70" spans="1:5">
      <c r="A70" s="5" t="s">
        <v>75</v>
      </c>
      <c r="B70" s="5" t="s">
        <v>21</v>
      </c>
      <c r="C70" s="5" t="s">
        <v>21</v>
      </c>
      <c r="D70" s="6">
        <v>43742</v>
      </c>
      <c r="E70" s="7">
        <v>494.68</v>
      </c>
    </row>
    <row r="71" spans="1:5">
      <c r="A71" s="5" t="s">
        <v>76</v>
      </c>
      <c r="B71" s="5" t="s">
        <v>21</v>
      </c>
      <c r="C71" s="5" t="s">
        <v>21</v>
      </c>
      <c r="D71" s="6">
        <v>43742</v>
      </c>
      <c r="E71" s="7">
        <v>37.8</v>
      </c>
    </row>
    <row r="72" spans="1:5">
      <c r="A72" s="5" t="s">
        <v>77</v>
      </c>
      <c r="B72" s="5" t="s">
        <v>21</v>
      </c>
      <c r="C72" s="5" t="s">
        <v>21</v>
      </c>
      <c r="D72" s="6">
        <v>43742</v>
      </c>
      <c r="E72" s="7">
        <v>11.78</v>
      </c>
    </row>
    <row r="73" spans="1:5">
      <c r="A73" s="5" t="s">
        <v>76</v>
      </c>
      <c r="B73" s="5" t="s">
        <v>21</v>
      </c>
      <c r="C73" s="5" t="s">
        <v>21</v>
      </c>
      <c r="D73" s="6">
        <v>43773</v>
      </c>
      <c r="E73" s="7">
        <v>2300</v>
      </c>
    </row>
    <row r="74" spans="1:5">
      <c r="A74" s="5" t="s">
        <v>77</v>
      </c>
      <c r="B74" s="5" t="s">
        <v>21</v>
      </c>
      <c r="C74" s="5" t="s">
        <v>21</v>
      </c>
      <c r="D74" s="6">
        <v>43773</v>
      </c>
      <c r="E74" s="7">
        <v>7.14</v>
      </c>
    </row>
    <row r="75" spans="1:5">
      <c r="A75" s="5" t="s">
        <v>76</v>
      </c>
      <c r="B75" s="5" t="s">
        <v>21</v>
      </c>
      <c r="C75" s="5" t="s">
        <v>21</v>
      </c>
      <c r="D75" s="6">
        <v>43773</v>
      </c>
      <c r="E75" s="7">
        <v>1410</v>
      </c>
    </row>
    <row r="76" spans="1:5">
      <c r="A76" s="5" t="s">
        <v>74</v>
      </c>
      <c r="B76" s="5" t="s">
        <v>21</v>
      </c>
      <c r="C76" s="5" t="s">
        <v>21</v>
      </c>
      <c r="D76" s="6">
        <v>43803</v>
      </c>
      <c r="E76" s="7">
        <v>1919.1</v>
      </c>
    </row>
    <row r="77" spans="1:5">
      <c r="A77" s="5" t="s">
        <v>78</v>
      </c>
      <c r="B77" s="5" t="s">
        <v>21</v>
      </c>
      <c r="C77" s="5" t="s">
        <v>21</v>
      </c>
      <c r="D77" s="6">
        <v>43803</v>
      </c>
      <c r="E77" s="7">
        <v>4600</v>
      </c>
    </row>
    <row r="78" spans="1:5">
      <c r="A78" s="5" t="s">
        <v>32</v>
      </c>
      <c r="B78" s="5" t="s">
        <v>21</v>
      </c>
      <c r="C78" s="5" t="s">
        <v>21</v>
      </c>
      <c r="D78" s="6">
        <v>43803</v>
      </c>
      <c r="E78" s="7">
        <v>2737.8</v>
      </c>
    </row>
    <row r="79" spans="1:5">
      <c r="A79" s="5" t="s">
        <v>79</v>
      </c>
      <c r="B79" s="5" t="s">
        <v>21</v>
      </c>
      <c r="C79" s="5" t="s">
        <v>21</v>
      </c>
      <c r="D79" s="6">
        <v>43803</v>
      </c>
      <c r="E79" s="7">
        <v>2154</v>
      </c>
    </row>
    <row r="80" spans="1:5">
      <c r="A80" s="5" t="s">
        <v>80</v>
      </c>
      <c r="B80" s="5" t="s">
        <v>21</v>
      </c>
      <c r="C80" s="5" t="s">
        <v>21</v>
      </c>
      <c r="D80" s="6">
        <v>43803</v>
      </c>
      <c r="E80" s="7">
        <v>8.02</v>
      </c>
    </row>
    <row r="81" spans="1:5">
      <c r="A81" s="5" t="s">
        <v>81</v>
      </c>
      <c r="B81" s="5" t="s">
        <v>21</v>
      </c>
      <c r="C81" s="5" t="s">
        <v>21</v>
      </c>
      <c r="D81" s="6">
        <v>43803</v>
      </c>
      <c r="E81" s="7">
        <v>4099</v>
      </c>
    </row>
    <row r="82" spans="1:5">
      <c r="A82" s="5" t="s">
        <v>82</v>
      </c>
      <c r="B82" s="5" t="s">
        <v>21</v>
      </c>
      <c r="C82" s="5" t="s">
        <v>21</v>
      </c>
      <c r="D82" s="6">
        <v>43803</v>
      </c>
      <c r="E82" s="7">
        <v>2394</v>
      </c>
    </row>
    <row r="83" spans="1:5">
      <c r="A83" s="5" t="s">
        <v>34</v>
      </c>
      <c r="B83" s="5" t="s">
        <v>21</v>
      </c>
      <c r="C83" s="5" t="s">
        <v>21</v>
      </c>
      <c r="D83" s="6">
        <v>43803</v>
      </c>
      <c r="E83" s="7">
        <v>4.8</v>
      </c>
    </row>
    <row r="84" spans="1:5">
      <c r="A84" s="5" t="s">
        <v>83</v>
      </c>
      <c r="B84" s="5" t="s">
        <v>21</v>
      </c>
      <c r="C84" s="5" t="s">
        <v>21</v>
      </c>
      <c r="D84" s="6">
        <v>43803</v>
      </c>
      <c r="E84" s="7">
        <v>1581.44</v>
      </c>
    </row>
    <row r="85" spans="1:5">
      <c r="A85" s="5" t="s">
        <v>53</v>
      </c>
      <c r="B85" s="5" t="s">
        <v>21</v>
      </c>
      <c r="C85" s="5" t="s">
        <v>21</v>
      </c>
      <c r="D85" s="6">
        <v>43803</v>
      </c>
      <c r="E85" s="7">
        <v>12000</v>
      </c>
    </row>
    <row r="86" spans="1:5">
      <c r="A86" s="5" t="s">
        <v>66</v>
      </c>
      <c r="B86" s="5" t="s">
        <v>21</v>
      </c>
      <c r="C86" s="5" t="s">
        <v>21</v>
      </c>
      <c r="D86" s="6">
        <v>43803</v>
      </c>
      <c r="E86" s="7">
        <v>15.71</v>
      </c>
    </row>
    <row r="87" spans="1:5">
      <c r="A87" s="5" t="s">
        <v>84</v>
      </c>
      <c r="B87" s="5" t="s">
        <v>21</v>
      </c>
      <c r="C87" s="5" t="s">
        <v>21</v>
      </c>
      <c r="D87" s="6">
        <v>43803</v>
      </c>
      <c r="E87" s="7">
        <v>2269.33</v>
      </c>
    </row>
    <row r="88" spans="1:5">
      <c r="A88" s="5" t="s">
        <v>85</v>
      </c>
      <c r="B88" s="5" t="s">
        <v>21</v>
      </c>
      <c r="C88" s="5" t="s">
        <v>21</v>
      </c>
      <c r="D88" s="6">
        <v>43803</v>
      </c>
      <c r="E88" s="7">
        <v>1362.25</v>
      </c>
    </row>
    <row r="89" spans="1:5">
      <c r="A89" s="5" t="s">
        <v>86</v>
      </c>
      <c r="B89" s="5" t="s">
        <v>21</v>
      </c>
      <c r="C89" s="5" t="s">
        <v>21</v>
      </c>
      <c r="D89" s="6">
        <v>43803</v>
      </c>
      <c r="E89" s="7">
        <v>4.01</v>
      </c>
    </row>
    <row r="90" spans="1:5">
      <c r="A90" s="5" t="s">
        <v>87</v>
      </c>
      <c r="B90" s="5" t="s">
        <v>21</v>
      </c>
      <c r="C90" s="5" t="s">
        <v>21</v>
      </c>
      <c r="D90" s="6">
        <v>43803</v>
      </c>
      <c r="E90" s="7">
        <v>7590</v>
      </c>
    </row>
    <row r="91" spans="1:5">
      <c r="A91" s="5" t="s">
        <v>88</v>
      </c>
      <c r="B91" s="5" t="s">
        <v>21</v>
      </c>
      <c r="C91" s="5" t="s">
        <v>21</v>
      </c>
      <c r="D91" s="6">
        <v>43803</v>
      </c>
      <c r="E91" s="7">
        <v>2541.84</v>
      </c>
    </row>
    <row r="92" spans="1:5">
      <c r="A92" s="5" t="s">
        <v>89</v>
      </c>
      <c r="B92" s="5" t="s">
        <v>21</v>
      </c>
      <c r="C92" s="5" t="s">
        <v>21</v>
      </c>
      <c r="D92" s="6">
        <v>43803</v>
      </c>
      <c r="E92" s="7">
        <v>39.1</v>
      </c>
    </row>
    <row r="93" spans="1:5">
      <c r="A93" s="5" t="s">
        <v>90</v>
      </c>
      <c r="B93" s="5" t="s">
        <v>21</v>
      </c>
      <c r="C93" s="5" t="s">
        <v>21</v>
      </c>
      <c r="D93" s="6">
        <v>43803</v>
      </c>
      <c r="E93" s="7">
        <v>41.16</v>
      </c>
    </row>
    <row r="94" spans="1:5">
      <c r="A94" s="5" t="s">
        <v>91</v>
      </c>
      <c r="B94" s="5" t="s">
        <v>21</v>
      </c>
      <c r="C94" s="5" t="s">
        <v>21</v>
      </c>
      <c r="D94" s="6">
        <v>43800</v>
      </c>
      <c r="E94" s="7">
        <v>2207.62</v>
      </c>
    </row>
    <row r="95" spans="1:5">
      <c r="A95" s="5" t="s">
        <v>91</v>
      </c>
      <c r="B95" s="5" t="s">
        <v>21</v>
      </c>
      <c r="C95" s="5" t="s">
        <v>21</v>
      </c>
      <c r="D95" s="6">
        <v>43831</v>
      </c>
      <c r="E95" s="7">
        <v>991.04</v>
      </c>
    </row>
    <row r="96" spans="1:5">
      <c r="A96" s="5" t="s">
        <v>91</v>
      </c>
      <c r="B96" s="5" t="s">
        <v>21</v>
      </c>
      <c r="C96" s="5" t="s">
        <v>21</v>
      </c>
      <c r="D96" s="6">
        <v>43862</v>
      </c>
      <c r="E96" s="7">
        <v>3482.35</v>
      </c>
    </row>
    <row r="97" spans="1:5">
      <c r="A97" s="5" t="s">
        <v>91</v>
      </c>
      <c r="B97" s="5" t="s">
        <v>21</v>
      </c>
      <c r="C97" s="5" t="s">
        <v>21</v>
      </c>
      <c r="D97" s="6">
        <v>43922</v>
      </c>
      <c r="E97" s="7">
        <v>1952.3147</v>
      </c>
    </row>
    <row r="98" spans="1:5">
      <c r="A98" s="5" t="s">
        <v>91</v>
      </c>
      <c r="B98" s="5" t="s">
        <v>21</v>
      </c>
      <c r="C98" s="5" t="s">
        <v>21</v>
      </c>
      <c r="D98" s="6">
        <v>43952</v>
      </c>
      <c r="E98" s="7">
        <v>1998.005</v>
      </c>
    </row>
    <row r="99" spans="1:5">
      <c r="A99" s="5" t="s">
        <v>91</v>
      </c>
      <c r="B99" s="5" t="s">
        <v>21</v>
      </c>
      <c r="C99" s="5" t="s">
        <v>21</v>
      </c>
      <c r="D99" s="6">
        <v>44075</v>
      </c>
      <c r="E99" s="7">
        <v>800</v>
      </c>
    </row>
    <row r="100" spans="1:5">
      <c r="A100" s="5" t="s">
        <v>92</v>
      </c>
      <c r="B100" s="5" t="s">
        <v>21</v>
      </c>
      <c r="C100" s="5" t="s">
        <v>21</v>
      </c>
      <c r="D100" s="6">
        <v>43770</v>
      </c>
      <c r="E100" s="7">
        <v>1707.257</v>
      </c>
    </row>
    <row r="101" spans="1:5">
      <c r="A101" s="5" t="s">
        <v>92</v>
      </c>
      <c r="B101" s="5" t="s">
        <v>21</v>
      </c>
      <c r="C101" s="5" t="s">
        <v>21</v>
      </c>
      <c r="D101" s="6">
        <v>43800</v>
      </c>
      <c r="E101" s="7">
        <v>2158.59</v>
      </c>
    </row>
    <row r="102" spans="1:5">
      <c r="A102" s="5" t="s">
        <v>92</v>
      </c>
      <c r="B102" s="5" t="s">
        <v>21</v>
      </c>
      <c r="C102" s="5" t="s">
        <v>21</v>
      </c>
      <c r="D102" s="6">
        <v>43862</v>
      </c>
      <c r="E102" s="7">
        <v>489.3</v>
      </c>
    </row>
    <row r="103" spans="1:5">
      <c r="A103" s="5" t="s">
        <v>92</v>
      </c>
      <c r="B103" s="5" t="s">
        <v>21</v>
      </c>
      <c r="C103" s="5" t="s">
        <v>21</v>
      </c>
      <c r="D103" s="6">
        <v>43891</v>
      </c>
      <c r="E103" s="7">
        <v>175</v>
      </c>
    </row>
    <row r="104" spans="1:5">
      <c r="A104" s="5" t="s">
        <v>92</v>
      </c>
      <c r="B104" s="5" t="s">
        <v>21</v>
      </c>
      <c r="C104" s="5" t="s">
        <v>21</v>
      </c>
      <c r="D104" s="6">
        <v>43922</v>
      </c>
      <c r="E104" s="7">
        <v>832.06</v>
      </c>
    </row>
    <row r="105" spans="1:5">
      <c r="A105" s="5" t="s">
        <v>92</v>
      </c>
      <c r="B105" s="5" t="s">
        <v>21</v>
      </c>
      <c r="C105" s="5" t="s">
        <v>21</v>
      </c>
      <c r="D105" s="6">
        <v>43952</v>
      </c>
      <c r="E105" s="7">
        <v>2311.905</v>
      </c>
    </row>
    <row r="106" spans="1:5">
      <c r="A106" s="5" t="s">
        <v>92</v>
      </c>
      <c r="B106" s="5" t="s">
        <v>21</v>
      </c>
      <c r="C106" s="5" t="s">
        <v>21</v>
      </c>
      <c r="D106" s="6">
        <v>43983</v>
      </c>
      <c r="E106" s="7">
        <v>253.02</v>
      </c>
    </row>
    <row r="107" spans="1:5">
      <c r="A107" s="5" t="s">
        <v>92</v>
      </c>
      <c r="B107" s="5" t="s">
        <v>21</v>
      </c>
      <c r="C107" s="5" t="s">
        <v>21</v>
      </c>
      <c r="D107" s="6">
        <v>44013</v>
      </c>
      <c r="E107" s="7">
        <v>1413.612</v>
      </c>
    </row>
    <row r="108" spans="1:5">
      <c r="A108" s="5" t="s">
        <v>92</v>
      </c>
      <c r="B108" s="5" t="s">
        <v>21</v>
      </c>
      <c r="C108" s="5" t="s">
        <v>21</v>
      </c>
      <c r="D108" s="6">
        <v>44044</v>
      </c>
      <c r="E108" s="7">
        <v>418.615</v>
      </c>
    </row>
    <row r="109" spans="1:5">
      <c r="A109" s="5" t="s">
        <v>92</v>
      </c>
      <c r="B109" s="5" t="s">
        <v>21</v>
      </c>
      <c r="C109" s="5" t="s">
        <v>21</v>
      </c>
      <c r="D109" s="6">
        <v>44075</v>
      </c>
      <c r="E109" s="7">
        <v>612.3525</v>
      </c>
    </row>
    <row r="110" spans="1:5">
      <c r="A110" s="5" t="s">
        <v>92</v>
      </c>
      <c r="B110" s="5" t="s">
        <v>21</v>
      </c>
      <c r="C110" s="5" t="s">
        <v>21</v>
      </c>
      <c r="D110" s="6">
        <v>44105</v>
      </c>
      <c r="E110" s="7">
        <v>2457.9</v>
      </c>
    </row>
    <row r="111" spans="1:5">
      <c r="A111" s="5" t="s">
        <v>92</v>
      </c>
      <c r="B111" s="5" t="s">
        <v>21</v>
      </c>
      <c r="C111" s="5" t="s">
        <v>21</v>
      </c>
      <c r="D111" s="6">
        <v>44136</v>
      </c>
      <c r="E111" s="7">
        <v>550</v>
      </c>
    </row>
    <row r="112" spans="1:5">
      <c r="A112" s="5" t="s">
        <v>92</v>
      </c>
      <c r="B112" s="5" t="s">
        <v>21</v>
      </c>
      <c r="C112" s="5" t="s">
        <v>21</v>
      </c>
      <c r="D112" s="6">
        <v>44166</v>
      </c>
      <c r="E112" s="7">
        <v>119.32</v>
      </c>
    </row>
    <row r="113" spans="1:5">
      <c r="A113" s="5" t="s">
        <v>92</v>
      </c>
      <c r="B113" s="5" t="s">
        <v>21</v>
      </c>
      <c r="C113" s="5" t="s">
        <v>21</v>
      </c>
      <c r="D113" s="6">
        <v>44197</v>
      </c>
      <c r="E113" s="7">
        <v>209.7</v>
      </c>
    </row>
    <row r="114" spans="1:5">
      <c r="A114" s="5" t="s">
        <v>28</v>
      </c>
      <c r="B114" s="5" t="s">
        <v>21</v>
      </c>
      <c r="C114" s="5" t="s">
        <v>21</v>
      </c>
      <c r="D114" s="6">
        <v>43647</v>
      </c>
      <c r="E114" s="7">
        <v>449.9044</v>
      </c>
    </row>
    <row r="115" spans="1:5">
      <c r="A115" s="5" t="s">
        <v>28</v>
      </c>
      <c r="B115" s="5" t="s">
        <v>21</v>
      </c>
      <c r="C115" s="5" t="s">
        <v>21</v>
      </c>
      <c r="D115" s="6">
        <v>43678</v>
      </c>
      <c r="E115" s="7">
        <v>2541.2868</v>
      </c>
    </row>
    <row r="116" spans="1:5">
      <c r="A116" s="5" t="s">
        <v>28</v>
      </c>
      <c r="B116" s="5" t="s">
        <v>21</v>
      </c>
      <c r="C116" s="5" t="s">
        <v>21</v>
      </c>
      <c r="D116" s="6">
        <v>43709</v>
      </c>
      <c r="E116" s="7">
        <v>118.6098</v>
      </c>
    </row>
    <row r="117" spans="1:5">
      <c r="A117" s="5" t="s">
        <v>93</v>
      </c>
      <c r="B117" s="5" t="s">
        <v>21</v>
      </c>
      <c r="C117" s="5" t="s">
        <v>21</v>
      </c>
      <c r="D117" s="6">
        <v>43709</v>
      </c>
      <c r="E117" s="7">
        <v>1860.808</v>
      </c>
    </row>
    <row r="118" spans="1:5">
      <c r="A118" s="5" t="s">
        <v>94</v>
      </c>
      <c r="B118" s="5" t="s">
        <v>21</v>
      </c>
      <c r="C118" s="5" t="s">
        <v>21</v>
      </c>
      <c r="D118" s="6">
        <v>43770</v>
      </c>
      <c r="E118" s="7">
        <v>2728.7573</v>
      </c>
    </row>
    <row r="119" spans="1:5">
      <c r="A119" s="5" t="s">
        <v>95</v>
      </c>
      <c r="B119" s="5" t="s">
        <v>21</v>
      </c>
      <c r="C119" s="5" t="s">
        <v>21</v>
      </c>
      <c r="D119" s="6">
        <v>43800</v>
      </c>
      <c r="E119" s="7">
        <v>430.08</v>
      </c>
    </row>
    <row r="120" spans="1:5">
      <c r="A120" s="5" t="s">
        <v>95</v>
      </c>
      <c r="B120" s="5" t="s">
        <v>21</v>
      </c>
      <c r="C120" s="5" t="s">
        <v>21</v>
      </c>
      <c r="D120" s="6">
        <v>43831</v>
      </c>
      <c r="E120" s="7">
        <v>695.45</v>
      </c>
    </row>
    <row r="121" spans="1:5">
      <c r="A121" s="5" t="s">
        <v>95</v>
      </c>
      <c r="B121" s="5" t="s">
        <v>21</v>
      </c>
      <c r="C121" s="5" t="s">
        <v>21</v>
      </c>
      <c r="D121" s="6">
        <v>43891</v>
      </c>
      <c r="E121" s="7">
        <v>265.5</v>
      </c>
    </row>
    <row r="122" spans="1:5">
      <c r="A122" s="5" t="s">
        <v>96</v>
      </c>
      <c r="B122" s="5" t="s">
        <v>21</v>
      </c>
      <c r="C122" s="5" t="s">
        <v>21</v>
      </c>
      <c r="D122" s="6">
        <v>43800</v>
      </c>
      <c r="E122" s="7">
        <v>971.94</v>
      </c>
    </row>
    <row r="123" spans="1:5">
      <c r="A123" s="5" t="s">
        <v>96</v>
      </c>
      <c r="B123" s="5" t="s">
        <v>21</v>
      </c>
      <c r="C123" s="5" t="s">
        <v>21</v>
      </c>
      <c r="D123" s="6">
        <v>43831</v>
      </c>
      <c r="E123" s="7">
        <v>5096.74</v>
      </c>
    </row>
    <row r="124" spans="1:5">
      <c r="A124" s="5" t="s">
        <v>96</v>
      </c>
      <c r="B124" s="5" t="s">
        <v>21</v>
      </c>
      <c r="C124" s="5" t="s">
        <v>21</v>
      </c>
      <c r="D124" s="6">
        <v>43862</v>
      </c>
      <c r="E124" s="7">
        <v>2808.72</v>
      </c>
    </row>
    <row r="125" spans="1:5">
      <c r="A125" s="5" t="s">
        <v>96</v>
      </c>
      <c r="B125" s="5" t="s">
        <v>21</v>
      </c>
      <c r="C125" s="5" t="s">
        <v>21</v>
      </c>
      <c r="D125" s="6">
        <v>43891</v>
      </c>
      <c r="E125" s="7">
        <v>8099.6503</v>
      </c>
    </row>
    <row r="126" spans="1:5">
      <c r="A126" s="5" t="s">
        <v>96</v>
      </c>
      <c r="B126" s="5" t="s">
        <v>21</v>
      </c>
      <c r="C126" s="5" t="s">
        <v>21</v>
      </c>
      <c r="D126" s="6">
        <v>43922</v>
      </c>
      <c r="E126" s="7">
        <v>16895.87</v>
      </c>
    </row>
    <row r="127" spans="1:5">
      <c r="A127" s="5" t="s">
        <v>96</v>
      </c>
      <c r="B127" s="5" t="s">
        <v>21</v>
      </c>
      <c r="C127" s="5" t="s">
        <v>21</v>
      </c>
      <c r="D127" s="6">
        <v>43952</v>
      </c>
      <c r="E127" s="7">
        <v>13272.3168</v>
      </c>
    </row>
    <row r="128" spans="1:5">
      <c r="A128" s="5" t="s">
        <v>97</v>
      </c>
      <c r="B128" s="5" t="s">
        <v>21</v>
      </c>
      <c r="C128" s="5" t="s">
        <v>21</v>
      </c>
      <c r="D128" s="6">
        <v>43770</v>
      </c>
      <c r="E128" s="7">
        <v>605.33</v>
      </c>
    </row>
    <row r="129" spans="1:5">
      <c r="A129" s="5" t="s">
        <v>97</v>
      </c>
      <c r="B129" s="5" t="s">
        <v>21</v>
      </c>
      <c r="C129" s="5" t="s">
        <v>21</v>
      </c>
      <c r="D129" s="6">
        <v>43831</v>
      </c>
      <c r="E129" s="7">
        <v>637.981</v>
      </c>
    </row>
    <row r="130" spans="1:5">
      <c r="A130" s="5" t="s">
        <v>97</v>
      </c>
      <c r="B130" s="5" t="s">
        <v>21</v>
      </c>
      <c r="C130" s="5" t="s">
        <v>21</v>
      </c>
      <c r="D130" s="6">
        <v>43891</v>
      </c>
      <c r="E130" s="7">
        <v>877.51</v>
      </c>
    </row>
    <row r="131" spans="1:5">
      <c r="A131" s="5" t="s">
        <v>97</v>
      </c>
      <c r="B131" s="5" t="s">
        <v>21</v>
      </c>
      <c r="C131" s="5" t="s">
        <v>21</v>
      </c>
      <c r="D131" s="6">
        <v>43922</v>
      </c>
      <c r="E131" s="7">
        <v>502.95</v>
      </c>
    </row>
    <row r="132" spans="1:5">
      <c r="A132" s="5" t="s">
        <v>97</v>
      </c>
      <c r="B132" s="5" t="s">
        <v>21</v>
      </c>
      <c r="C132" s="5" t="s">
        <v>21</v>
      </c>
      <c r="D132" s="6">
        <v>43952</v>
      </c>
      <c r="E132" s="7">
        <v>2962.05</v>
      </c>
    </row>
    <row r="133" spans="1:5">
      <c r="A133" s="5" t="s">
        <v>98</v>
      </c>
      <c r="B133" s="5" t="s">
        <v>21</v>
      </c>
      <c r="C133" s="5" t="s">
        <v>21</v>
      </c>
      <c r="D133" s="6">
        <v>44501</v>
      </c>
      <c r="E133" s="7">
        <v>1518.79</v>
      </c>
    </row>
    <row r="134" spans="1:5">
      <c r="A134" s="5" t="s">
        <v>99</v>
      </c>
      <c r="B134" s="5" t="s">
        <v>21</v>
      </c>
      <c r="C134" s="5" t="s">
        <v>21</v>
      </c>
      <c r="D134" s="6">
        <v>44501</v>
      </c>
      <c r="E134" s="7">
        <v>654.83</v>
      </c>
    </row>
    <row r="135" spans="1:5">
      <c r="A135" s="5" t="s">
        <v>100</v>
      </c>
      <c r="B135" s="5" t="s">
        <v>21</v>
      </c>
      <c r="C135" s="5" t="s">
        <v>21</v>
      </c>
      <c r="D135" s="6">
        <v>44501</v>
      </c>
      <c r="E135" s="7">
        <v>603.84</v>
      </c>
    </row>
    <row r="136" spans="1:5">
      <c r="A136" s="5" t="s">
        <v>101</v>
      </c>
      <c r="B136" s="5" t="s">
        <v>21</v>
      </c>
      <c r="C136" s="5" t="s">
        <v>21</v>
      </c>
      <c r="D136" s="6">
        <v>44501</v>
      </c>
      <c r="E136" s="7">
        <v>2398.99</v>
      </c>
    </row>
    <row r="137" spans="1:5">
      <c r="A137" s="5" t="s">
        <v>102</v>
      </c>
      <c r="B137" s="5" t="s">
        <v>21</v>
      </c>
      <c r="C137" s="5" t="s">
        <v>21</v>
      </c>
      <c r="D137" s="6">
        <v>44593</v>
      </c>
      <c r="E137" s="7">
        <v>4765.1</v>
      </c>
    </row>
    <row r="138" spans="1:5">
      <c r="A138" s="5" t="s">
        <v>103</v>
      </c>
      <c r="B138" s="5" t="s">
        <v>104</v>
      </c>
      <c r="C138" s="5" t="s">
        <v>105</v>
      </c>
      <c r="D138" s="6">
        <v>46142</v>
      </c>
      <c r="E138" s="7">
        <v>2166.35</v>
      </c>
    </row>
    <row r="139" spans="1:5">
      <c r="A139" s="5" t="s">
        <v>106</v>
      </c>
      <c r="B139" s="5" t="s">
        <v>104</v>
      </c>
      <c r="C139" s="5" t="s">
        <v>107</v>
      </c>
      <c r="D139" s="6">
        <v>46142</v>
      </c>
      <c r="E139" s="7">
        <v>1685.27</v>
      </c>
    </row>
    <row r="140" spans="1:5">
      <c r="A140" s="5" t="s">
        <v>106</v>
      </c>
      <c r="B140" s="5" t="s">
        <v>104</v>
      </c>
      <c r="C140" s="5" t="s">
        <v>12</v>
      </c>
      <c r="D140" s="6">
        <v>46142</v>
      </c>
      <c r="E140" s="7">
        <v>7290.91</v>
      </c>
    </row>
    <row r="141" spans="1:5">
      <c r="A141" s="8" t="s">
        <v>18</v>
      </c>
      <c r="B141" s="8"/>
      <c r="C141" s="8"/>
      <c r="D141" s="8"/>
      <c r="E141" s="9">
        <f>SUM(E2:E140)</f>
        <v>246133.1026</v>
      </c>
    </row>
  </sheetData>
  <autoFilter xmlns:etc="http://www.wps.cn/officeDocument/2017/etCustomData" ref="A1:E143" etc:filterBottomFollowUsedRange="0">
    <extLst/>
  </autoFilter>
  <mergeCells count="1">
    <mergeCell ref="A141:D14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应收款明细统计</vt:lpstr>
      <vt:lpstr>应付款明细统计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 zhou</dc:creator>
  <cp:lastModifiedBy>123</cp:lastModifiedBy>
  <dcterms:created xsi:type="dcterms:W3CDTF">2023-12-26T09:17:00Z</dcterms:created>
  <dcterms:modified xsi:type="dcterms:W3CDTF">2026-05-08T03:25:08Z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6D0CF395F6F14676882628D91C5E745F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