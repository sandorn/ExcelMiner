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 tabRatio="819" activeTab="1"/>
  </bookViews>
  <sheets>
    <sheet name="目录" sheetId="35" r:id="rId1"/>
    <sheet name="利润（预算口径）" sheetId="10" r:id="rId2"/>
    <sheet name="13个月续期保费" sheetId="25" state="hidden" r:id="rId3"/>
    <sheet name="25个月续期保费" sheetId="23" state="hidden" r:id="rId4"/>
    <sheet name="37个月续期保费" sheetId="40" state="hidden" r:id="rId5"/>
    <sheet name="Sheet1" sheetId="45" state="hidden" r:id="rId6"/>
    <sheet name="外勤人力变动表" sheetId="26" r:id="rId7"/>
    <sheet name="外勤人力架构表" sheetId="34" r:id="rId8"/>
    <sheet name="保费分析-公司" sheetId="22" r:id="rId9"/>
    <sheet name="保费分析--产品" sheetId="21" r:id="rId10"/>
    <sheet name="保费分析--君康产品" sheetId="29" r:id="rId11"/>
    <sheet name="收入明细表" sheetId="19" r:id="rId12"/>
    <sheet name="基本法支出" sheetId="14" r:id="rId13"/>
    <sheet name="弹性销售成本" sheetId="15" state="hidden" r:id="rId14"/>
    <sheet name="附表-竞赛方案" sheetId="33" state="hidden" r:id="rId15"/>
    <sheet name="半固定销售成本" sheetId="16" state="hidden" r:id="rId16"/>
    <sheet name="职场成本" sheetId="18" r:id="rId17"/>
    <sheet name="人力成本" sheetId="17" r:id="rId18"/>
    <sheet name="附表-职场情况" sheetId="31" state="hidden" r:id="rId19"/>
    <sheet name="应收账款明细表" sheetId="36" r:id="rId20"/>
    <sheet name="应收利息明细表" sheetId="46" r:id="rId21"/>
    <sheet name="其他应付款明细" sheetId="38" r:id="rId22"/>
    <sheet name="应付佣金" sheetId="44" r:id="rId23"/>
    <sheet name="其他应收款" sheetId="41" r:id="rId24"/>
    <sheet name="日常行政费用明细" sheetId="39" r:id="rId25"/>
    <sheet name="续期规模保费" sheetId="47" r:id="rId26"/>
    <sheet name="退保损失" sheetId="48" r:id="rId27"/>
    <sheet name="应交税金" sheetId="43" state="hidden" r:id="rId28"/>
  </sheets>
  <definedNames>
    <definedName name="_xlnm._FilterDatabase" localSheetId="23" hidden="1">其他应收款!$A$1:$F$10</definedName>
    <definedName name="_xlnm._FilterDatabase" localSheetId="24" hidden="1">日常行政费用明细!$A$3:$Q$22</definedName>
    <definedName name="_xlnm._FilterDatabase" localSheetId="8" hidden="1">'保费分析-公司'!$A$1:$R$16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杨亚男</author>
  </authors>
  <commentList>
    <comment ref="K23" authorId="0">
      <text>
        <r>
          <rPr>
            <b/>
            <sz val="9"/>
            <rFont val="宋体"/>
            <charset val="134"/>
          </rPr>
          <t>杨亚男:</t>
        </r>
        <r>
          <rPr>
            <sz val="9"/>
            <rFont val="宋体"/>
            <charset val="134"/>
          </rPr>
          <t xml:space="preserve">
实际支付复效利息0.823002</t>
        </r>
      </text>
    </comment>
  </commentList>
</comments>
</file>

<file path=xl/comments2.xml><?xml version="1.0" encoding="utf-8"?>
<comments xmlns="http://schemas.openxmlformats.org/spreadsheetml/2006/main">
  <authors>
    <author>杨亚男</author>
  </authors>
  <commentList>
    <comment ref="A6" authorId="0">
      <text>
        <r>
          <rPr>
            <b/>
            <sz val="9"/>
            <rFont val="宋体"/>
            <charset val="134"/>
          </rPr>
          <t>杨亚男:</t>
        </r>
        <r>
          <rPr>
            <sz val="9"/>
            <rFont val="宋体"/>
            <charset val="134"/>
          </rPr>
          <t xml:space="preserve">
冲回负号</t>
        </r>
      </text>
    </comment>
    <comment ref="A12" authorId="0">
      <text>
        <r>
          <rPr>
            <b/>
            <sz val="9"/>
            <rFont val="宋体"/>
            <charset val="134"/>
          </rPr>
          <t>杨亚男:</t>
        </r>
        <r>
          <rPr>
            <sz val="9"/>
            <rFont val="宋体"/>
            <charset val="134"/>
          </rPr>
          <t xml:space="preserve">
冲回负号
</t>
        </r>
      </text>
    </comment>
  </commentList>
</comments>
</file>

<file path=xl/comments3.xml><?xml version="1.0" encoding="utf-8"?>
<comments xmlns="http://schemas.openxmlformats.org/spreadsheetml/2006/main">
  <authors>
    <author>张超然</author>
  </authors>
  <commentList>
    <comment ref="A4" authorId="0">
      <text>
        <r>
          <rPr>
            <b/>
            <sz val="9"/>
            <rFont val="宋体"/>
            <charset val="134"/>
          </rPr>
          <t>张超然:</t>
        </r>
        <r>
          <rPr>
            <sz val="9"/>
            <rFont val="宋体"/>
            <charset val="134"/>
          </rPr>
          <t xml:space="preserve">
月度现金奖励+实物方案</t>
        </r>
      </text>
    </comment>
    <comment ref="A6" authorId="0">
      <text>
        <r>
          <rPr>
            <b/>
            <sz val="9"/>
            <rFont val="宋体"/>
            <charset val="134"/>
          </rPr>
          <t xml:space="preserve">
:</t>
        </r>
        <r>
          <rPr>
            <sz val="9"/>
            <rFont val="宋体"/>
            <charset val="134"/>
          </rPr>
          <t xml:space="preserve">
季度组织发展方案</t>
        </r>
      </text>
    </comment>
  </commentList>
</comments>
</file>

<file path=xl/comments4.xml><?xml version="1.0" encoding="utf-8"?>
<comments xmlns="http://schemas.openxmlformats.org/spreadsheetml/2006/main">
  <authors>
    <author>STRX-CWB</author>
    <author>董娜</author>
    <author>赵宏宇</author>
  </authors>
  <commentList>
    <comment ref="O6" authorId="0">
      <text>
        <r>
          <rPr>
            <b/>
            <sz val="9"/>
            <rFont val="宋体"/>
            <charset val="134"/>
          </rPr>
          <t>STRX-CWB:</t>
        </r>
        <r>
          <rPr>
            <sz val="9"/>
            <rFont val="宋体"/>
            <charset val="134"/>
          </rPr>
          <t xml:space="preserve">
荣誉体系</t>
        </r>
      </text>
    </comment>
    <comment ref="A12" authorId="1">
      <text>
        <r>
          <rPr>
            <b/>
            <sz val="9"/>
            <rFont val="宋体"/>
            <charset val="134"/>
          </rPr>
          <t>董娜:</t>
        </r>
        <r>
          <rPr>
            <sz val="9"/>
            <rFont val="宋体"/>
            <charset val="134"/>
          </rPr>
          <t xml:space="preserve">
鹏程计划+机构支持+OPP</t>
        </r>
      </text>
    </comment>
    <comment ref="A13" authorId="1">
      <text>
        <r>
          <rPr>
            <b/>
            <sz val="9"/>
            <rFont val="宋体"/>
            <charset val="134"/>
          </rPr>
          <t>董娜:</t>
        </r>
        <r>
          <rPr>
            <sz val="9"/>
            <rFont val="宋体"/>
            <charset val="134"/>
          </rPr>
          <t xml:space="preserve">
组织发展专项预算科目</t>
        </r>
      </text>
    </comment>
    <comment ref="A14" authorId="2">
      <text>
        <r>
          <rPr>
            <b/>
            <sz val="9"/>
            <rFont val="宋体"/>
            <charset val="134"/>
          </rPr>
          <t>赵宏宇:</t>
        </r>
        <r>
          <rPr>
            <sz val="9"/>
            <rFont val="宋体"/>
            <charset val="134"/>
          </rPr>
          <t xml:space="preserve">
佣金加款，团队加款</t>
        </r>
      </text>
    </comment>
    <comment ref="A16" authorId="2">
      <text>
        <r>
          <rPr>
            <b/>
            <sz val="9"/>
            <rFont val="宋体"/>
            <charset val="134"/>
          </rPr>
          <t>赵宏宇:</t>
        </r>
        <r>
          <rPr>
            <sz val="9"/>
            <rFont val="宋体"/>
            <charset val="134"/>
          </rPr>
          <t xml:space="preserve">
组织发展-招待费</t>
        </r>
      </text>
    </comment>
  </commentList>
</comments>
</file>

<file path=xl/comments5.xml><?xml version="1.0" encoding="utf-8"?>
<comments xmlns="http://schemas.openxmlformats.org/spreadsheetml/2006/main">
  <authors>
    <author>杨亚男</author>
  </authors>
  <commentList>
    <comment ref="J21" authorId="0">
      <text>
        <r>
          <rPr>
            <b/>
            <sz val="9"/>
            <rFont val="宋体"/>
            <charset val="134"/>
          </rPr>
          <t>杨亚男:</t>
        </r>
        <r>
          <rPr>
            <sz val="9"/>
            <rFont val="宋体"/>
            <charset val="134"/>
          </rPr>
          <t xml:space="preserve">
监管培训费</t>
        </r>
      </text>
    </comment>
  </commentList>
</comments>
</file>

<file path=xl/sharedStrings.xml><?xml version="1.0" encoding="utf-8"?>
<sst xmlns="http://schemas.openxmlformats.org/spreadsheetml/2006/main" count="942" uniqueCount="445">
  <si>
    <t>目 录</t>
  </si>
  <si>
    <t>填报日期：2026-5-8</t>
  </si>
  <si>
    <t>表1：利润（预算口径）</t>
  </si>
  <si>
    <t>表9：职场成本明细表</t>
  </si>
  <si>
    <t>表2：外勤人力变动表</t>
  </si>
  <si>
    <t>表10：人力成本明细表</t>
  </si>
  <si>
    <t>表3：外勤人力架构表</t>
  </si>
  <si>
    <t>表11：应收账款明细表</t>
  </si>
  <si>
    <t>表4：保费分析—公司</t>
  </si>
  <si>
    <t>表12：应收利息明细表</t>
  </si>
  <si>
    <t>表5：保费分析—产品</t>
  </si>
  <si>
    <t>表13：其他应付款明细表</t>
  </si>
  <si>
    <t>表6：保费分析—君康产品</t>
  </si>
  <si>
    <t>表14：应付佣金明细表</t>
  </si>
  <si>
    <t>表7：收入明细表</t>
  </si>
  <si>
    <t>表15：其他应收款明细表</t>
  </si>
  <si>
    <t>表8：基本法支出</t>
  </si>
  <si>
    <t>表16：日常行政费用明细</t>
  </si>
  <si>
    <t>2026年4月管理报表</t>
  </si>
  <si>
    <t>返回目录</t>
  </si>
  <si>
    <t xml:space="preserve">填报单位：盛唐融信保险代理（北京）有限公司 </t>
  </si>
  <si>
    <t xml:space="preserve"> </t>
  </si>
  <si>
    <t>单位：万元</t>
  </si>
  <si>
    <t>项目</t>
  </si>
  <si>
    <t>本年预算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</si>
  <si>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</si>
  <si>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</si>
  <si>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</si>
  <si>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</si>
  <si>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</si>
  <si>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</si>
  <si>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</si>
  <si>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</si>
  <si>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</si>
  <si>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</si>
  <si>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</si>
  <si>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</si>
  <si>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本年累计</t>
  </si>
  <si>
    <t>预算执行比</t>
  </si>
  <si>
    <t>去年同期</t>
  </si>
  <si>
    <t>同比</t>
  </si>
  <si>
    <t>一、新契约收入</t>
  </si>
  <si>
    <t>二、弹性销售成本</t>
  </si>
  <si>
    <t>1、基本法</t>
  </si>
  <si>
    <t>2、方案</t>
  </si>
  <si>
    <t>三、新契约毛利</t>
  </si>
  <si>
    <t>四、事业部经营成本</t>
  </si>
  <si>
    <t>1、职场成本</t>
  </si>
  <si>
    <t>2、人力成本</t>
  </si>
  <si>
    <t>3、折旧摊销</t>
  </si>
  <si>
    <t>4、税金及附加</t>
  </si>
  <si>
    <t>5、营业外支出</t>
  </si>
  <si>
    <t>五、新契约利润</t>
  </si>
  <si>
    <t>六、事业部续期毛利</t>
  </si>
  <si>
    <t xml:space="preserve">1、续期收入 </t>
  </si>
  <si>
    <t>2、续期佣金</t>
  </si>
  <si>
    <t>七、事业部整体利润</t>
  </si>
  <si>
    <t>八、存续续期毛利</t>
  </si>
  <si>
    <t>1.续期收入</t>
  </si>
  <si>
    <t>2.续期佣金</t>
  </si>
  <si>
    <t>3.退保损失</t>
  </si>
  <si>
    <t>其中：复效利息</t>
  </si>
  <si>
    <t>九、管理费用</t>
  </si>
  <si>
    <t>1.日常经营成本</t>
  </si>
  <si>
    <t>2.职场成本</t>
  </si>
  <si>
    <t>3.人力成本</t>
  </si>
  <si>
    <t>4.折旧摊销</t>
  </si>
  <si>
    <t>十、税金及附加</t>
  </si>
  <si>
    <t>十一、利息收入</t>
  </si>
  <si>
    <t>十二、其他收益</t>
  </si>
  <si>
    <t>十三、营业外支出</t>
  </si>
  <si>
    <t>十四、企业所得税</t>
  </si>
  <si>
    <t>十五、净利润</t>
  </si>
  <si>
    <t>规模保费</t>
  </si>
  <si>
    <t>新契约标准保费</t>
  </si>
  <si>
    <t>新契约FYB</t>
  </si>
  <si>
    <t>收入小计</t>
  </si>
  <si>
    <t>营业收入</t>
  </si>
  <si>
    <t>首期手续费收入</t>
  </si>
  <si>
    <t>续期收入</t>
  </si>
  <si>
    <t>其中：存续手续费收入</t>
  </si>
  <si>
    <t>其中：事业部手续费收入</t>
  </si>
  <si>
    <t>营业成本</t>
  </si>
  <si>
    <t>首期成本</t>
  </si>
  <si>
    <t>续期成本</t>
  </si>
  <si>
    <t>扣非净利润</t>
  </si>
  <si>
    <t>经营活动净现金流</t>
  </si>
  <si>
    <t>经营支出小计</t>
  </si>
  <si>
    <t>固定费用</t>
  </si>
  <si>
    <t>本部人力</t>
  </si>
  <si>
    <t>日常费用（汇总日常经营及职场）</t>
  </si>
  <si>
    <t>其中：总职场成本</t>
  </si>
  <si>
    <t>其中：利息支出</t>
  </si>
  <si>
    <t>变动费用</t>
  </si>
  <si>
    <t>变动费用（事业部人力）</t>
  </si>
  <si>
    <t>变动费用（佣金）</t>
  </si>
  <si>
    <t>折旧摊销</t>
  </si>
  <si>
    <t>税金及附加</t>
  </si>
  <si>
    <t>日常经营（本部）</t>
  </si>
  <si>
    <t>校验管理费用与财务费用</t>
  </si>
  <si>
    <t>利润总额</t>
  </si>
  <si>
    <t>人力成本合计</t>
  </si>
  <si>
    <t>新单毛利率</t>
  </si>
  <si>
    <t>续期毛利率</t>
  </si>
  <si>
    <t>人力成本</t>
  </si>
  <si>
    <t>13个月续期保费分析表</t>
  </si>
  <si>
    <t>月份</t>
  </si>
  <si>
    <t>应收保费</t>
  </si>
  <si>
    <t>退保</t>
  </si>
  <si>
    <t>实收</t>
  </si>
  <si>
    <t>实收
合计</t>
  </si>
  <si>
    <t>继续率</t>
  </si>
  <si>
    <t>未收保费</t>
  </si>
  <si>
    <t>预期收回</t>
  </si>
  <si>
    <t>预计继续率</t>
  </si>
  <si>
    <t>合计</t>
  </si>
  <si>
    <t>25个月续期保费分析表</t>
  </si>
  <si>
    <t>37个月续期保费分析表</t>
  </si>
  <si>
    <t>会计科目折旧</t>
  </si>
  <si>
    <t>会计科目摊销</t>
  </si>
  <si>
    <t>低值易耗摊销</t>
  </si>
  <si>
    <t>新单外勤人力分析表</t>
  </si>
  <si>
    <t>填报单位：盛唐融信保险代理（北京）有限公司</t>
  </si>
  <si>
    <t>单位：人/万元</t>
  </si>
  <si>
    <t>在职人力</t>
  </si>
  <si>
    <t>新增人力</t>
  </si>
  <si>
    <t>离职人力</t>
  </si>
  <si>
    <t>实际人力</t>
  </si>
  <si>
    <t>开单人力</t>
  </si>
  <si>
    <t>绩优人力</t>
  </si>
  <si>
    <t>万元FYB</t>
  </si>
  <si>
    <t>3万元FYB</t>
  </si>
  <si>
    <t>6万元FYB</t>
  </si>
  <si>
    <t>期交规模保费</t>
  </si>
  <si>
    <t>人均产能</t>
  </si>
  <si>
    <t>保单件数</t>
  </si>
  <si>
    <t>件均保费</t>
  </si>
  <si>
    <t>新单外勤人力架构表</t>
  </si>
  <si>
    <t xml:space="preserve">填报单位：盛唐融信保险代理（北京）有限公司                                                   </t>
  </si>
  <si>
    <t xml:space="preserve">   单位：人 </t>
  </si>
  <si>
    <t>机构</t>
  </si>
  <si>
    <t>营销服务区</t>
  </si>
  <si>
    <t>业务总监</t>
  </si>
  <si>
    <t>业务经理</t>
  </si>
  <si>
    <t>业务专员</t>
  </si>
  <si>
    <t>房山</t>
  </si>
  <si>
    <t>陈大庆部</t>
  </si>
  <si>
    <t>怀柔</t>
  </si>
  <si>
    <t>孙建建部</t>
  </si>
  <si>
    <t>李书强部</t>
  </si>
  <si>
    <t>平谷</t>
  </si>
  <si>
    <t>戚海娇部</t>
  </si>
  <si>
    <t>新单保费分析表--保险公司</t>
  </si>
  <si>
    <t>公司</t>
  </si>
  <si>
    <t>累计标保</t>
  </si>
  <si>
    <t>累计FYB</t>
  </si>
  <si>
    <t>规保占比</t>
  </si>
  <si>
    <t>标保占比</t>
  </si>
  <si>
    <t>FYB占比</t>
  </si>
  <si>
    <t>累计</t>
  </si>
  <si>
    <t>富泽人寿</t>
  </si>
  <si>
    <t>信泰人寿</t>
  </si>
  <si>
    <t>复星联合</t>
  </si>
  <si>
    <t>复星保德信</t>
  </si>
  <si>
    <t>富德生命人寿</t>
  </si>
  <si>
    <t>爱心人寿</t>
  </si>
  <si>
    <t>中汇人寿</t>
  </si>
  <si>
    <t>安盛天平</t>
  </si>
  <si>
    <t>君康占比</t>
  </si>
  <si>
    <t>盛唐FYB</t>
  </si>
  <si>
    <t>君康标</t>
  </si>
  <si>
    <t>实际规模保费</t>
  </si>
  <si>
    <t>君康人寿</t>
  </si>
  <si>
    <t>标准保费</t>
  </si>
  <si>
    <t>佣金</t>
  </si>
  <si>
    <t>新单保费分析表--产品结构</t>
  </si>
  <si>
    <t>险种</t>
  </si>
  <si>
    <t>趸交</t>
  </si>
  <si>
    <t>3年期寿险</t>
  </si>
  <si>
    <t>5年期寿险</t>
  </si>
  <si>
    <t>6年期寿险</t>
  </si>
  <si>
    <t>8年期寿险</t>
  </si>
  <si>
    <t>10年期寿险</t>
  </si>
  <si>
    <t>富德生命14年期</t>
  </si>
  <si>
    <t>复星联合康乐一生15年期产品</t>
  </si>
  <si>
    <t>18年期</t>
  </si>
  <si>
    <t>19年期</t>
  </si>
  <si>
    <t>20年重疾险</t>
  </si>
  <si>
    <t>24、25年重疾</t>
  </si>
  <si>
    <t>30年重疾险</t>
  </si>
  <si>
    <t>保费分析表--富泽产品结构</t>
  </si>
  <si>
    <t>年期占比</t>
  </si>
  <si>
    <t>健康险</t>
  </si>
  <si>
    <t>年金险</t>
  </si>
  <si>
    <t>总计</t>
  </si>
  <si>
    <t>收入明细表</t>
  </si>
  <si>
    <t>本年累计金额</t>
  </si>
  <si>
    <t>目标</t>
  </si>
  <si>
    <t>完成率</t>
  </si>
  <si>
    <t>首期保费</t>
  </si>
  <si>
    <t>预估当月FYB</t>
  </si>
  <si>
    <t>当月承保标保</t>
  </si>
  <si>
    <t>报表列示主营业务收入</t>
  </si>
  <si>
    <t>账面新契约收入</t>
  </si>
  <si>
    <t>新契约
收入</t>
  </si>
  <si>
    <t>当月确认</t>
  </si>
  <si>
    <t>当月暂估</t>
  </si>
  <si>
    <t>冲回上月暂估</t>
  </si>
  <si>
    <t>确认与暂估差额</t>
  </si>
  <si>
    <t>事业部账面续期收入</t>
  </si>
  <si>
    <t>续期
收入</t>
  </si>
  <si>
    <t>存续账面续期收入</t>
  </si>
  <si>
    <t>其中退保损失/继续率通算损失</t>
  </si>
  <si>
    <t>事业部续期毛利</t>
  </si>
  <si>
    <t>续期基本法支出预算执行表</t>
  </si>
  <si>
    <t xml:space="preserve">填报单位：盛唐融信保险代理（北京）有限公司                                                                                                                                                                             </t>
  </si>
  <si>
    <t xml:space="preserve"> 单位：万元</t>
  </si>
  <si>
    <t>年度预算</t>
  </si>
  <si>
    <t>预算执行率</t>
  </si>
  <si>
    <t>佣金支出—首年直佣</t>
  </si>
  <si>
    <t>主营业务成本—事业部续年直佣</t>
  </si>
  <si>
    <t>佣金支出—续年暂估冲回</t>
  </si>
  <si>
    <t>佣金支出—续年暂估</t>
  </si>
  <si>
    <t>新单成本支出预算执行表</t>
  </si>
  <si>
    <t>主营业务成本-基本法</t>
  </si>
  <si>
    <t>主营业务成本-冲回基本法暂估</t>
  </si>
  <si>
    <t>主营业务成本-基本法暂估</t>
  </si>
  <si>
    <t>主营业务成本-暂估方案</t>
  </si>
  <si>
    <t>主营业务成本-冲回方案暂估</t>
  </si>
  <si>
    <t>主营业务成本-确认方案</t>
  </si>
  <si>
    <t>业务及管理费用-职场成本</t>
  </si>
  <si>
    <t>业务及管理费用-人力成本</t>
  </si>
  <si>
    <t>业务及管理费用-折旧摊销</t>
  </si>
  <si>
    <t>业务及管理费用-日常经营</t>
  </si>
  <si>
    <t>其中：办公杂费</t>
  </si>
  <si>
    <t>其中：招待费</t>
  </si>
  <si>
    <t>昌平</t>
  </si>
  <si>
    <t>其中：宽带费</t>
  </si>
  <si>
    <t>其中：会议费用</t>
  </si>
  <si>
    <t>业务及管理费用-税金及附加</t>
  </si>
  <si>
    <t>事业部</t>
  </si>
  <si>
    <t>存续</t>
  </si>
  <si>
    <t>弹性销售成本预算执行表</t>
  </si>
  <si>
    <t xml:space="preserve">填报单位：盛唐融信保险代理（北京）有限公司                                                                           </t>
  </si>
  <si>
    <t xml:space="preserve">  单位：万元</t>
  </si>
  <si>
    <t>1.业务推动</t>
  </si>
  <si>
    <t>业务推动暂估</t>
  </si>
  <si>
    <t>2.组织发展</t>
  </si>
  <si>
    <t>组织发展暂估</t>
  </si>
  <si>
    <t>竞赛方案明细表表</t>
  </si>
  <si>
    <t>序号</t>
  </si>
  <si>
    <t>期间</t>
  </si>
  <si>
    <t>方案名称</t>
  </si>
  <si>
    <t>标准</t>
  </si>
  <si>
    <t>奖励</t>
  </si>
  <si>
    <t>实际兑现</t>
  </si>
  <si>
    <t>达成保费FYB</t>
  </si>
  <si>
    <t>半固定销售成本预算执行表</t>
  </si>
  <si>
    <t xml:space="preserve">填报单位：盛唐融信保险代理（北京）有限公司                                                                                                                                                            </t>
  </si>
  <si>
    <t xml:space="preserve">   单位：万元</t>
  </si>
  <si>
    <t>一、客户经营</t>
  </si>
  <si>
    <t>1.产说会</t>
  </si>
  <si>
    <t>2.司服方案</t>
  </si>
  <si>
    <t>3.司徽方案</t>
  </si>
  <si>
    <t>4.经营活动</t>
  </si>
  <si>
    <t>5.会议支出</t>
  </si>
  <si>
    <t>6.其他</t>
  </si>
  <si>
    <t>二、队伍经营</t>
  </si>
  <si>
    <t>1.专项计划</t>
  </si>
  <si>
    <t>2.特殊聘才</t>
  </si>
  <si>
    <t>3.其他方案</t>
  </si>
  <si>
    <t>4.会议费</t>
  </si>
  <si>
    <t>5.招聘相关费用</t>
  </si>
  <si>
    <t>职场成本预算执行表</t>
  </si>
  <si>
    <t xml:space="preserve">填报单位：盛唐融信保险代理（北京）有限公司                                                                                                                                                 </t>
  </si>
  <si>
    <t>汇总</t>
  </si>
  <si>
    <t>1.万达广场10号楼905.906室（10060）</t>
  </si>
  <si>
    <t xml:space="preserve">   1.1使用权资产折旧</t>
  </si>
  <si>
    <t xml:space="preserve">   1.2水电费</t>
  </si>
  <si>
    <t xml:space="preserve">   1.3利息支出</t>
  </si>
  <si>
    <t>2.怀柔职场（92.3平米）（10056/10066）</t>
  </si>
  <si>
    <t>1.2利息支出</t>
  </si>
  <si>
    <t>1.3税费及中介费</t>
  </si>
  <si>
    <t>1.4物业费</t>
  </si>
  <si>
    <t xml:space="preserve">   1.5水电费</t>
  </si>
  <si>
    <t>1.6取暖费</t>
  </si>
  <si>
    <t>1.7装修费</t>
  </si>
  <si>
    <t>3.昌平职场（100平米）（10062）</t>
  </si>
  <si>
    <t>房租</t>
  </si>
  <si>
    <t>物业费</t>
  </si>
  <si>
    <t>电费</t>
  </si>
  <si>
    <t>取暖费</t>
  </si>
  <si>
    <t>装修费</t>
  </si>
  <si>
    <t>昌平房屋租赁成本</t>
  </si>
  <si>
    <t>怀柔房屋租赁成本</t>
  </si>
  <si>
    <t>使用资产折旧</t>
  </si>
  <si>
    <t>利息支出</t>
  </si>
  <si>
    <t>人力成本预算执行表</t>
  </si>
  <si>
    <t xml:space="preserve">填报单位：盛唐融信保险代理（北京）有限公司                                                                                                                                                                          </t>
  </si>
  <si>
    <t>1.固定工资</t>
  </si>
  <si>
    <t>2.年奖</t>
  </si>
  <si>
    <t>3.社会统筹保险</t>
  </si>
  <si>
    <t>4.住房公积金</t>
  </si>
  <si>
    <t>5.员工福利</t>
  </si>
  <si>
    <t>6.补充医疗</t>
  </si>
  <si>
    <t>7.餐补及通讯补助</t>
  </si>
  <si>
    <t>7.通讯补助</t>
  </si>
  <si>
    <t>补充资料</t>
  </si>
  <si>
    <t>在职人数</t>
  </si>
  <si>
    <t>房租物业费明细表</t>
  </si>
  <si>
    <t>填报单位：盛唐融信保险代理（北京）有限公司                        年度：2019年                    单位：元</t>
  </si>
  <si>
    <t>职场</t>
  </si>
  <si>
    <t>平米数</t>
  </si>
  <si>
    <t>日租金/平</t>
  </si>
  <si>
    <t>月租金</t>
  </si>
  <si>
    <t>月物业费/平</t>
  </si>
  <si>
    <t>月物业费</t>
  </si>
  <si>
    <t>备注</t>
  </si>
  <si>
    <t>4层</t>
  </si>
  <si>
    <t>403/404/405/406/409/410/411</t>
  </si>
  <si>
    <t>密云</t>
  </si>
  <si>
    <t>2.5元/平/天（1.5元租金，1元物业费）</t>
  </si>
  <si>
    <t>新机构</t>
  </si>
  <si>
    <t>预估</t>
  </si>
  <si>
    <t>月合计</t>
  </si>
  <si>
    <t>年合计</t>
  </si>
  <si>
    <t>万元</t>
  </si>
  <si>
    <t>注：月租金=日租金*平米数*365天/12</t>
  </si>
  <si>
    <t>应收账款明细表</t>
  </si>
  <si>
    <t xml:space="preserve">填报单位：盛唐融信保险代理（北京）有限公司    </t>
  </si>
  <si>
    <t>单位：元</t>
  </si>
  <si>
    <t>明细</t>
  </si>
  <si>
    <t>期初余额</t>
  </si>
  <si>
    <t>本期借方</t>
  </si>
  <si>
    <t>本期贷方</t>
  </si>
  <si>
    <t>期末余额</t>
  </si>
  <si>
    <t>中英人寿保险有限公司北京分公司</t>
  </si>
  <si>
    <t>中国人民健康保险股份有限公司北京分公司</t>
  </si>
  <si>
    <t>泰康人寿保险有限责任公司北京分公司</t>
  </si>
  <si>
    <t>暂估</t>
  </si>
  <si>
    <t>富德生命人寿保险股份有限公司北京分公司</t>
  </si>
  <si>
    <t>光大永明人寿保险有限公司北京分公司</t>
  </si>
  <si>
    <t>信泰人寿保险股份有限公司北京分公司</t>
  </si>
  <si>
    <t>卡富斯保险经纪有限公司</t>
  </si>
  <si>
    <t>中汇人寿保险股份有限公司</t>
  </si>
  <si>
    <r>
      <rPr>
        <b/>
        <sz val="12"/>
        <color rgb="FF000000"/>
        <rFont val="等线"/>
        <charset val="134"/>
      </rPr>
      <t>合计</t>
    </r>
  </si>
  <si>
    <t>应收利息明细表</t>
  </si>
  <si>
    <t>存款金额</t>
  </si>
  <si>
    <t>广发银行（7天通知存款）</t>
  </si>
  <si>
    <t>中信银行（基本户1年期）</t>
  </si>
  <si>
    <t>光大银行（托管户3年期）</t>
  </si>
  <si>
    <t>其他应付款明细表</t>
  </si>
  <si>
    <t xml:space="preserve">填报单位：盛唐融信保险代理（北京）有限公司   </t>
  </si>
  <si>
    <t>科目</t>
  </si>
  <si>
    <t>用途</t>
  </si>
  <si>
    <t>其他应付款-个人部分-公积金</t>
  </si>
  <si>
    <t>缺省</t>
  </si>
  <si>
    <t>其他应付款-租赁费</t>
  </si>
  <si>
    <t>租赁费</t>
  </si>
  <si>
    <t>其他应付款-其他</t>
  </si>
  <si>
    <t>预提监管费</t>
  </si>
  <si>
    <t>天职事务所</t>
  </si>
  <si>
    <t>应付佣金明细表</t>
  </si>
  <si>
    <t>应付佣金（暂估）</t>
  </si>
  <si>
    <t>年初预估差额</t>
  </si>
  <si>
    <t>应付佣金-缓发佣金</t>
  </si>
  <si>
    <t>其他应收款及预付款明细表</t>
  </si>
  <si>
    <t>会计科目及用途</t>
  </si>
  <si>
    <t>应收代理人佣金</t>
  </si>
  <si>
    <t>其他应收款-其他（计提损失）</t>
  </si>
  <si>
    <t>平谷培训室押金</t>
  </si>
  <si>
    <t>其他应收款-押金</t>
  </si>
  <si>
    <t>第一分公司怀柔职场押金</t>
  </si>
  <si>
    <t>其他应收款-预付账款</t>
  </si>
  <si>
    <t>2025年年审预付款</t>
  </si>
  <si>
    <t>本部905、906房租押金</t>
  </si>
  <si>
    <t>赵志勇</t>
  </si>
  <si>
    <t>其他应收款-员工借款（计提损失）</t>
  </si>
  <si>
    <t>日常行政费用执行情况</t>
  </si>
  <si>
    <t xml:space="preserve">填报单位：盛唐融信保险代理（北京）有限公司           </t>
  </si>
  <si>
    <t>会计科目</t>
  </si>
  <si>
    <t>费用项目</t>
  </si>
  <si>
    <t>年初预算</t>
  </si>
  <si>
    <t>1月实际执行</t>
  </si>
  <si>
    <t>2月实际执行</t>
  </si>
  <si>
    <t>3月实际执行</t>
  </si>
  <si>
    <t>4月实际执行</t>
  </si>
  <si>
    <t>5月实际执行</t>
  </si>
  <si>
    <t>6月实际执行</t>
  </si>
  <si>
    <t>7月实际执行</t>
  </si>
  <si>
    <t>8月实际执行</t>
  </si>
  <si>
    <t>9月实际执行</t>
  </si>
  <si>
    <t>10月实际执行</t>
  </si>
  <si>
    <t>11月实际执行</t>
  </si>
  <si>
    <t>12月实际执行</t>
  </si>
  <si>
    <t>职业保险费</t>
  </si>
  <si>
    <t>监管费</t>
  </si>
  <si>
    <t>行业协会会费</t>
  </si>
  <si>
    <t>保洁费</t>
  </si>
  <si>
    <t>电话费</t>
  </si>
  <si>
    <t>网络专线费</t>
  </si>
  <si>
    <t>外部审计费用</t>
  </si>
  <si>
    <t>银行结算费</t>
  </si>
  <si>
    <t>业务招待费</t>
  </si>
  <si>
    <t>本埠差旅费</t>
  </si>
  <si>
    <t>外埠差旅费</t>
  </si>
  <si>
    <t>电子耗材</t>
  </si>
  <si>
    <t>邮电通讯费</t>
  </si>
  <si>
    <t>快递费</t>
  </si>
  <si>
    <t>公杂费</t>
  </si>
  <si>
    <t>办公用品</t>
  </si>
  <si>
    <t>技术服务费</t>
  </si>
  <si>
    <t>品宣</t>
  </si>
  <si>
    <t>客户活动品牌宣传</t>
  </si>
  <si>
    <t>其他</t>
  </si>
  <si>
    <t>续期规模保费</t>
  </si>
  <si>
    <t>预算金额</t>
  </si>
  <si>
    <t>事业部续期规模保费</t>
  </si>
  <si>
    <t>存续续期规模保费</t>
  </si>
  <si>
    <t>小计</t>
  </si>
  <si>
    <t>盛唐融信2026年退保汇总</t>
  </si>
  <si>
    <t>盛唐融信2025年退保汇总</t>
  </si>
  <si>
    <t>2024年退保损失汇总</t>
  </si>
  <si>
    <t>保司</t>
  </si>
  <si>
    <t>退保总额</t>
  </si>
  <si>
    <t>占比</t>
  </si>
  <si>
    <t>性质</t>
  </si>
  <si>
    <t>君康</t>
  </si>
  <si>
    <t>协议退保</t>
  </si>
  <si>
    <t>爱心</t>
  </si>
  <si>
    <t>泰康</t>
  </si>
  <si>
    <t>继续率损失</t>
  </si>
  <si>
    <t>长城</t>
  </si>
  <si>
    <t>恒安</t>
  </si>
  <si>
    <t>长城人寿</t>
  </si>
  <si>
    <t>信泰</t>
  </si>
  <si>
    <t>中英</t>
  </si>
  <si>
    <t>继续率退保损失</t>
  </si>
  <si>
    <t>协议退保损失</t>
  </si>
  <si>
    <t>利息赔偿损失</t>
  </si>
  <si>
    <t>应交税金明细表</t>
  </si>
  <si>
    <t>应交税费-应交增值税-代扣代缴</t>
  </si>
  <si>
    <t>应交税费-城市维护建设税-代扣代缴</t>
  </si>
  <si>
    <t>应交税费-教育费附加-代扣代缴</t>
  </si>
  <si>
    <t>应交税费-地方教育税附加-代扣代缴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</si>
</sst>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  <numFmt numFmtId="178" formatCode="\¥#,##0.00_);[Red]\(\¥#,##0.00\)"/>
    <numFmt numFmtId="179" formatCode="_ * #,##0.00_ ;_ * \-#,##0.00_ ;_ * &quot;-&quot;??.00_ ;_ @_ "/>
    <numFmt numFmtId="180" formatCode="#,##0.00;[Red]\-#,##0.00;_ * &quot;-&quot;_ ;_ @_ "/>
    <numFmt numFmtId="181" formatCode="_ * #,##0.0_ ;_ * \-#,##0.0_ ;_ * &quot;-&quot;??_ ;_ @_ "/>
    <numFmt numFmtId="182" formatCode="0.00_);[Red]\(0.00\)"/>
    <numFmt numFmtId="183" formatCode="0.00_ ;[Red]\-0.00\ "/>
    <numFmt numFmtId="184" formatCode="0.00000_);[Red]\(0.00000\)"/>
    <numFmt numFmtId="185" formatCode="#,##0_ "/>
    <numFmt numFmtId="186" formatCode="0.00%;\-0.00%;&quot;-&quot;"/>
    <numFmt numFmtId="187" formatCode="#,##0.00_ ;[Red]\-#,##0.00\ "/>
  </numFmts>
  <fonts count="68">
    <font>
      <sz val="11"/>
      <color theme="1"/>
      <name val="等线"/>
      <charset val="134"/>
      <scheme val="minor"/>
    </font>
    <font>
      <b/>
      <sz val="16"/>
      <color rgb="FF000000"/>
      <name val="等线"/>
      <charset val="134"/>
      <scheme val="minor"/>
    </font>
    <font>
      <b/>
      <u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0.5"/>
      <color rgb="FF000000"/>
      <name val="Times New Roman"/>
      <charset val="134"/>
    </font>
    <font>
      <sz val="11"/>
      <color rgb="FF000000"/>
      <name val="等线"/>
      <charset val="134"/>
      <scheme val="minor"/>
    </font>
    <font>
      <b/>
      <sz val="10.5"/>
      <color rgb="FF000000"/>
      <name val="Times New Roman"/>
      <charset val="134"/>
    </font>
    <font>
      <b/>
      <sz val="14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6"/>
      <color theme="1"/>
      <name val="思源黑体 CN Medium"/>
      <charset val="134"/>
    </font>
    <font>
      <sz val="1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.5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.5"/>
      <color rgb="FF000000"/>
      <name val="宋体"/>
      <charset val="134"/>
    </font>
    <font>
      <b/>
      <sz val="12"/>
      <color rgb="FF000000"/>
      <name val="Times New Roman"/>
      <charset val="134"/>
    </font>
    <font>
      <b/>
      <sz val="16"/>
      <color theme="1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b/>
      <sz val="16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等线"/>
      <charset val="134"/>
      <scheme val="minor"/>
    </font>
    <font>
      <b/>
      <u/>
      <sz val="20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FF0000"/>
      <name val="等线"/>
      <charset val="134"/>
      <scheme val="minor"/>
    </font>
    <font>
      <b/>
      <sz val="16"/>
      <color theme="1"/>
      <name val="Microsoft YaHei"/>
      <charset val="134"/>
    </font>
    <font>
      <b/>
      <u/>
      <sz val="16"/>
      <color theme="1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sz val="20"/>
      <color theme="1"/>
      <name val="等线"/>
      <charset val="134"/>
      <scheme val="minor"/>
    </font>
    <font>
      <u/>
      <sz val="14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0000"/>
      <name val="等线"/>
      <charset val="134"/>
    </font>
    <font>
      <b/>
      <sz val="9"/>
      <name val="宋体"/>
      <charset val="134"/>
    </font>
    <font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768059327982"/>
      </patternFill>
    </fill>
    <fill>
      <patternFill patternType="solid">
        <fgColor theme="4" tint="0.799768059327982"/>
        <bgColor theme="8" tint="0.799768059327982"/>
      </patternFill>
    </fill>
    <fill>
      <patternFill patternType="solid">
        <fgColor theme="9" tint="0.8"/>
        <bgColor rgb="FF000000"/>
      </patternFill>
    </fill>
    <fill>
      <patternFill patternType="solid">
        <fgColor theme="9" tint="0.8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72380748924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4" tint="0.799890133365886"/>
        <bgColor theme="4" tint="0.799890133365886"/>
      </patternFill>
    </fill>
    <fill>
      <patternFill patternType="solid">
        <fgColor theme="6" tint="0.3997314371166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theme="4" tint="0.399731437116611"/>
      </left>
      <right style="medium">
        <color theme="4" tint="0.399731437116611"/>
      </right>
      <top style="medium">
        <color theme="4" tint="0.399731437116611"/>
      </top>
      <bottom style="medium">
        <color theme="4" tint="0.4"/>
      </bottom>
      <diagonal/>
    </border>
    <border>
      <left style="medium">
        <color theme="4" tint="0.399731437116611"/>
      </left>
      <right style="medium">
        <color theme="4" tint="0.4"/>
      </right>
      <top style="medium">
        <color theme="4" tint="0.399731437116611"/>
      </top>
      <bottom/>
      <diagonal/>
    </border>
    <border>
      <left style="medium">
        <color theme="4" tint="0.399731437116611"/>
      </left>
      <right style="medium">
        <color theme="4" tint="0.399731437116611"/>
      </right>
      <top style="medium">
        <color theme="4" tint="0.399731437116611"/>
      </top>
      <bottom/>
      <diagonal/>
    </border>
    <border>
      <left style="medium">
        <color theme="4" tint="0.399761955626087"/>
      </left>
      <right style="medium">
        <color theme="4" tint="0.399761955626087"/>
      </right>
      <top/>
      <bottom style="medium">
        <color theme="4" tint="0.399761955626087"/>
      </bottom>
      <diagonal/>
    </border>
    <border>
      <left style="medium">
        <color theme="4" tint="0.399761955626087"/>
      </left>
      <right style="medium">
        <color theme="4" tint="0.399761955626087"/>
      </right>
      <top style="medium">
        <color theme="4" tint="0.399761955626087"/>
      </top>
      <bottom style="medium">
        <color theme="4" tint="0.399761955626087"/>
      </bottom>
      <diagonal/>
    </border>
    <border>
      <left style="medium">
        <color theme="4" tint="0.399761955626087"/>
      </left>
      <right style="medium">
        <color theme="4" tint="0.399761955626087"/>
      </right>
      <top style="medium">
        <color theme="4" tint="0.4"/>
      </top>
      <bottom style="medium">
        <color theme="4" tint="0.39976195562608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4" tint="0.6"/>
      </left>
      <right style="medium">
        <color theme="4" tint="0.6"/>
      </right>
      <top style="medium">
        <color theme="4" tint="0.6"/>
      </top>
      <bottom/>
      <diagonal/>
    </border>
    <border>
      <left style="medium">
        <color theme="4" tint="0.4"/>
      </left>
      <right style="medium">
        <color theme="4" tint="0.4"/>
      </right>
      <top style="medium">
        <color theme="4" tint="0.4"/>
      </top>
      <bottom style="medium">
        <color theme="4" tint="0.4"/>
      </bottom>
      <diagonal/>
    </border>
    <border>
      <left style="medium">
        <color theme="4" tint="0.399884029663991"/>
      </left>
      <right style="medium">
        <color theme="4" tint="0.399884029663991"/>
      </right>
      <top style="medium">
        <color theme="4" tint="0.399884029663991"/>
      </top>
      <bottom style="medium">
        <color theme="4" tint="0.399884029663991"/>
      </bottom>
      <diagonal/>
    </border>
    <border>
      <left style="medium">
        <color theme="4" tint="0.399731437116611"/>
      </left>
      <right style="medium">
        <color theme="4" tint="0.399731437116611"/>
      </right>
      <top style="medium">
        <color theme="4" tint="0.399731437116611"/>
      </top>
      <bottom style="medium">
        <color theme="4" tint="0.399731437116611"/>
      </bottom>
      <diagonal/>
    </border>
    <border>
      <left style="medium">
        <color theme="4" tint="0.399945066682943"/>
      </left>
      <right style="medium">
        <color theme="4" tint="0.399945066682943"/>
      </right>
      <top style="medium">
        <color theme="4" tint="0.399945066682943"/>
      </top>
      <bottom style="medium">
        <color theme="4" tint="0.399945066682943"/>
      </bottom>
      <diagonal/>
    </border>
    <border>
      <left/>
      <right style="medium">
        <color theme="4" tint="0.399884029663991"/>
      </right>
      <top style="medium">
        <color theme="4" tint="0.399884029663991"/>
      </top>
      <bottom style="medium">
        <color theme="4" tint="0.399884029663991"/>
      </bottom>
      <diagonal/>
    </border>
    <border>
      <left style="medium">
        <color theme="4" tint="0.399884029663991"/>
      </left>
      <right/>
      <top style="medium">
        <color theme="4" tint="0.399884029663991"/>
      </top>
      <bottom style="medium">
        <color theme="4" tint="0.399884029663991"/>
      </bottom>
      <diagonal/>
    </border>
    <border>
      <left style="medium">
        <color theme="4" tint="0.399945066682943"/>
      </left>
      <right style="medium">
        <color theme="4" tint="0.399945066682943"/>
      </right>
      <top style="medium">
        <color theme="4" tint="0.399945066682943"/>
      </top>
      <bottom/>
      <diagonal/>
    </border>
    <border>
      <left style="medium">
        <color theme="4" tint="0.399700918607135"/>
      </left>
      <right style="medium">
        <color theme="4" tint="0.399700918607135"/>
      </right>
      <top style="medium">
        <color theme="4" tint="0.399700918607135"/>
      </top>
      <bottom style="medium">
        <color theme="4" tint="0.399700918607135"/>
      </bottom>
      <diagonal/>
    </border>
    <border>
      <left style="medium">
        <color theme="4" tint="0.399700918607135"/>
      </left>
      <right/>
      <top style="medium">
        <color theme="4" tint="0.399700918607135"/>
      </top>
      <bottom style="medium">
        <color theme="4" tint="0.399700918607135"/>
      </bottom>
      <diagonal/>
    </border>
    <border>
      <left/>
      <right/>
      <top style="medium">
        <color theme="4" tint="0.399700918607135"/>
      </top>
      <bottom style="medium">
        <color theme="4" tint="0.399700918607135"/>
      </bottom>
      <diagonal/>
    </border>
    <border>
      <left/>
      <right style="medium">
        <color theme="4" tint="0.399700918607135"/>
      </right>
      <top style="medium">
        <color theme="4" tint="0.399700918607135"/>
      </top>
      <bottom style="medium">
        <color theme="4" tint="0.399700918607135"/>
      </bottom>
      <diagonal/>
    </border>
    <border>
      <left/>
      <right/>
      <top/>
      <bottom style="medium">
        <color theme="4" tint="0.399700918607135"/>
      </bottom>
      <diagonal/>
    </border>
    <border>
      <left style="medium">
        <color theme="4" tint="0.399700918607135"/>
      </left>
      <right style="medium">
        <color theme="4" tint="0.399700918607135"/>
      </right>
      <top style="medium">
        <color theme="4" tint="0.399700918607135"/>
      </top>
      <bottom/>
      <diagonal/>
    </border>
    <border>
      <left style="medium">
        <color theme="4" tint="0.399700918607135"/>
      </left>
      <right style="medium">
        <color theme="4" tint="0.399700918607135"/>
      </right>
      <top/>
      <bottom style="medium">
        <color theme="4" tint="0.399700918607135"/>
      </bottom>
      <diagonal/>
    </border>
    <border>
      <left style="medium">
        <color theme="4" tint="0.399700918607135"/>
      </left>
      <right style="medium">
        <color theme="4" tint="0.399700918607135"/>
      </right>
      <top/>
      <bottom/>
      <diagonal/>
    </border>
    <border>
      <left style="medium">
        <color theme="4" tint="0.399761955626087"/>
      </left>
      <right style="medium">
        <color theme="4" tint="0.399761955626087"/>
      </right>
      <top/>
      <bottom/>
      <diagonal/>
    </border>
    <border>
      <left style="medium">
        <color theme="4" tint="0.399761955626087"/>
      </left>
      <right style="medium">
        <color theme="4" tint="0.399761955626087"/>
      </right>
      <top style="medium">
        <color theme="4" tint="0.399761955626087"/>
      </top>
      <bottom/>
      <diagonal/>
    </border>
    <border>
      <left style="medium">
        <color theme="4" tint="0.399853511154515"/>
      </left>
      <right style="medium">
        <color theme="4" tint="0.399853511154515"/>
      </right>
      <top style="medium">
        <color theme="4" tint="0.399853511154515"/>
      </top>
      <bottom/>
      <diagonal/>
    </border>
    <border>
      <left style="medium">
        <color theme="4" tint="0.399853511154515"/>
      </left>
      <right style="medium">
        <color theme="4" tint="0.399853511154515"/>
      </right>
      <top style="medium">
        <color theme="4" tint="0.399853511154515"/>
      </top>
      <bottom style="medium">
        <color theme="4" tint="0.399853511154515"/>
      </bottom>
      <diagonal/>
    </border>
    <border>
      <left style="medium">
        <color theme="4" tint="0.399731437116611"/>
      </left>
      <right/>
      <top style="medium">
        <color theme="4" tint="0.399731437116611"/>
      </top>
      <bottom style="medium">
        <color theme="4" tint="0.399731437116611"/>
      </bottom>
      <diagonal/>
    </border>
    <border>
      <left/>
      <right/>
      <top/>
      <bottom style="medium">
        <color theme="4" tint="0.399731437116611"/>
      </bottom>
      <diagonal/>
    </border>
    <border>
      <left style="medium">
        <color theme="4" tint="0.399731437116611"/>
      </left>
      <right style="medium">
        <color theme="4" tint="0.399731437116611"/>
      </right>
      <top/>
      <bottom style="medium">
        <color theme="4" tint="0.399731437116611"/>
      </bottom>
      <diagonal/>
    </border>
    <border>
      <left style="medium">
        <color theme="4" tint="0.399822992645039"/>
      </left>
      <right style="medium">
        <color theme="4" tint="0.399822992645039"/>
      </right>
      <top style="medium">
        <color theme="4" tint="0.399822992645039"/>
      </top>
      <bottom style="medium">
        <color theme="4" tint="0.399822992645039"/>
      </bottom>
      <diagonal/>
    </border>
    <border>
      <left/>
      <right/>
      <top/>
      <bottom style="thin">
        <color auto="1"/>
      </bottom>
      <diagonal/>
    </border>
    <border>
      <left style="medium">
        <color theme="4" tint="0.399670400097659"/>
      </left>
      <right/>
      <top style="medium">
        <color theme="4" tint="0.399670400097659"/>
      </top>
      <bottom style="medium">
        <color theme="4" tint="0.399670400097659"/>
      </bottom>
      <diagonal/>
    </border>
    <border>
      <left/>
      <right style="medium">
        <color theme="4" tint="0.399670400097659"/>
      </right>
      <top style="medium">
        <color theme="4" tint="0.399670400097659"/>
      </top>
      <bottom style="medium">
        <color theme="4" tint="0.399670400097659"/>
      </bottom>
      <diagonal/>
    </border>
    <border>
      <left style="medium">
        <color theme="4" tint="0.399670400097659"/>
      </left>
      <right style="medium">
        <color theme="4" tint="0.399670400097659"/>
      </right>
      <top style="medium">
        <color theme="4" tint="0.399670400097659"/>
      </top>
      <bottom style="medium">
        <color theme="4" tint="0.399670400097659"/>
      </bottom>
      <diagonal/>
    </border>
    <border>
      <left style="medium">
        <color theme="4" tint="0.399639881588183"/>
      </left>
      <right style="medium">
        <color theme="4" tint="0.399639881588183"/>
      </right>
      <top style="medium">
        <color theme="4" tint="0.399639881588183"/>
      </top>
      <bottom style="medium">
        <color theme="4" tint="0.399639881588183"/>
      </bottom>
      <diagonal/>
    </border>
    <border>
      <left style="medium">
        <color theme="4" tint="0.399670400097659"/>
      </left>
      <right style="medium">
        <color theme="4" tint="0.399670400097659"/>
      </right>
      <top style="medium">
        <color theme="4" tint="0.399670400097659"/>
      </top>
      <bottom/>
      <diagonal/>
    </border>
    <border>
      <left style="medium">
        <color theme="4" tint="0.399609363078707"/>
      </left>
      <right style="medium">
        <color theme="4" tint="0.399609363078707"/>
      </right>
      <top style="medium">
        <color theme="4" tint="0.399609363078707"/>
      </top>
      <bottom style="medium">
        <color theme="4" tint="0.399609363078707"/>
      </bottom>
      <diagonal/>
    </border>
    <border>
      <left style="medium">
        <color theme="4" tint="0.399853511154515"/>
      </left>
      <right style="medium">
        <color theme="4" tint="0.399853511154515"/>
      </right>
      <top/>
      <bottom style="medium">
        <color theme="4" tint="0.399853511154515"/>
      </bottom>
      <diagonal/>
    </border>
    <border>
      <left style="medium">
        <color theme="4" tint="0.399792474135563"/>
      </left>
      <right style="medium">
        <color theme="4" tint="0.399792474135563"/>
      </right>
      <top style="medium">
        <color theme="4" tint="0.399792474135563"/>
      </top>
      <bottom style="medium">
        <color theme="4" tint="0.399792474135563"/>
      </bottom>
      <diagonal/>
    </border>
    <border>
      <left style="medium">
        <color theme="4" tint="0.399700918607135"/>
      </left>
      <right/>
      <top style="medium">
        <color theme="4" tint="0.399700918607135"/>
      </top>
      <bottom/>
      <diagonal/>
    </border>
    <border>
      <left/>
      <right/>
      <top style="medium">
        <color theme="4" tint="0.399700918607135"/>
      </top>
      <bottom/>
      <diagonal/>
    </border>
    <border>
      <left/>
      <right style="medium">
        <color theme="4" tint="0.399700918607135"/>
      </right>
      <top style="medium">
        <color theme="4" tint="0.399700918607135"/>
      </top>
      <bottom/>
      <diagonal/>
    </border>
    <border>
      <left style="medium">
        <color theme="4" tint="0.399884029663991"/>
      </left>
      <right style="medium">
        <color theme="4" tint="0.399884029663991"/>
      </right>
      <top style="medium">
        <color theme="4" tint="0.399853511154515"/>
      </top>
      <bottom style="medium">
        <color theme="4" tint="0.399853511154515"/>
      </bottom>
      <diagonal/>
    </border>
    <border>
      <left style="medium">
        <color theme="4" tint="0.399792474135563"/>
      </left>
      <right style="medium">
        <color theme="4" tint="0.399792474135563"/>
      </right>
      <top style="medium">
        <color theme="4" tint="0.399792474135563"/>
      </top>
      <bottom/>
      <diagonal/>
    </border>
    <border>
      <left style="medium">
        <color theme="4" tint="0.4"/>
      </left>
      <right/>
      <top style="medium">
        <color theme="4" tint="0.4"/>
      </top>
      <bottom style="medium">
        <color theme="4" tint="0.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0" fillId="22" borderId="50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51" applyNumberFormat="0" applyFill="0" applyAlignment="0" applyProtection="0">
      <alignment vertical="center"/>
    </xf>
    <xf numFmtId="0" fontId="52" fillId="0" borderId="51" applyNumberFormat="0" applyFill="0" applyAlignment="0" applyProtection="0">
      <alignment vertical="center"/>
    </xf>
    <xf numFmtId="0" fontId="53" fillId="0" borderId="52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23" borderId="53" applyNumberFormat="0" applyAlignment="0" applyProtection="0">
      <alignment vertical="center"/>
    </xf>
    <xf numFmtId="0" fontId="55" fillId="24" borderId="54" applyNumberFormat="0" applyAlignment="0" applyProtection="0">
      <alignment vertical="center"/>
    </xf>
    <xf numFmtId="0" fontId="56" fillId="24" borderId="53" applyNumberFormat="0" applyAlignment="0" applyProtection="0">
      <alignment vertical="center"/>
    </xf>
    <xf numFmtId="0" fontId="57" fillId="25" borderId="55" applyNumberFormat="0" applyAlignment="0" applyProtection="0">
      <alignment vertical="center"/>
    </xf>
    <xf numFmtId="0" fontId="58" fillId="0" borderId="56" applyNumberFormat="0" applyFill="0" applyAlignment="0" applyProtection="0">
      <alignment vertical="center"/>
    </xf>
    <xf numFmtId="0" fontId="59" fillId="0" borderId="57" applyNumberFormat="0" applyFill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46" fillId="0" borderId="0" applyNumberFormat="0" applyFill="0" applyBorder="0" applyAlignment="0" applyProtection="0"/>
    <xf numFmtId="43" fontId="0" fillId="0" borderId="0" applyFont="0" applyFill="0" applyBorder="0" applyAlignment="0" applyProtection="0">
      <alignment vertical="center"/>
    </xf>
  </cellStyleXfs>
  <cellXfs count="5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6" applyFont="1" applyFill="1" applyAlignment="1">
      <alignment horizontal="center" vertical="center"/>
    </xf>
    <xf numFmtId="0" fontId="3" fillId="0" borderId="0" xfId="0" applyFont="1"/>
    <xf numFmtId="43" fontId="3" fillId="0" borderId="0" xfId="1" applyFont="1" applyAlignment="1"/>
    <xf numFmtId="0" fontId="3" fillId="0" borderId="0" xfId="0" applyFont="1" applyAlignment="1">
      <alignment horizontal="right"/>
    </xf>
    <xf numFmtId="0" fontId="4" fillId="4" borderId="1" xfId="0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center" vertical="center" wrapText="1"/>
    </xf>
    <xf numFmtId="43" fontId="4" fillId="4" borderId="3" xfId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3" fontId="5" fillId="5" borderId="4" xfId="1" applyFont="1" applyFill="1" applyBorder="1" applyAlignment="1">
      <alignment horizontal="left" vertical="top" wrapText="1"/>
    </xf>
    <xf numFmtId="43" fontId="5" fillId="6" borderId="4" xfId="1" applyFont="1" applyFill="1" applyBorder="1" applyAlignment="1">
      <alignment horizontal="right" vertical="top" wrapText="1"/>
    </xf>
    <xf numFmtId="43" fontId="5" fillId="5" borderId="4" xfId="1" applyFont="1" applyFill="1" applyBorder="1" applyAlignment="1">
      <alignment horizontal="right" vertical="top" wrapText="1"/>
    </xf>
    <xf numFmtId="0" fontId="6" fillId="2" borderId="5" xfId="0" applyFont="1" applyFill="1" applyBorder="1" applyAlignment="1">
      <alignment horizontal="justify" vertical="center" wrapText="1"/>
    </xf>
    <xf numFmtId="43" fontId="5" fillId="6" borderId="4" xfId="1" applyFont="1" applyFill="1" applyBorder="1" applyAlignment="1">
      <alignment horizontal="left" vertical="top" wrapText="1"/>
    </xf>
    <xf numFmtId="43" fontId="5" fillId="0" borderId="4" xfId="1" applyFont="1" applyFill="1" applyBorder="1" applyAlignment="1">
      <alignment horizontal="right" vertical="top" wrapText="1"/>
    </xf>
    <xf numFmtId="0" fontId="6" fillId="0" borderId="5" xfId="0" applyFont="1" applyFill="1" applyBorder="1" applyAlignment="1">
      <alignment horizontal="justify" vertical="center" wrapText="1"/>
    </xf>
    <xf numFmtId="43" fontId="5" fillId="6" borderId="4" xfId="1" applyFont="1" applyFill="1" applyBorder="1" applyAlignment="1">
      <alignment horizontal="center" vertical="top" wrapText="1"/>
    </xf>
    <xf numFmtId="43" fontId="5" fillId="5" borderId="4" xfId="1" applyFont="1" applyFill="1" applyBorder="1" applyAlignment="1">
      <alignment horizontal="center" vertical="top" wrapText="1"/>
    </xf>
    <xf numFmtId="0" fontId="3" fillId="7" borderId="6" xfId="0" applyFont="1" applyFill="1" applyBorder="1"/>
    <xf numFmtId="43" fontId="7" fillId="7" borderId="4" xfId="1" applyFont="1" applyFill="1" applyBorder="1" applyAlignment="1">
      <alignment horizontal="right" vertical="center" wrapText="1"/>
    </xf>
    <xf numFmtId="0" fontId="3" fillId="7" borderId="5" xfId="0" applyFont="1" applyFill="1" applyBorder="1"/>
    <xf numFmtId="0" fontId="3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43" fontId="0" fillId="0" borderId="7" xfId="0" applyNumberFormat="1" applyFill="1" applyBorder="1" applyAlignment="1">
      <alignment vertical="center"/>
    </xf>
    <xf numFmtId="10" fontId="0" fillId="0" borderId="7" xfId="3" applyNumberFormat="1" applyBorder="1">
      <alignment vertical="center"/>
    </xf>
    <xf numFmtId="43" fontId="0" fillId="0" borderId="8" xfId="0" applyNumberFormat="1" applyBorder="1" applyAlignment="1">
      <alignment horizontal="left" vertical="center"/>
    </xf>
    <xf numFmtId="43" fontId="0" fillId="0" borderId="8" xfId="0" applyNumberFormat="1" applyBorder="1" applyAlignment="1">
      <alignment horizontal="center" vertical="center"/>
    </xf>
    <xf numFmtId="43" fontId="0" fillId="0" borderId="7" xfId="0" applyNumberFormat="1" applyBorder="1" applyAlignment="1">
      <alignment vertical="center"/>
    </xf>
    <xf numFmtId="10" fontId="0" fillId="0" borderId="7" xfId="3" applyNumberFormat="1" applyBorder="1" applyAlignment="1">
      <alignment horizontal="center" vertical="center"/>
    </xf>
    <xf numFmtId="43" fontId="0" fillId="0" borderId="7" xfId="0" applyNumberFormat="1" applyBorder="1" applyAlignment="1">
      <alignment horizontal="center" vertical="center"/>
    </xf>
    <xf numFmtId="43" fontId="0" fillId="0" borderId="7" xfId="0" applyNumberFormat="1" applyBorder="1" applyAlignment="1">
      <alignment horizontal="left" vertical="center"/>
    </xf>
    <xf numFmtId="43" fontId="3" fillId="0" borderId="9" xfId="0" applyNumberFormat="1" applyFont="1" applyBorder="1" applyAlignment="1">
      <alignment horizontal="center" vertical="center"/>
    </xf>
    <xf numFmtId="43" fontId="3" fillId="0" borderId="10" xfId="0" applyNumberFormat="1" applyFont="1" applyBorder="1" applyAlignment="1">
      <alignment horizontal="center" vertical="center"/>
    </xf>
    <xf numFmtId="43" fontId="0" fillId="0" borderId="7" xfId="0" applyNumberFormat="1" applyBorder="1" applyAlignment="1">
      <alignment horizontal="center"/>
    </xf>
    <xf numFmtId="10" fontId="0" fillId="0" borderId="7" xfId="3" applyNumberFormat="1" applyBorder="1" applyAlignment="1">
      <alignment horizontal="center"/>
    </xf>
    <xf numFmtId="43" fontId="0" fillId="0" borderId="7" xfId="0" applyNumberFormat="1" applyBorder="1"/>
    <xf numFmtId="0" fontId="8" fillId="0" borderId="11" xfId="0" applyFont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2" fillId="3" borderId="11" xfId="6" applyFont="1" applyFill="1" applyBorder="1" applyAlignment="1">
      <alignment horizontal="center" vertical="center"/>
    </xf>
    <xf numFmtId="0" fontId="0" fillId="0" borderId="12" xfId="0" applyBorder="1"/>
    <xf numFmtId="43" fontId="0" fillId="0" borderId="12" xfId="0" applyNumberFormat="1" applyBorder="1"/>
    <xf numFmtId="10" fontId="0" fillId="0" borderId="12" xfId="3" applyNumberFormat="1" applyBorder="1" applyAlignment="1"/>
    <xf numFmtId="0" fontId="0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0" fillId="0" borderId="0" xfId="0" applyAlignment="1">
      <alignment vertical="center"/>
    </xf>
    <xf numFmtId="176" fontId="0" fillId="8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Alignment="1">
      <alignment horizontal="center" vertical="center"/>
    </xf>
    <xf numFmtId="176" fontId="8" fillId="8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8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76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0" fillId="9" borderId="5" xfId="0" applyFont="1" applyFill="1" applyBorder="1" applyAlignment="1">
      <alignment vertical="center"/>
    </xf>
    <xf numFmtId="176" fontId="0" fillId="8" borderId="5" xfId="0" applyNumberFormat="1" applyFill="1" applyBorder="1" applyAlignment="1">
      <alignment vertical="center"/>
    </xf>
    <xf numFmtId="43" fontId="0" fillId="8" borderId="13" xfId="1" applyFont="1" applyFill="1" applyBorder="1">
      <alignment vertical="center"/>
    </xf>
    <xf numFmtId="43" fontId="0" fillId="8" borderId="5" xfId="1" applyFont="1" applyFill="1" applyBorder="1">
      <alignment vertical="center"/>
    </xf>
    <xf numFmtId="43" fontId="0" fillId="8" borderId="5" xfId="0" applyNumberFormat="1" applyFill="1" applyBorder="1" applyAlignment="1">
      <alignment vertical="center"/>
    </xf>
    <xf numFmtId="10" fontId="0" fillId="8" borderId="5" xfId="0" applyNumberFormat="1" applyFill="1" applyBorder="1" applyAlignment="1">
      <alignment vertical="center"/>
    </xf>
    <xf numFmtId="43" fontId="11" fillId="8" borderId="13" xfId="1" applyFont="1" applyFill="1" applyBorder="1">
      <alignment vertical="center"/>
    </xf>
    <xf numFmtId="0" fontId="0" fillId="9" borderId="5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176" fontId="0" fillId="8" borderId="5" xfId="0" applyNumberFormat="1" applyFill="1" applyBorder="1" applyAlignment="1">
      <alignment horizontal="right" vertical="center"/>
    </xf>
    <xf numFmtId="0" fontId="0" fillId="8" borderId="5" xfId="0" applyFont="1" applyFill="1" applyBorder="1" applyAlignment="1">
      <alignment vertical="center"/>
    </xf>
    <xf numFmtId="0" fontId="12" fillId="10" borderId="5" xfId="0" applyFont="1" applyFill="1" applyBorder="1" applyAlignment="1">
      <alignment horizontal="center" vertical="center"/>
    </xf>
    <xf numFmtId="176" fontId="3" fillId="8" borderId="5" xfId="0" applyNumberFormat="1" applyFont="1" applyFill="1" applyBorder="1" applyAlignment="1">
      <alignment vertical="center"/>
    </xf>
    <xf numFmtId="177" fontId="3" fillId="10" borderId="5" xfId="0" applyNumberFormat="1" applyFont="1" applyFill="1" applyBorder="1" applyAlignment="1">
      <alignment vertical="center"/>
    </xf>
    <xf numFmtId="176" fontId="3" fillId="10" borderId="5" xfId="0" applyNumberFormat="1" applyFont="1" applyFill="1" applyBorder="1" applyAlignment="1">
      <alignment vertical="center"/>
    </xf>
    <xf numFmtId="177" fontId="3" fillId="8" borderId="5" xfId="0" applyNumberFormat="1" applyFont="1" applyFill="1" applyBorder="1" applyAlignment="1">
      <alignment vertical="center"/>
    </xf>
    <xf numFmtId="10" fontId="3" fillId="8" borderId="5" xfId="0" applyNumberFormat="1" applyFont="1" applyFill="1" applyBorder="1" applyAlignment="1">
      <alignment vertical="center"/>
    </xf>
    <xf numFmtId="0" fontId="0" fillId="0" borderId="0" xfId="0" applyFill="1"/>
    <xf numFmtId="0" fontId="0" fillId="8" borderId="0" xfId="0" applyFill="1"/>
    <xf numFmtId="43" fontId="5" fillId="0" borderId="4" xfId="1" applyFont="1" applyFill="1" applyBorder="1" applyAlignment="1">
      <alignment horizontal="left" vertical="top" wrapText="1"/>
    </xf>
    <xf numFmtId="0" fontId="4" fillId="8" borderId="5" xfId="0" applyFont="1" applyFill="1" applyBorder="1" applyAlignment="1">
      <alignment horizontal="justify" vertical="center" wrapText="1"/>
    </xf>
    <xf numFmtId="43" fontId="13" fillId="6" borderId="4" xfId="1" applyFont="1" applyFill="1" applyBorder="1" applyAlignment="1">
      <alignment horizontal="left" vertical="top" wrapText="1"/>
    </xf>
    <xf numFmtId="43" fontId="13" fillId="11" borderId="4" xfId="1" applyFont="1" applyFill="1" applyBorder="1" applyAlignment="1">
      <alignment horizontal="left" vertical="top" wrapText="1"/>
    </xf>
    <xf numFmtId="43" fontId="5" fillId="12" borderId="4" xfId="1" applyFont="1" applyFill="1" applyBorder="1" applyAlignment="1">
      <alignment horizontal="left" vertical="top" wrapText="1"/>
    </xf>
    <xf numFmtId="43" fontId="5" fillId="11" borderId="4" xfId="1" applyFont="1" applyFill="1" applyBorder="1" applyAlignment="1">
      <alignment horizontal="left" vertical="top" wrapText="1"/>
    </xf>
    <xf numFmtId="0" fontId="4" fillId="12" borderId="5" xfId="0" applyFont="1" applyFill="1" applyBorder="1" applyAlignment="1">
      <alignment horizontal="justify" vertical="center" wrapText="1"/>
    </xf>
    <xf numFmtId="43" fontId="13" fillId="5" borderId="4" xfId="1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justify" vertical="center" wrapText="1"/>
    </xf>
    <xf numFmtId="43" fontId="5" fillId="6" borderId="4" xfId="1" applyFont="1" applyFill="1" applyBorder="1" applyAlignment="1">
      <alignment horizontal="center" vertical="center" wrapText="1"/>
    </xf>
    <xf numFmtId="43" fontId="13" fillId="6" borderId="4" xfId="1" applyFont="1" applyFill="1" applyBorder="1" applyAlignment="1">
      <alignment horizontal="left" vertical="center" wrapText="1"/>
    </xf>
    <xf numFmtId="0" fontId="0" fillId="0" borderId="0" xfId="0" applyFont="1" applyFill="1"/>
    <xf numFmtId="0" fontId="0" fillId="0" borderId="0" xfId="0" applyFont="1"/>
    <xf numFmtId="43" fontId="0" fillId="0" borderId="0" xfId="0" applyNumberFormat="1" applyFont="1"/>
    <xf numFmtId="43" fontId="1" fillId="2" borderId="0" xfId="0" applyNumberFormat="1" applyFont="1" applyFill="1" applyAlignment="1">
      <alignment horizontal="center" vertical="center" wrapText="1"/>
    </xf>
    <xf numFmtId="0" fontId="3" fillId="0" borderId="0" xfId="0" applyFont="1" applyBorder="1" applyAlignment="1">
      <alignment horizontal="left"/>
    </xf>
    <xf numFmtId="43" fontId="3" fillId="0" borderId="0" xfId="0" applyNumberFormat="1" applyFont="1"/>
    <xf numFmtId="0" fontId="4" fillId="4" borderId="14" xfId="0" applyFont="1" applyFill="1" applyBorder="1" applyAlignment="1">
      <alignment horizontal="center" vertical="center" wrapText="1"/>
    </xf>
    <xf numFmtId="43" fontId="4" fillId="4" borderId="3" xfId="0" applyNumberFormat="1" applyFont="1" applyFill="1" applyBorder="1" applyAlignment="1">
      <alignment horizontal="center" vertical="center" wrapText="1"/>
    </xf>
    <xf numFmtId="43" fontId="5" fillId="0" borderId="15" xfId="0" applyNumberFormat="1" applyFont="1" applyFill="1" applyBorder="1" applyAlignment="1">
      <alignment horizontal="left" vertical="center" wrapText="1"/>
    </xf>
    <xf numFmtId="43" fontId="5" fillId="0" borderId="15" xfId="0" applyNumberFormat="1" applyFont="1" applyFill="1" applyBorder="1" applyAlignment="1">
      <alignment horizontal="center" vertical="center" wrapText="1"/>
    </xf>
    <xf numFmtId="0" fontId="0" fillId="0" borderId="16" xfId="0" applyFont="1" applyBorder="1"/>
    <xf numFmtId="0" fontId="0" fillId="0" borderId="16" xfId="0" applyFont="1" applyFill="1" applyBorder="1"/>
    <xf numFmtId="0" fontId="3" fillId="13" borderId="13" xfId="0" applyFont="1" applyFill="1" applyBorder="1" applyAlignment="1">
      <alignment horizontal="left"/>
    </xf>
    <xf numFmtId="0" fontId="3" fillId="13" borderId="17" xfId="0" applyFont="1" applyFill="1" applyBorder="1" applyAlignment="1">
      <alignment horizontal="center"/>
    </xf>
    <xf numFmtId="43" fontId="3" fillId="13" borderId="15" xfId="1" applyNumberFormat="1" applyFont="1" applyFill="1" applyBorder="1" applyAlignment="1">
      <alignment horizontal="right"/>
    </xf>
    <xf numFmtId="0" fontId="4" fillId="13" borderId="16" xfId="0" applyFont="1" applyFill="1" applyBorder="1" applyAlignment="1">
      <alignment horizontal="justify" vertical="center" wrapText="1"/>
    </xf>
    <xf numFmtId="43" fontId="2" fillId="3" borderId="0" xfId="6" applyNumberFormat="1" applyFont="1" applyFill="1" applyAlignment="1">
      <alignment horizontal="center" vertical="center"/>
    </xf>
    <xf numFmtId="43" fontId="3" fillId="0" borderId="0" xfId="0" applyNumberFormat="1" applyFont="1" applyAlignment="1">
      <alignment horizontal="right"/>
    </xf>
    <xf numFmtId="0" fontId="4" fillId="4" borderId="15" xfId="0" applyFont="1" applyFill="1" applyBorder="1" applyAlignment="1">
      <alignment horizontal="center" vertical="center" wrapText="1"/>
    </xf>
    <xf numFmtId="43" fontId="4" fillId="4" borderId="15" xfId="0" applyNumberFormat="1" applyFont="1" applyFill="1" applyBorder="1" applyAlignment="1">
      <alignment horizontal="center" vertical="center" wrapText="1"/>
    </xf>
    <xf numFmtId="0" fontId="14" fillId="0" borderId="18" xfId="0" applyNumberFormat="1" applyFont="1" applyFill="1" applyBorder="1" applyAlignment="1">
      <alignment horizontal="justify" vertical="top" wrapText="1"/>
    </xf>
    <xf numFmtId="43" fontId="14" fillId="0" borderId="18" xfId="0" applyNumberFormat="1" applyFont="1" applyFill="1" applyBorder="1" applyAlignment="1">
      <alignment horizontal="left" vertical="top" wrapText="1"/>
    </xf>
    <xf numFmtId="0" fontId="15" fillId="13" borderId="15" xfId="0" applyFont="1" applyFill="1" applyBorder="1" applyAlignment="1">
      <alignment horizontal="justify" vertical="center" wrapText="1"/>
    </xf>
    <xf numFmtId="43" fontId="15" fillId="13" borderId="15" xfId="0" applyNumberFormat="1" applyFont="1" applyFill="1" applyBorder="1" applyAlignment="1">
      <alignment horizontal="justify" vertical="center" wrapText="1"/>
    </xf>
    <xf numFmtId="43" fontId="16" fillId="13" borderId="15" xfId="1" applyNumberFormat="1" applyFont="1" applyFill="1" applyBorder="1" applyAlignment="1">
      <alignment horizontal="left" vertical="center" wrapText="1"/>
    </xf>
    <xf numFmtId="43" fontId="16" fillId="13" borderId="15" xfId="1" applyNumberFormat="1" applyFont="1" applyFill="1" applyBorder="1" applyAlignment="1">
      <alignment horizontal="right" vertical="center" wrapText="1"/>
    </xf>
    <xf numFmtId="43" fontId="0" fillId="0" borderId="0" xfId="0" applyNumberFormat="1"/>
    <xf numFmtId="176" fontId="14" fillId="0" borderId="18" xfId="0" applyNumberFormat="1" applyFont="1" applyFill="1" applyBorder="1" applyAlignment="1">
      <alignment horizontal="justify" vertical="top" wrapText="1"/>
    </xf>
    <xf numFmtId="0" fontId="17" fillId="13" borderId="15" xfId="0" applyFont="1" applyFill="1" applyBorder="1" applyAlignment="1">
      <alignment horizontal="justify" vertical="center" wrapText="1"/>
    </xf>
    <xf numFmtId="176" fontId="7" fillId="13" borderId="15" xfId="1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19" fillId="0" borderId="0" xfId="0" applyFont="1"/>
    <xf numFmtId="0" fontId="19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21" fillId="0" borderId="19" xfId="0" applyFont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178" fontId="21" fillId="0" borderId="19" xfId="1" applyNumberFormat="1" applyFont="1" applyBorder="1">
      <alignment vertical="center"/>
    </xf>
    <xf numFmtId="178" fontId="21" fillId="0" borderId="19" xfId="0" applyNumberFormat="1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19" fillId="0" borderId="19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vertical="center"/>
    </xf>
    <xf numFmtId="0" fontId="21" fillId="0" borderId="19" xfId="0" applyFont="1" applyFill="1" applyBorder="1" applyAlignment="1">
      <alignment horizontal="center" vertical="center"/>
    </xf>
    <xf numFmtId="178" fontId="21" fillId="0" borderId="19" xfId="1" applyNumberFormat="1" applyFont="1" applyFill="1" applyBorder="1">
      <alignment vertical="center"/>
    </xf>
    <xf numFmtId="178" fontId="21" fillId="0" borderId="19" xfId="0" applyNumberFormat="1" applyFont="1" applyFill="1" applyBorder="1" applyAlignment="1">
      <alignment vertical="center"/>
    </xf>
    <xf numFmtId="0" fontId="22" fillId="0" borderId="19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8" fontId="22" fillId="0" borderId="0" xfId="0" applyNumberFormat="1" applyFont="1" applyAlignment="1">
      <alignment vertical="center"/>
    </xf>
    <xf numFmtId="0" fontId="22" fillId="0" borderId="0" xfId="0" applyFont="1" applyAlignment="1">
      <alignment horizontal="left" vertical="center"/>
    </xf>
    <xf numFmtId="178" fontId="0" fillId="0" borderId="0" xfId="0" applyNumberFormat="1"/>
    <xf numFmtId="0" fontId="23" fillId="0" borderId="0" xfId="0" applyFont="1" applyAlignment="1">
      <alignment horizontal="center"/>
    </xf>
    <xf numFmtId="0" fontId="12" fillId="0" borderId="0" xfId="0" applyFont="1"/>
    <xf numFmtId="0" fontId="8" fillId="4" borderId="19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/>
    </xf>
    <xf numFmtId="0" fontId="24" fillId="0" borderId="19" xfId="0" applyFont="1" applyBorder="1" applyAlignment="1">
      <alignment vertical="center"/>
    </xf>
    <xf numFmtId="43" fontId="0" fillId="0" borderId="19" xfId="1" applyFont="1" applyBorder="1" applyAlignment="1"/>
    <xf numFmtId="43" fontId="11" fillId="0" borderId="19" xfId="1" applyFont="1" applyFill="1" applyBorder="1" applyAlignment="1"/>
    <xf numFmtId="10" fontId="0" fillId="0" borderId="19" xfId="3" applyNumberFormat="1" applyFont="1" applyBorder="1" applyAlignment="1"/>
    <xf numFmtId="43" fontId="11" fillId="0" borderId="19" xfId="1" applyNumberFormat="1" applyFont="1" applyFill="1" applyBorder="1" applyAlignment="1"/>
    <xf numFmtId="43" fontId="0" fillId="8" borderId="19" xfId="1" applyFont="1" applyFill="1" applyBorder="1" applyAlignment="1"/>
    <xf numFmtId="179" fontId="0" fillId="0" borderId="19" xfId="1" applyNumberFormat="1" applyFont="1" applyBorder="1" applyAlignment="1"/>
    <xf numFmtId="0" fontId="8" fillId="13" borderId="19" xfId="0" applyFont="1" applyFill="1" applyBorder="1" applyAlignment="1">
      <alignment horizontal="center"/>
    </xf>
    <xf numFmtId="43" fontId="3" fillId="13" borderId="19" xfId="1" applyFont="1" applyFill="1" applyBorder="1" applyAlignment="1"/>
    <xf numFmtId="0" fontId="8" fillId="0" borderId="20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24" fillId="0" borderId="19" xfId="0" applyFont="1" applyBorder="1" applyAlignment="1">
      <alignment horizontal="left" vertical="center" indent="1"/>
    </xf>
    <xf numFmtId="0" fontId="0" fillId="0" borderId="19" xfId="0" applyBorder="1"/>
    <xf numFmtId="0" fontId="3" fillId="13" borderId="19" xfId="0" applyFont="1" applyFill="1" applyBorder="1"/>
    <xf numFmtId="43" fontId="0" fillId="0" borderId="19" xfId="0" applyNumberFormat="1" applyBorder="1"/>
    <xf numFmtId="10" fontId="0" fillId="0" borderId="19" xfId="3" applyNumberFormat="1" applyBorder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176" fontId="8" fillId="4" borderId="19" xfId="0" applyNumberFormat="1" applyFont="1" applyFill="1" applyBorder="1" applyAlignment="1">
      <alignment horizontal="center" vertical="center"/>
    </xf>
    <xf numFmtId="43" fontId="8" fillId="4" borderId="19" xfId="0" applyNumberFormat="1" applyFont="1" applyFill="1" applyBorder="1" applyAlignment="1">
      <alignment horizontal="center" vertical="center"/>
    </xf>
    <xf numFmtId="0" fontId="8" fillId="14" borderId="19" xfId="0" applyFont="1" applyFill="1" applyBorder="1"/>
    <xf numFmtId="180" fontId="3" fillId="14" borderId="19" xfId="1" applyNumberFormat="1" applyFont="1" applyFill="1" applyBorder="1" applyAlignment="1"/>
    <xf numFmtId="10" fontId="0" fillId="0" borderId="0" xfId="3" applyNumberFormat="1" applyAlignment="1"/>
    <xf numFmtId="0" fontId="8" fillId="0" borderId="19" xfId="0" applyFont="1" applyBorder="1"/>
    <xf numFmtId="180" fontId="0" fillId="0" borderId="19" xfId="1" applyNumberFormat="1" applyFont="1" applyBorder="1" applyAlignment="1"/>
    <xf numFmtId="180" fontId="11" fillId="0" borderId="19" xfId="1" applyNumberFormat="1" applyFont="1" applyBorder="1" applyAlignment="1"/>
    <xf numFmtId="180" fontId="3" fillId="13" borderId="19" xfId="1" applyNumberFormat="1" applyFont="1" applyFill="1" applyBorder="1" applyAlignment="1"/>
    <xf numFmtId="0" fontId="8" fillId="0" borderId="19" xfId="0" applyFont="1" applyFill="1" applyBorder="1"/>
    <xf numFmtId="180" fontId="3" fillId="0" borderId="19" xfId="1" applyNumberFormat="1" applyFont="1" applyFill="1" applyBorder="1" applyAlignment="1"/>
    <xf numFmtId="176" fontId="0" fillId="0" borderId="19" xfId="1" applyNumberFormat="1" applyFont="1" applyFill="1" applyBorder="1" applyAlignment="1"/>
    <xf numFmtId="176" fontId="11" fillId="0" borderId="19" xfId="1" applyNumberFormat="1" applyFont="1" applyFill="1" applyBorder="1" applyAlignment="1"/>
    <xf numFmtId="0" fontId="8" fillId="0" borderId="19" xfId="0" applyFont="1" applyFill="1" applyBorder="1" applyAlignment="1">
      <alignment horizontal="left" indent="1"/>
    </xf>
    <xf numFmtId="43" fontId="0" fillId="0" borderId="19" xfId="1" applyNumberFormat="1" applyFont="1" applyBorder="1" applyAlignment="1"/>
    <xf numFmtId="43" fontId="3" fillId="0" borderId="19" xfId="1" applyNumberFormat="1" applyFont="1" applyFill="1" applyBorder="1" applyAlignment="1"/>
    <xf numFmtId="43" fontId="11" fillId="0" borderId="19" xfId="1" applyNumberFormat="1" applyFont="1" applyBorder="1" applyAlignment="1"/>
    <xf numFmtId="0" fontId="8" fillId="0" borderId="19" xfId="0" applyFont="1" applyFill="1" applyBorder="1" applyAlignment="1">
      <alignment horizontal="left"/>
    </xf>
    <xf numFmtId="0" fontId="3" fillId="0" borderId="7" xfId="0" applyFont="1" applyFill="1" applyBorder="1" applyAlignment="1">
      <alignment vertical="center"/>
    </xf>
    <xf numFmtId="0" fontId="0" fillId="0" borderId="7" xfId="0" applyFill="1" applyBorder="1" applyAlignment="1">
      <alignment vertical="center"/>
    </xf>
    <xf numFmtId="43" fontId="3" fillId="0" borderId="7" xfId="0" applyNumberFormat="1" applyFont="1" applyFill="1" applyBorder="1" applyAlignment="1">
      <alignment vertical="center"/>
    </xf>
    <xf numFmtId="0" fontId="0" fillId="0" borderId="7" xfId="0" applyFill="1" applyBorder="1" applyAlignment="1">
      <alignment horizontal="left" vertical="center" indent="7"/>
    </xf>
    <xf numFmtId="43" fontId="0" fillId="0" borderId="7" xfId="0" applyNumberFormat="1" applyFont="1" applyFill="1" applyBorder="1" applyAlignment="1">
      <alignment vertical="center"/>
    </xf>
    <xf numFmtId="0" fontId="3" fillId="0" borderId="7" xfId="0" applyFont="1" applyBorder="1"/>
    <xf numFmtId="43" fontId="3" fillId="15" borderId="7" xfId="0" applyNumberFormat="1" applyFont="1" applyFill="1" applyBorder="1"/>
    <xf numFmtId="43" fontId="0" fillId="15" borderId="7" xfId="0" applyNumberFormat="1" applyFill="1" applyBorder="1"/>
    <xf numFmtId="0" fontId="0" fillId="0" borderId="7" xfId="0" applyBorder="1"/>
    <xf numFmtId="14" fontId="12" fillId="0" borderId="0" xfId="0" applyNumberFormat="1" applyFont="1"/>
    <xf numFmtId="0" fontId="8" fillId="4" borderId="19" xfId="0" applyFont="1" applyFill="1" applyBorder="1" applyAlignment="1">
      <alignment horizontal="center" vertical="center" wrapText="1"/>
    </xf>
    <xf numFmtId="43" fontId="3" fillId="7" borderId="19" xfId="1" applyFont="1" applyFill="1" applyBorder="1" applyAlignment="1"/>
    <xf numFmtId="180" fontId="0" fillId="0" borderId="19" xfId="1" applyNumberFormat="1" applyFont="1" applyFill="1" applyBorder="1" applyAlignment="1"/>
    <xf numFmtId="43" fontId="0" fillId="0" borderId="19" xfId="1" applyNumberFormat="1" applyFont="1" applyFill="1" applyBorder="1" applyAlignment="1"/>
    <xf numFmtId="43" fontId="0" fillId="0" borderId="19" xfId="1" applyFont="1" applyFill="1" applyBorder="1" applyAlignment="1"/>
    <xf numFmtId="0" fontId="2" fillId="8" borderId="0" xfId="6" applyFont="1" applyFill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right" vertical="center" wrapText="1"/>
    </xf>
    <xf numFmtId="0" fontId="12" fillId="0" borderId="23" xfId="0" applyFont="1" applyBorder="1" applyAlignment="1">
      <alignment vertical="center" wrapText="1"/>
    </xf>
    <xf numFmtId="0" fontId="8" fillId="16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/>
    </xf>
    <xf numFmtId="181" fontId="0" fillId="0" borderId="19" xfId="1" applyNumberFormat="1" applyFont="1" applyBorder="1" applyAlignment="1"/>
    <xf numFmtId="0" fontId="0" fillId="0" borderId="0" xfId="0" applyAlignment="1">
      <alignment wrapText="1"/>
    </xf>
    <xf numFmtId="43" fontId="23" fillId="0" borderId="0" xfId="0" applyNumberFormat="1" applyFont="1" applyAlignment="1">
      <alignment horizontal="center"/>
    </xf>
    <xf numFmtId="43" fontId="3" fillId="0" borderId="23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43" fontId="8" fillId="16" borderId="19" xfId="0" applyNumberFormat="1" applyFont="1" applyFill="1" applyBorder="1" applyAlignment="1">
      <alignment horizontal="center" vertical="center" wrapText="1"/>
    </xf>
    <xf numFmtId="43" fontId="8" fillId="16" borderId="24" xfId="0" applyNumberFormat="1" applyFont="1" applyFill="1" applyBorder="1" applyAlignment="1">
      <alignment horizontal="center" vertical="center" wrapText="1"/>
    </xf>
    <xf numFmtId="43" fontId="0" fillId="0" borderId="19" xfId="1" applyNumberFormat="1" applyFont="1" applyBorder="1" applyAlignment="1">
      <alignment horizontal="center" vertical="center"/>
    </xf>
    <xf numFmtId="10" fontId="0" fillId="0" borderId="22" xfId="3" applyNumberFormat="1" applyFont="1" applyBorder="1" applyAlignment="1">
      <alignment horizontal="right" vertical="center"/>
    </xf>
    <xf numFmtId="43" fontId="3" fillId="13" borderId="19" xfId="1" applyNumberFormat="1" applyFont="1" applyFill="1" applyBorder="1" applyAlignment="1"/>
    <xf numFmtId="43" fontId="0" fillId="0" borderId="25" xfId="0" applyNumberFormat="1" applyBorder="1"/>
    <xf numFmtId="10" fontId="0" fillId="0" borderId="19" xfId="3" applyNumberFormat="1" applyFont="1" applyBorder="1" applyAlignment="1">
      <alignment horizontal="right"/>
    </xf>
    <xf numFmtId="0" fontId="8" fillId="15" borderId="19" xfId="0" applyFont="1" applyFill="1" applyBorder="1"/>
    <xf numFmtId="43" fontId="0" fillId="15" borderId="19" xfId="1" applyNumberFormat="1" applyFont="1" applyFill="1" applyBorder="1" applyAlignment="1"/>
    <xf numFmtId="43" fontId="3" fillId="0" borderId="24" xfId="0" applyNumberFormat="1" applyFont="1" applyFill="1" applyBorder="1" applyAlignment="1">
      <alignment horizontal="center" vertical="center"/>
    </xf>
    <xf numFmtId="10" fontId="0" fillId="0" borderId="19" xfId="3" applyNumberFormat="1" applyFont="1" applyBorder="1" applyAlignment="1">
      <alignment horizontal="right" vertical="center"/>
    </xf>
    <xf numFmtId="0" fontId="8" fillId="17" borderId="19" xfId="0" applyFont="1" applyFill="1" applyBorder="1"/>
    <xf numFmtId="43" fontId="3" fillId="0" borderId="26" xfId="0" applyNumberFormat="1" applyFont="1" applyFill="1" applyBorder="1" applyAlignment="1">
      <alignment horizontal="center" vertical="center"/>
    </xf>
    <xf numFmtId="43" fontId="3" fillId="0" borderId="25" xfId="0" applyNumberFormat="1" applyFont="1" applyFill="1" applyBorder="1" applyAlignment="1">
      <alignment horizontal="center" vertical="center"/>
    </xf>
    <xf numFmtId="0" fontId="8" fillId="18" borderId="19" xfId="0" applyFont="1" applyFill="1" applyBorder="1"/>
    <xf numFmtId="43" fontId="3" fillId="0" borderId="19" xfId="0" applyNumberFormat="1" applyFont="1" applyFill="1" applyBorder="1"/>
    <xf numFmtId="0" fontId="25" fillId="0" borderId="19" xfId="0" applyFont="1" applyBorder="1" applyAlignment="1">
      <alignment horizontal="right"/>
    </xf>
    <xf numFmtId="43" fontId="3" fillId="13" borderId="19" xfId="1" applyNumberFormat="1" applyFont="1" applyFill="1" applyBorder="1" applyAlignment="1">
      <alignment horizontal="center" vertical="center"/>
    </xf>
    <xf numFmtId="0" fontId="26" fillId="0" borderId="19" xfId="0" applyFont="1" applyBorder="1" applyAlignment="1">
      <alignment horizontal="right"/>
    </xf>
    <xf numFmtId="43" fontId="3" fillId="0" borderId="19" xfId="0" applyNumberFormat="1" applyFont="1" applyBorder="1"/>
    <xf numFmtId="182" fontId="0" fillId="0" borderId="0" xfId="0" applyNumberFormat="1" applyFont="1" applyAlignment="1">
      <alignment vertical="center"/>
    </xf>
    <xf numFmtId="176" fontId="0" fillId="0" borderId="0" xfId="0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176" fontId="2" fillId="3" borderId="0" xfId="6" applyNumberFormat="1" applyFont="1" applyFill="1" applyAlignment="1">
      <alignment horizontal="center" vertical="center"/>
    </xf>
    <xf numFmtId="0" fontId="12" fillId="0" borderId="23" xfId="0" applyFont="1" applyBorder="1" applyAlignment="1">
      <alignment horizontal="left" vertical="center"/>
    </xf>
    <xf numFmtId="0" fontId="12" fillId="0" borderId="23" xfId="0" applyFont="1" applyBorder="1" applyAlignment="1">
      <alignment vertical="center"/>
    </xf>
    <xf numFmtId="14" fontId="12" fillId="0" borderId="23" xfId="0" applyNumberFormat="1" applyFont="1" applyBorder="1" applyAlignment="1">
      <alignment horizontal="left" vertical="center"/>
    </xf>
    <xf numFmtId="176" fontId="12" fillId="0" borderId="23" xfId="0" applyNumberFormat="1" applyFont="1" applyBorder="1" applyAlignment="1">
      <alignment vertical="center"/>
    </xf>
    <xf numFmtId="183" fontId="12" fillId="4" borderId="19" xfId="0" applyNumberFormat="1" applyFont="1" applyFill="1" applyBorder="1" applyAlignment="1">
      <alignment horizontal="center" vertical="center" wrapText="1"/>
    </xf>
    <xf numFmtId="183" fontId="27" fillId="4" borderId="19" xfId="0" applyNumberFormat="1" applyFont="1" applyFill="1" applyBorder="1" applyAlignment="1">
      <alignment horizontal="center" vertical="center" wrapText="1"/>
    </xf>
    <xf numFmtId="176" fontId="27" fillId="4" borderId="19" xfId="0" applyNumberFormat="1" applyFont="1" applyFill="1" applyBorder="1" applyAlignment="1">
      <alignment horizontal="center" vertical="center" wrapText="1"/>
    </xf>
    <xf numFmtId="183" fontId="27" fillId="0" borderId="24" xfId="0" applyNumberFormat="1" applyFont="1" applyBorder="1" applyAlignment="1">
      <alignment horizontal="center" vertical="center" wrapText="1"/>
    </xf>
    <xf numFmtId="183" fontId="27" fillId="2" borderId="19" xfId="0" applyNumberFormat="1" applyFont="1" applyFill="1" applyBorder="1" applyAlignment="1">
      <alignment horizontal="center" vertical="center" wrapText="1"/>
    </xf>
    <xf numFmtId="43" fontId="28" fillId="2" borderId="19" xfId="1" applyFont="1" applyFill="1" applyBorder="1" applyAlignment="1">
      <alignment horizontal="center" vertical="center" wrapText="1"/>
    </xf>
    <xf numFmtId="176" fontId="27" fillId="2" borderId="19" xfId="1" applyNumberFormat="1" applyFont="1" applyFill="1" applyBorder="1" applyAlignment="1">
      <alignment horizontal="right" vertical="center" wrapText="1"/>
    </xf>
    <xf numFmtId="10" fontId="27" fillId="2" borderId="19" xfId="3" applyNumberFormat="1" applyFont="1" applyFill="1" applyBorder="1" applyAlignment="1">
      <alignment horizontal="right" vertical="center" wrapText="1"/>
    </xf>
    <xf numFmtId="183" fontId="27" fillId="0" borderId="26" xfId="0" applyNumberFormat="1" applyFont="1" applyBorder="1" applyAlignment="1">
      <alignment horizontal="center" vertical="center" wrapText="1"/>
    </xf>
    <xf numFmtId="183" fontId="27" fillId="0" borderId="25" xfId="0" applyNumberFormat="1" applyFont="1" applyBorder="1" applyAlignment="1">
      <alignment horizontal="center" vertical="center" wrapText="1"/>
    </xf>
    <xf numFmtId="183" fontId="27" fillId="3" borderId="19" xfId="0" applyNumberFormat="1" applyFont="1" applyFill="1" applyBorder="1" applyAlignment="1">
      <alignment horizontal="center" vertical="center" wrapText="1"/>
    </xf>
    <xf numFmtId="43" fontId="27" fillId="3" borderId="19" xfId="1" applyFont="1" applyFill="1" applyBorder="1" applyAlignment="1">
      <alignment horizontal="center" vertical="center" wrapText="1"/>
    </xf>
    <xf numFmtId="176" fontId="27" fillId="3" borderId="19" xfId="1" applyNumberFormat="1" applyFont="1" applyFill="1" applyBorder="1" applyAlignment="1">
      <alignment horizontal="right" vertical="center" wrapText="1"/>
    </xf>
    <xf numFmtId="183" fontId="27" fillId="3" borderId="20" xfId="0" applyNumberFormat="1" applyFont="1" applyFill="1" applyBorder="1" applyAlignment="1">
      <alignment horizontal="center" vertical="center" wrapText="1"/>
    </xf>
    <xf numFmtId="183" fontId="27" fillId="3" borderId="22" xfId="0" applyNumberFormat="1" applyFont="1" applyFill="1" applyBorder="1" applyAlignment="1">
      <alignment horizontal="center" vertical="center" wrapText="1"/>
    </xf>
    <xf numFmtId="43" fontId="27" fillId="3" borderId="19" xfId="1" applyFont="1" applyFill="1" applyBorder="1" applyAlignment="1">
      <alignment horizontal="right" vertical="center" wrapText="1"/>
    </xf>
    <xf numFmtId="183" fontId="27" fillId="0" borderId="19" xfId="0" applyNumberFormat="1" applyFont="1" applyBorder="1" applyAlignment="1">
      <alignment horizontal="center" vertical="center" wrapText="1"/>
    </xf>
    <xf numFmtId="183" fontId="27" fillId="8" borderId="19" xfId="0" applyNumberFormat="1" applyFont="1" applyFill="1" applyBorder="1" applyAlignment="1">
      <alignment horizontal="center" vertical="center" wrapText="1"/>
    </xf>
    <xf numFmtId="43" fontId="24" fillId="8" borderId="19" xfId="1" applyFont="1" applyFill="1" applyBorder="1" applyAlignment="1">
      <alignment horizontal="center" vertical="center"/>
    </xf>
    <xf numFmtId="43" fontId="24" fillId="8" borderId="19" xfId="1" applyFont="1" applyFill="1" applyBorder="1" applyAlignment="1">
      <alignment horizontal="right" vertical="center"/>
    </xf>
    <xf numFmtId="180" fontId="24" fillId="8" borderId="19" xfId="1" applyNumberFormat="1" applyFont="1" applyFill="1" applyBorder="1" applyAlignment="1">
      <alignment horizontal="right" vertical="center"/>
    </xf>
    <xf numFmtId="180" fontId="29" fillId="8" borderId="19" xfId="1" applyNumberFormat="1" applyFont="1" applyFill="1" applyBorder="1" applyAlignment="1">
      <alignment horizontal="right" vertical="center"/>
    </xf>
    <xf numFmtId="176" fontId="27" fillId="0" borderId="19" xfId="1" applyNumberFormat="1" applyFont="1" applyFill="1" applyBorder="1" applyAlignment="1">
      <alignment horizontal="right" vertical="center" wrapText="1"/>
    </xf>
    <xf numFmtId="180" fontId="28" fillId="2" borderId="19" xfId="1" applyNumberFormat="1" applyFont="1" applyFill="1" applyBorder="1" applyAlignment="1">
      <alignment horizontal="right" vertical="center" wrapText="1"/>
    </xf>
    <xf numFmtId="180" fontId="29" fillId="2" borderId="19" xfId="1" applyNumberFormat="1" applyFont="1" applyFill="1" applyBorder="1" applyAlignment="1">
      <alignment horizontal="right" vertical="center" wrapText="1"/>
    </xf>
    <xf numFmtId="176" fontId="27" fillId="0" borderId="19" xfId="1" applyNumberFormat="1" applyFont="1" applyBorder="1" applyAlignment="1">
      <alignment horizontal="right" vertical="center" wrapText="1"/>
    </xf>
    <xf numFmtId="43" fontId="28" fillId="0" borderId="19" xfId="1" applyFont="1" applyFill="1" applyBorder="1" applyAlignment="1">
      <alignment horizontal="center" vertical="center" wrapText="1"/>
    </xf>
    <xf numFmtId="183" fontId="27" fillId="2" borderId="19" xfId="1" applyNumberFormat="1" applyFont="1" applyFill="1" applyBorder="1" applyAlignment="1">
      <alignment horizontal="center" vertical="center" wrapText="1"/>
    </xf>
    <xf numFmtId="43" fontId="28" fillId="8" borderId="19" xfId="1" applyFont="1" applyFill="1" applyBorder="1" applyAlignment="1">
      <alignment horizontal="center" vertical="center" wrapText="1"/>
    </xf>
    <xf numFmtId="43" fontId="0" fillId="8" borderId="19" xfId="1" applyNumberFormat="1" applyFont="1" applyFill="1" applyBorder="1" applyAlignment="1"/>
    <xf numFmtId="10" fontId="0" fillId="0" borderId="0" xfId="3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182" fontId="0" fillId="0" borderId="0" xfId="0" applyNumberFormat="1" applyAlignment="1">
      <alignment vertical="center"/>
    </xf>
    <xf numFmtId="10" fontId="25" fillId="0" borderId="0" xfId="3" applyNumberFormat="1" applyFont="1" applyAlignment="1">
      <alignment vertical="center"/>
    </xf>
    <xf numFmtId="14" fontId="12" fillId="0" borderId="23" xfId="0" applyNumberFormat="1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82" fontId="12" fillId="0" borderId="5" xfId="0" applyNumberFormat="1" applyFont="1" applyBorder="1" applyAlignment="1">
      <alignment horizontal="center"/>
    </xf>
    <xf numFmtId="182" fontId="12" fillId="0" borderId="5" xfId="0" applyNumberFormat="1" applyFont="1" applyBorder="1" applyAlignment="1">
      <alignment horizontal="center" vertical="center"/>
    </xf>
    <xf numFmtId="10" fontId="25" fillId="0" borderId="0" xfId="3" applyNumberFormat="1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82" fontId="12" fillId="0" borderId="5" xfId="0" applyNumberFormat="1" applyFont="1" applyBorder="1" applyAlignment="1">
      <alignment horizontal="right"/>
    </xf>
    <xf numFmtId="176" fontId="12" fillId="0" borderId="5" xfId="0" applyNumberFormat="1" applyFont="1" applyBorder="1" applyAlignment="1">
      <alignment horizontal="right" vertical="center"/>
    </xf>
    <xf numFmtId="182" fontId="30" fillId="0" borderId="5" xfId="0" applyNumberFormat="1" applyFont="1" applyBorder="1" applyAlignment="1">
      <alignment horizontal="center" vertical="center"/>
    </xf>
    <xf numFmtId="10" fontId="12" fillId="0" borderId="5" xfId="3" applyNumberFormat="1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8" borderId="28" xfId="0" applyFont="1" applyFill="1" applyBorder="1" applyAlignment="1">
      <alignment horizontal="center" vertical="center"/>
    </xf>
    <xf numFmtId="182" fontId="12" fillId="8" borderId="5" xfId="0" applyNumberFormat="1" applyFont="1" applyFill="1" applyBorder="1" applyAlignment="1">
      <alignment horizontal="center"/>
    </xf>
    <xf numFmtId="182" fontId="12" fillId="8" borderId="5" xfId="0" applyNumberFormat="1" applyFont="1" applyFill="1" applyBorder="1" applyAlignment="1">
      <alignment horizontal="right"/>
    </xf>
    <xf numFmtId="176" fontId="12" fillId="8" borderId="5" xfId="0" applyNumberFormat="1" applyFont="1" applyFill="1" applyBorder="1" applyAlignment="1">
      <alignment horizontal="right" vertical="center"/>
    </xf>
    <xf numFmtId="182" fontId="30" fillId="8" borderId="5" xfId="0" applyNumberFormat="1" applyFont="1" applyFill="1" applyBorder="1" applyAlignment="1">
      <alignment horizontal="center" vertical="center"/>
    </xf>
    <xf numFmtId="10" fontId="25" fillId="8" borderId="0" xfId="3" applyNumberFormat="1" applyFont="1" applyFill="1" applyAlignment="1">
      <alignment horizontal="center" vertical="center"/>
    </xf>
    <xf numFmtId="176" fontId="24" fillId="0" borderId="29" xfId="0" applyNumberFormat="1" applyFont="1" applyBorder="1"/>
    <xf numFmtId="176" fontId="24" fillId="0" borderId="29" xfId="0" applyNumberFormat="1" applyFont="1" applyBorder="1" applyAlignment="1">
      <alignment horizontal="right"/>
    </xf>
    <xf numFmtId="176" fontId="24" fillId="0" borderId="30" xfId="0" applyNumberFormat="1" applyFont="1" applyBorder="1" applyAlignment="1">
      <alignment horizontal="right"/>
    </xf>
    <xf numFmtId="176" fontId="24" fillId="0" borderId="30" xfId="0" applyNumberFormat="1" applyFont="1" applyBorder="1"/>
    <xf numFmtId="0" fontId="12" fillId="0" borderId="30" xfId="0" applyFont="1" applyBorder="1" applyAlignment="1">
      <alignment horizontal="center" vertical="center"/>
    </xf>
    <xf numFmtId="176" fontId="12" fillId="3" borderId="30" xfId="0" applyNumberFormat="1" applyFont="1" applyFill="1" applyBorder="1"/>
    <xf numFmtId="176" fontId="12" fillId="3" borderId="30" xfId="0" applyNumberFormat="1" applyFont="1" applyFill="1" applyBorder="1" applyAlignment="1">
      <alignment horizontal="right"/>
    </xf>
    <xf numFmtId="9" fontId="12" fillId="0" borderId="5" xfId="3" applyFont="1" applyBorder="1" applyAlignment="1">
      <alignment horizontal="center" vertical="center"/>
    </xf>
    <xf numFmtId="10" fontId="0" fillId="0" borderId="0" xfId="3" applyNumberFormat="1" applyAlignment="1">
      <alignment vertical="center"/>
    </xf>
    <xf numFmtId="9" fontId="0" fillId="0" borderId="0" xfId="3" applyAlignment="1">
      <alignment vertical="center"/>
    </xf>
    <xf numFmtId="0" fontId="0" fillId="8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3" fillId="0" borderId="0" xfId="0" applyFont="1" applyFill="1" applyAlignment="1">
      <alignment horizontal="center" vertical="center"/>
    </xf>
    <xf numFmtId="0" fontId="12" fillId="0" borderId="23" xfId="0" applyFont="1" applyFill="1" applyBorder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182" fontId="3" fillId="0" borderId="14" xfId="0" applyNumberFormat="1" applyFont="1" applyBorder="1" applyAlignment="1">
      <alignment horizontal="center" vertical="center"/>
    </xf>
    <xf numFmtId="43" fontId="3" fillId="8" borderId="14" xfId="0" applyNumberFormat="1" applyFont="1" applyFill="1" applyBorder="1" applyAlignment="1">
      <alignment horizontal="center"/>
    </xf>
    <xf numFmtId="176" fontId="3" fillId="8" borderId="14" xfId="0" applyNumberFormat="1" applyFont="1" applyFill="1" applyBorder="1" applyAlignment="1">
      <alignment horizontal="center"/>
    </xf>
    <xf numFmtId="176" fontId="3" fillId="0" borderId="14" xfId="0" applyNumberFormat="1" applyFont="1" applyFill="1" applyBorder="1" applyAlignment="1">
      <alignment horizontal="right" vertical="center"/>
    </xf>
    <xf numFmtId="176" fontId="3" fillId="8" borderId="14" xfId="0" applyNumberFormat="1" applyFont="1" applyFill="1" applyBorder="1" applyAlignment="1">
      <alignment horizontal="right" vertical="center"/>
    </xf>
    <xf numFmtId="10" fontId="3" fillId="8" borderId="14" xfId="3" applyNumberFormat="1" applyFont="1" applyFill="1" applyBorder="1" applyAlignment="1">
      <alignment horizontal="center" vertical="center"/>
    </xf>
    <xf numFmtId="176" fontId="3" fillId="8" borderId="14" xfId="0" applyNumberFormat="1" applyFont="1" applyFill="1" applyBorder="1" applyAlignment="1">
      <alignment horizontal="center" vertical="center"/>
    </xf>
    <xf numFmtId="43" fontId="3" fillId="8" borderId="3" xfId="0" applyNumberFormat="1" applyFont="1" applyFill="1" applyBorder="1" applyAlignment="1">
      <alignment horizontal="center"/>
    </xf>
    <xf numFmtId="43" fontId="12" fillId="8" borderId="28" xfId="0" applyNumberFormat="1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/>
    </xf>
    <xf numFmtId="176" fontId="3" fillId="8" borderId="30" xfId="0" applyNumberFormat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43" fontId="3" fillId="0" borderId="14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right" vertical="center"/>
    </xf>
    <xf numFmtId="9" fontId="3" fillId="0" borderId="14" xfId="3" applyFont="1" applyBorder="1" applyAlignment="1">
      <alignment horizontal="center" vertical="center"/>
    </xf>
    <xf numFmtId="177" fontId="0" fillId="0" borderId="0" xfId="0" applyNumberFormat="1" applyFont="1" applyAlignment="1">
      <alignment vertical="center"/>
    </xf>
    <xf numFmtId="177" fontId="0" fillId="0" borderId="0" xfId="3" applyNumberFormat="1" applyFont="1" applyAlignment="1">
      <alignment vertical="center"/>
    </xf>
    <xf numFmtId="184" fontId="0" fillId="0" borderId="0" xfId="0" applyNumberFormat="1" applyFont="1" applyAlignment="1">
      <alignment vertical="center"/>
    </xf>
    <xf numFmtId="0" fontId="31" fillId="3" borderId="0" xfId="6" applyFont="1" applyFill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182" fontId="12" fillId="0" borderId="14" xfId="0" applyNumberFormat="1" applyFont="1" applyBorder="1" applyAlignment="1">
      <alignment horizontal="center" vertical="center"/>
    </xf>
    <xf numFmtId="182" fontId="12" fillId="0" borderId="3" xfId="0" applyNumberFormat="1" applyFont="1" applyBorder="1" applyAlignment="1">
      <alignment horizontal="center" vertical="center"/>
    </xf>
    <xf numFmtId="182" fontId="12" fillId="0" borderId="33" xfId="0" applyNumberFormat="1" applyFont="1" applyBorder="1" applyAlignment="1">
      <alignment horizontal="center" vertical="center"/>
    </xf>
    <xf numFmtId="0" fontId="12" fillId="0" borderId="19" xfId="0" applyFont="1" applyBorder="1"/>
    <xf numFmtId="176" fontId="30" fillId="0" borderId="19" xfId="1" applyNumberFormat="1" applyFont="1" applyBorder="1" applyAlignment="1">
      <alignment horizontal="right"/>
    </xf>
    <xf numFmtId="176" fontId="12" fillId="3" borderId="19" xfId="1" applyNumberFormat="1" applyFont="1" applyFill="1" applyBorder="1" applyAlignment="1"/>
    <xf numFmtId="10" fontId="12" fillId="0" borderId="34" xfId="3" applyNumberFormat="1" applyFont="1" applyBorder="1" applyAlignment="1"/>
    <xf numFmtId="10" fontId="12" fillId="3" borderId="19" xfId="3" applyNumberFormat="1" applyFont="1" applyFill="1" applyBorder="1" applyAlignment="1"/>
    <xf numFmtId="0" fontId="12" fillId="0" borderId="19" xfId="0" applyFont="1" applyFill="1" applyBorder="1" applyAlignment="1"/>
    <xf numFmtId="10" fontId="30" fillId="0" borderId="19" xfId="3" applyNumberFormat="1" applyFont="1" applyBorder="1" applyAlignment="1">
      <alignment horizontal="right"/>
    </xf>
    <xf numFmtId="176" fontId="32" fillId="0" borderId="19" xfId="1" applyNumberFormat="1" applyFont="1" applyBorder="1" applyAlignment="1">
      <alignment horizontal="right"/>
    </xf>
    <xf numFmtId="176" fontId="24" fillId="0" borderId="34" xfId="0" applyNumberFormat="1" applyFont="1" applyBorder="1"/>
    <xf numFmtId="176" fontId="24" fillId="0" borderId="19" xfId="1" applyNumberFormat="1" applyFont="1" applyBorder="1" applyAlignment="1">
      <alignment horizontal="right"/>
    </xf>
    <xf numFmtId="176" fontId="24" fillId="0" borderId="19" xfId="1" applyNumberFormat="1" applyFont="1" applyBorder="1" applyAlignment="1"/>
    <xf numFmtId="176" fontId="12" fillId="0" borderId="19" xfId="1" applyNumberFormat="1" applyFont="1" applyBorder="1" applyAlignment="1"/>
    <xf numFmtId="0" fontId="12" fillId="8" borderId="19" xfId="0" applyFont="1" applyFill="1" applyBorder="1"/>
    <xf numFmtId="177" fontId="12" fillId="0" borderId="34" xfId="3" applyNumberFormat="1" applyFont="1" applyBorder="1" applyAlignment="1"/>
    <xf numFmtId="0" fontId="23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 wrapText="1"/>
    </xf>
    <xf numFmtId="0" fontId="12" fillId="0" borderId="35" xfId="0" applyFont="1" applyFill="1" applyBorder="1" applyAlignment="1">
      <alignment horizontal="center" vertical="center" wrapText="1"/>
    </xf>
    <xf numFmtId="0" fontId="33" fillId="19" borderId="7" xfId="0" applyFont="1" applyFill="1" applyBorder="1" applyAlignment="1">
      <alignment horizontal="center" vertical="center"/>
    </xf>
    <xf numFmtId="0" fontId="3" fillId="19" borderId="7" xfId="0" applyFont="1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0" xfId="0" applyFill="1" applyAlignment="1"/>
    <xf numFmtId="0" fontId="12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/>
    </xf>
    <xf numFmtId="0" fontId="34" fillId="0" borderId="19" xfId="0" applyFont="1" applyBorder="1" applyAlignment="1">
      <alignment vertical="center"/>
    </xf>
    <xf numFmtId="0" fontId="12" fillId="0" borderId="38" xfId="0" applyFont="1" applyBorder="1" applyAlignment="1">
      <alignment horizontal="left" vertical="center"/>
    </xf>
    <xf numFmtId="0" fontId="3" fillId="0" borderId="39" xfId="0" applyFont="1" applyFill="1" applyBorder="1" applyAlignment="1">
      <alignment vertical="center"/>
    </xf>
    <xf numFmtId="0" fontId="3" fillId="0" borderId="38" xfId="0" applyFont="1" applyFill="1" applyBorder="1" applyAlignment="1">
      <alignment vertical="center"/>
    </xf>
    <xf numFmtId="0" fontId="12" fillId="0" borderId="36" xfId="0" applyFont="1" applyBorder="1" applyAlignment="1">
      <alignment horizontal="left" vertical="center" wrapText="1"/>
    </xf>
    <xf numFmtId="0" fontId="12" fillId="0" borderId="37" xfId="0" applyFont="1" applyBorder="1" applyAlignment="1">
      <alignment horizontal="left" vertical="center" wrapText="1"/>
    </xf>
    <xf numFmtId="43" fontId="35" fillId="0" borderId="7" xfId="0" applyNumberFormat="1" applyFont="1" applyFill="1" applyBorder="1" applyAlignment="1">
      <alignment horizontal="center" vertical="center"/>
    </xf>
    <xf numFmtId="43" fontId="3" fillId="0" borderId="19" xfId="0" applyNumberFormat="1" applyFont="1" applyBorder="1" applyAlignment="1">
      <alignment vertical="center"/>
    </xf>
    <xf numFmtId="176" fontId="3" fillId="0" borderId="19" xfId="0" applyNumberFormat="1" applyFont="1" applyBorder="1" applyAlignment="1">
      <alignment vertical="center"/>
    </xf>
    <xf numFmtId="0" fontId="12" fillId="0" borderId="40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185" fontId="3" fillId="0" borderId="41" xfId="0" applyNumberFormat="1" applyFont="1" applyFill="1" applyBorder="1" applyAlignment="1">
      <alignment vertical="center"/>
    </xf>
    <xf numFmtId="185" fontId="3" fillId="0" borderId="19" xfId="0" applyNumberFormat="1" applyFont="1" applyBorder="1" applyAlignment="1">
      <alignment vertical="center"/>
    </xf>
    <xf numFmtId="185" fontId="12" fillId="0" borderId="19" xfId="0" applyNumberFormat="1" applyFont="1" applyBorder="1" applyAlignment="1">
      <alignment vertical="center"/>
    </xf>
    <xf numFmtId="185" fontId="3" fillId="8" borderId="19" xfId="0" applyNumberFormat="1" applyFont="1" applyFill="1" applyBorder="1" applyAlignment="1">
      <alignment vertical="center"/>
    </xf>
    <xf numFmtId="176" fontId="0" fillId="0" borderId="0" xfId="0" applyNumberFormat="1"/>
    <xf numFmtId="0" fontId="12" fillId="0" borderId="24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182" fontId="0" fillId="0" borderId="14" xfId="0" applyNumberFormat="1" applyFont="1" applyBorder="1"/>
    <xf numFmtId="43" fontId="0" fillId="0" borderId="14" xfId="1" applyFont="1" applyBorder="1" applyAlignment="1"/>
    <xf numFmtId="182" fontId="11" fillId="0" borderId="30" xfId="0" applyNumberFormat="1" applyFont="1" applyBorder="1"/>
    <xf numFmtId="182" fontId="0" fillId="4" borderId="14" xfId="0" applyNumberFormat="1" applyFont="1" applyFill="1" applyBorder="1" applyAlignment="1">
      <alignment horizontal="right"/>
    </xf>
    <xf numFmtId="182" fontId="0" fillId="4" borderId="14" xfId="0" applyNumberFormat="1" applyFont="1" applyFill="1" applyBorder="1"/>
    <xf numFmtId="182" fontId="0" fillId="4" borderId="14" xfId="0" applyNumberFormat="1" applyFill="1" applyBorder="1"/>
    <xf numFmtId="182" fontId="3" fillId="8" borderId="14" xfId="0" applyNumberFormat="1" applyFont="1" applyFill="1" applyBorder="1"/>
    <xf numFmtId="9" fontId="3" fillId="0" borderId="30" xfId="3" applyNumberFormat="1" applyFont="1" applyBorder="1" applyAlignment="1"/>
    <xf numFmtId="182" fontId="12" fillId="0" borderId="30" xfId="0" applyNumberFormat="1" applyFont="1" applyBorder="1" applyAlignment="1">
      <alignment horizontal="center" vertical="center"/>
    </xf>
    <xf numFmtId="182" fontId="12" fillId="0" borderId="42" xfId="0" applyNumberFormat="1" applyFont="1" applyBorder="1" applyAlignment="1">
      <alignment horizontal="center" vertical="center"/>
    </xf>
    <xf numFmtId="10" fontId="3" fillId="0" borderId="30" xfId="3" applyNumberFormat="1" applyFont="1" applyBorder="1" applyAlignment="1"/>
    <xf numFmtId="182" fontId="11" fillId="0" borderId="14" xfId="0" applyNumberFormat="1" applyFont="1" applyBorder="1" applyAlignment="1">
      <alignment horizontal="right"/>
    </xf>
    <xf numFmtId="182" fontId="11" fillId="8" borderId="7" xfId="0" applyNumberFormat="1" applyFont="1" applyFill="1" applyBorder="1"/>
    <xf numFmtId="10" fontId="3" fillId="0" borderId="14" xfId="3" applyNumberFormat="1" applyFont="1" applyBorder="1" applyAlignment="1"/>
    <xf numFmtId="43" fontId="3" fillId="0" borderId="14" xfId="1" applyFont="1" applyBorder="1" applyAlignment="1"/>
    <xf numFmtId="182" fontId="12" fillId="0" borderId="33" xfId="0" applyNumberFormat="1" applyFont="1" applyBorder="1" applyAlignment="1">
      <alignment vertical="center"/>
    </xf>
    <xf numFmtId="182" fontId="0" fillId="0" borderId="14" xfId="0" applyNumberFormat="1" applyFont="1" applyBorder="1" applyAlignment="1">
      <alignment horizontal="right"/>
    </xf>
    <xf numFmtId="43" fontId="3" fillId="8" borderId="14" xfId="1" applyFont="1" applyFill="1" applyBorder="1" applyAlignment="1"/>
    <xf numFmtId="182" fontId="12" fillId="0" borderId="33" xfId="0" applyNumberFormat="1" applyFont="1" applyBorder="1" applyAlignment="1">
      <alignment horizontal="right" vertical="center"/>
    </xf>
    <xf numFmtId="182" fontId="0" fillId="0" borderId="14" xfId="0" applyNumberFormat="1" applyBorder="1"/>
    <xf numFmtId="180" fontId="3" fillId="0" borderId="19" xfId="1" applyNumberFormat="1" applyFont="1" applyBorder="1" applyAlignment="1"/>
    <xf numFmtId="182" fontId="0" fillId="8" borderId="14" xfId="0" applyNumberFormat="1" applyFill="1" applyBorder="1"/>
    <xf numFmtId="186" fontId="3" fillId="0" borderId="19" xfId="0" applyNumberFormat="1" applyFont="1" applyBorder="1"/>
    <xf numFmtId="180" fontId="3" fillId="0" borderId="24" xfId="1" applyNumberFormat="1" applyFont="1" applyBorder="1" applyAlignment="1"/>
    <xf numFmtId="186" fontId="3" fillId="0" borderId="24" xfId="0" applyNumberFormat="1" applyFont="1" applyBorder="1"/>
    <xf numFmtId="180" fontId="3" fillId="0" borderId="20" xfId="1" applyNumberFormat="1" applyFont="1" applyBorder="1" applyAlignment="1"/>
    <xf numFmtId="180" fontId="3" fillId="0" borderId="7" xfId="1" applyNumberFormat="1" applyFont="1" applyBorder="1" applyAlignment="1"/>
    <xf numFmtId="0" fontId="12" fillId="0" borderId="20" xfId="0" applyFont="1" applyBorder="1" applyAlignment="1">
      <alignment horizontal="center" vertical="center"/>
    </xf>
    <xf numFmtId="0" fontId="12" fillId="0" borderId="43" xfId="0" applyFont="1" applyFill="1" applyBorder="1" applyAlignment="1">
      <alignment horizontal="center"/>
    </xf>
    <xf numFmtId="43" fontId="0" fillId="0" borderId="14" xfId="1" applyFont="1" applyBorder="1" applyAlignment="1">
      <alignment horizontal="right"/>
    </xf>
    <xf numFmtId="43" fontId="0" fillId="4" borderId="14" xfId="1" applyFont="1" applyFill="1" applyBorder="1" applyAlignment="1">
      <alignment horizontal="right"/>
    </xf>
    <xf numFmtId="9" fontId="3" fillId="0" borderId="30" xfId="3" applyFont="1" applyBorder="1" applyAlignment="1"/>
    <xf numFmtId="182" fontId="12" fillId="0" borderId="30" xfId="0" applyNumberFormat="1" applyFont="1" applyFill="1" applyBorder="1" applyAlignment="1">
      <alignment horizontal="center" vertical="center"/>
    </xf>
    <xf numFmtId="182" fontId="3" fillId="0" borderId="14" xfId="0" applyNumberFormat="1" applyFont="1" applyBorder="1"/>
    <xf numFmtId="182" fontId="29" fillId="0" borderId="30" xfId="0" applyNumberFormat="1" applyFont="1" applyFill="1" applyBorder="1" applyAlignment="1">
      <alignment horizontal="center"/>
    </xf>
    <xf numFmtId="43" fontId="11" fillId="0" borderId="14" xfId="1" applyFont="1" applyBorder="1" applyAlignment="1">
      <alignment horizontal="right"/>
    </xf>
    <xf numFmtId="182" fontId="0" fillId="0" borderId="30" xfId="0" applyNumberFormat="1" applyFont="1" applyFill="1" applyBorder="1" applyAlignment="1"/>
    <xf numFmtId="10" fontId="3" fillId="0" borderId="3" xfId="3" applyNumberFormat="1" applyFont="1" applyBorder="1" applyAlignment="1"/>
    <xf numFmtId="186" fontId="3" fillId="0" borderId="7" xfId="0" applyNumberFormat="1" applyFont="1" applyBorder="1"/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182" fontId="24" fillId="0" borderId="33" xfId="0" applyNumberFormat="1" applyFont="1" applyBorder="1" applyAlignment="1">
      <alignment horizontal="right" vertical="center"/>
    </xf>
    <xf numFmtId="182" fontId="24" fillId="0" borderId="14" xfId="0" applyNumberFormat="1" applyFont="1" applyBorder="1" applyAlignment="1">
      <alignment horizontal="right"/>
    </xf>
    <xf numFmtId="182" fontId="24" fillId="21" borderId="14" xfId="0" applyNumberFormat="1" applyFont="1" applyFill="1" applyBorder="1" applyAlignment="1">
      <alignment horizontal="right"/>
    </xf>
    <xf numFmtId="182" fontId="24" fillId="21" borderId="14" xfId="0" applyNumberFormat="1" applyFont="1" applyFill="1" applyBorder="1" applyAlignment="1">
      <alignment horizontal="center"/>
    </xf>
    <xf numFmtId="182" fontId="11" fillId="0" borderId="14" xfId="0" applyNumberFormat="1" applyFont="1" applyBorder="1"/>
    <xf numFmtId="182" fontId="24" fillId="21" borderId="33" xfId="0" applyNumberFormat="1" applyFont="1" applyFill="1" applyBorder="1" applyAlignment="1">
      <alignment horizontal="right" vertical="center"/>
    </xf>
    <xf numFmtId="182" fontId="29" fillId="0" borderId="14" xfId="0" applyNumberFormat="1" applyFont="1" applyBorder="1" applyAlignment="1">
      <alignment horizontal="right"/>
    </xf>
    <xf numFmtId="182" fontId="0" fillId="21" borderId="14" xfId="0" applyNumberFormat="1" applyFont="1" applyFill="1" applyBorder="1" applyAlignment="1">
      <alignment horizontal="right"/>
    </xf>
    <xf numFmtId="182" fontId="29" fillId="0" borderId="33" xfId="0" applyNumberFormat="1" applyFont="1" applyBorder="1" applyAlignment="1">
      <alignment horizontal="right" vertical="center"/>
    </xf>
    <xf numFmtId="182" fontId="12" fillId="0" borderId="42" xfId="0" applyNumberFormat="1" applyFont="1" applyFill="1" applyBorder="1" applyAlignment="1">
      <alignment horizontal="center" vertical="center"/>
    </xf>
    <xf numFmtId="9" fontId="3" fillId="0" borderId="14" xfId="3" applyFont="1" applyBorder="1" applyAlignment="1"/>
    <xf numFmtId="182" fontId="12" fillId="0" borderId="14" xfId="0" applyNumberFormat="1" applyFont="1" applyBorder="1" applyAlignment="1">
      <alignment horizontal="right" vertical="center"/>
    </xf>
    <xf numFmtId="186" fontId="3" fillId="0" borderId="19" xfId="3" applyNumberFormat="1" applyFont="1" applyBorder="1" applyAlignment="1">
      <alignment horizontal="right"/>
    </xf>
    <xf numFmtId="182" fontId="0" fillId="21" borderId="14" xfId="0" applyNumberFormat="1" applyFont="1" applyFill="1" applyBorder="1"/>
    <xf numFmtId="43" fontId="12" fillId="0" borderId="14" xfId="1" applyFont="1" applyBorder="1" applyAlignment="1">
      <alignment horizontal="right" vertical="center"/>
    </xf>
    <xf numFmtId="182" fontId="3" fillId="0" borderId="14" xfId="0" applyNumberFormat="1" applyFont="1" applyBorder="1" applyAlignment="1">
      <alignment horizontal="right"/>
    </xf>
    <xf numFmtId="182" fontId="0" fillId="0" borderId="14" xfId="0" applyNumberFormat="1" applyBorder="1" applyAlignment="1">
      <alignment horizontal="right"/>
    </xf>
    <xf numFmtId="180" fontId="3" fillId="0" borderId="19" xfId="1" applyNumberFormat="1" applyFont="1" applyBorder="1" applyAlignment="1">
      <alignment horizontal="right"/>
    </xf>
    <xf numFmtId="187" fontId="0" fillId="0" borderId="0" xfId="0" applyNumberFormat="1" applyAlignment="1">
      <alignment vertical="center"/>
    </xf>
    <xf numFmtId="0" fontId="36" fillId="0" borderId="0" xfId="0" applyFont="1"/>
    <xf numFmtId="0" fontId="37" fillId="0" borderId="0" xfId="0" applyFont="1" applyAlignment="1">
      <alignment horizontal="center" vertical="center" wrapText="1"/>
    </xf>
    <xf numFmtId="176" fontId="37" fillId="0" borderId="0" xfId="0" applyNumberFormat="1" applyFont="1" applyAlignment="1">
      <alignment horizontal="center" vertical="center" wrapText="1"/>
    </xf>
    <xf numFmtId="0" fontId="37" fillId="8" borderId="0" xfId="0" applyFont="1" applyFill="1" applyAlignment="1">
      <alignment horizontal="center" vertical="center" wrapText="1"/>
    </xf>
    <xf numFmtId="0" fontId="37" fillId="0" borderId="0" xfId="0" applyFont="1" applyFill="1" applyAlignment="1">
      <alignment horizontal="center" vertical="center" wrapText="1"/>
    </xf>
    <xf numFmtId="0" fontId="38" fillId="3" borderId="0" xfId="6" applyFont="1" applyFill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39" fillId="0" borderId="23" xfId="0" applyFont="1" applyBorder="1" applyAlignment="1">
      <alignment horizontal="center" vertical="center" wrapText="1"/>
    </xf>
    <xf numFmtId="0" fontId="40" fillId="0" borderId="0" xfId="0" applyFont="1" applyAlignment="1"/>
    <xf numFmtId="176" fontId="39" fillId="0" borderId="23" xfId="0" applyNumberFormat="1" applyFont="1" applyBorder="1" applyAlignment="1">
      <alignment horizontal="center" wrapText="1"/>
    </xf>
    <xf numFmtId="0" fontId="39" fillId="8" borderId="0" xfId="0" applyFont="1" applyFill="1" applyAlignment="1"/>
    <xf numFmtId="176" fontId="39" fillId="0" borderId="0" xfId="0" applyNumberFormat="1" applyFont="1" applyAlignment="1"/>
    <xf numFmtId="176" fontId="40" fillId="0" borderId="0" xfId="0" applyNumberFormat="1" applyFont="1" applyAlignment="1"/>
    <xf numFmtId="0" fontId="40" fillId="0" borderId="0" xfId="0" applyFont="1" applyAlignment="1">
      <alignment wrapText="1"/>
    </xf>
    <xf numFmtId="0" fontId="39" fillId="0" borderId="23" xfId="0" applyFont="1" applyBorder="1" applyAlignment="1">
      <alignment horizontal="right" wrapText="1"/>
    </xf>
    <xf numFmtId="0" fontId="41" fillId="12" borderId="19" xfId="0" applyFont="1" applyFill="1" applyBorder="1" applyAlignment="1">
      <alignment horizontal="center" vertical="center" wrapText="1"/>
    </xf>
    <xf numFmtId="176" fontId="41" fillId="12" borderId="19" xfId="0" applyNumberFormat="1" applyFont="1" applyFill="1" applyBorder="1" applyAlignment="1">
      <alignment horizontal="center" vertical="center" wrapText="1"/>
    </xf>
    <xf numFmtId="0" fontId="39" fillId="12" borderId="19" xfId="0" applyFont="1" applyFill="1" applyBorder="1" applyAlignment="1">
      <alignment horizontal="center" vertical="center" wrapText="1"/>
    </xf>
    <xf numFmtId="43" fontId="39" fillId="12" borderId="19" xfId="1" applyNumberFormat="1" applyFont="1" applyFill="1" applyBorder="1" applyAlignment="1">
      <alignment horizontal="center" vertical="center" wrapText="1"/>
    </xf>
    <xf numFmtId="43" fontId="39" fillId="12" borderId="19" xfId="1" applyFont="1" applyFill="1" applyBorder="1" applyAlignment="1" applyProtection="1">
      <alignment horizontal="center" vertical="center" wrapText="1"/>
      <protection locked="0"/>
    </xf>
    <xf numFmtId="43" fontId="42" fillId="12" borderId="19" xfId="1" applyFont="1" applyFill="1" applyBorder="1" applyAlignment="1">
      <alignment horizontal="center" vertical="center" wrapText="1"/>
    </xf>
    <xf numFmtId="10" fontId="42" fillId="12" borderId="19" xfId="3" applyNumberFormat="1" applyFont="1" applyFill="1" applyBorder="1" applyAlignment="1">
      <alignment horizontal="center" vertical="center" wrapText="1"/>
    </xf>
    <xf numFmtId="43" fontId="42" fillId="12" borderId="43" xfId="1" applyFont="1" applyFill="1" applyBorder="1" applyAlignment="1">
      <alignment horizontal="center" vertical="center" wrapText="1"/>
    </xf>
    <xf numFmtId="10" fontId="39" fillId="12" borderId="19" xfId="3" applyNumberFormat="1" applyFont="1" applyFill="1" applyBorder="1" applyAlignment="1">
      <alignment horizontal="center" vertical="center" wrapText="1"/>
    </xf>
    <xf numFmtId="43" fontId="40" fillId="12" borderId="19" xfId="1" applyNumberFormat="1" applyFont="1" applyFill="1" applyBorder="1" applyAlignment="1">
      <alignment horizontal="center" vertical="center" wrapText="1"/>
    </xf>
    <xf numFmtId="43" fontId="39" fillId="12" borderId="19" xfId="1" applyFont="1" applyFill="1" applyBorder="1" applyAlignment="1">
      <alignment horizontal="center" vertical="center" wrapText="1"/>
    </xf>
    <xf numFmtId="0" fontId="40" fillId="12" borderId="47" xfId="0" applyFont="1" applyFill="1" applyBorder="1" applyAlignment="1">
      <alignment horizontal="center" vertical="center" wrapText="1"/>
    </xf>
    <xf numFmtId="43" fontId="40" fillId="12" borderId="19" xfId="1" applyFont="1" applyFill="1" applyBorder="1" applyAlignment="1">
      <alignment horizontal="center" vertical="center" wrapText="1"/>
    </xf>
    <xf numFmtId="176" fontId="42" fillId="12" borderId="19" xfId="1" applyNumberFormat="1" applyFont="1" applyFill="1" applyBorder="1" applyAlignment="1">
      <alignment horizontal="right" vertical="center" wrapText="1"/>
    </xf>
    <xf numFmtId="0" fontId="39" fillId="12" borderId="24" xfId="0" applyFont="1" applyFill="1" applyBorder="1" applyAlignment="1">
      <alignment horizontal="center" vertical="center" wrapText="1"/>
    </xf>
    <xf numFmtId="0" fontId="40" fillId="12" borderId="19" xfId="0" applyFont="1" applyFill="1" applyBorder="1" applyAlignment="1">
      <alignment horizontal="center" vertical="center" wrapText="1"/>
    </xf>
    <xf numFmtId="9" fontId="42" fillId="12" borderId="19" xfId="3" applyFont="1" applyFill="1" applyBorder="1" applyAlignment="1">
      <alignment horizontal="center" vertical="center" wrapText="1"/>
    </xf>
    <xf numFmtId="43" fontId="39" fillId="12" borderId="19" xfId="0" applyNumberFormat="1" applyFont="1" applyFill="1" applyBorder="1" applyAlignment="1">
      <alignment horizontal="center" vertical="center" wrapText="1"/>
    </xf>
    <xf numFmtId="43" fontId="39" fillId="15" borderId="19" xfId="1" applyNumberFormat="1" applyFont="1" applyFill="1" applyBorder="1" applyAlignment="1">
      <alignment horizontal="center" vertical="center" wrapText="1"/>
    </xf>
    <xf numFmtId="43" fontId="40" fillId="12" borderId="19" xfId="1" applyFont="1" applyFill="1" applyBorder="1" applyAlignment="1" applyProtection="1">
      <alignment horizontal="center" vertical="center" wrapText="1"/>
      <protection locked="0"/>
    </xf>
    <xf numFmtId="43" fontId="39" fillId="12" borderId="19" xfId="1" applyFont="1" applyFill="1" applyBorder="1" applyAlignment="1">
      <alignment vertical="center" wrapText="1"/>
    </xf>
    <xf numFmtId="43" fontId="39" fillId="12" borderId="24" xfId="1" applyFont="1" applyFill="1" applyBorder="1" applyAlignment="1">
      <alignment vertical="center" wrapText="1"/>
    </xf>
    <xf numFmtId="43" fontId="42" fillId="12" borderId="19" xfId="1" applyFont="1" applyFill="1" applyBorder="1" applyAlignment="1">
      <alignment vertical="center" wrapText="1"/>
    </xf>
    <xf numFmtId="10" fontId="42" fillId="12" borderId="24" xfId="3" applyNumberFormat="1" applyFont="1" applyFill="1" applyBorder="1" applyAlignment="1">
      <alignment horizontal="center" vertical="center" wrapText="1"/>
    </xf>
    <xf numFmtId="43" fontId="39" fillId="12" borderId="48" xfId="1" applyNumberFormat="1" applyFont="1" applyFill="1" applyBorder="1" applyAlignment="1">
      <alignment horizontal="center" vertical="center" wrapText="1"/>
    </xf>
    <xf numFmtId="43" fontId="39" fillId="12" borderId="20" xfId="1" applyFont="1" applyFill="1" applyBorder="1" applyAlignment="1" applyProtection="1">
      <alignment vertical="center" wrapText="1"/>
      <protection locked="0"/>
    </xf>
    <xf numFmtId="176" fontId="39" fillId="12" borderId="12" xfId="1" applyNumberFormat="1" applyFont="1" applyFill="1" applyBorder="1" applyAlignment="1">
      <alignment vertical="center" wrapText="1"/>
    </xf>
    <xf numFmtId="43" fontId="40" fillId="12" borderId="12" xfId="1" applyFont="1" applyFill="1" applyBorder="1" applyAlignment="1" applyProtection="1">
      <alignment vertical="center" wrapText="1"/>
      <protection locked="0"/>
    </xf>
    <xf numFmtId="43" fontId="39" fillId="12" borderId="12" xfId="1" applyNumberFormat="1" applyFont="1" applyFill="1" applyBorder="1" applyAlignment="1">
      <alignment vertical="center" wrapText="1"/>
    </xf>
    <xf numFmtId="10" fontId="42" fillId="12" borderId="12" xfId="3" applyNumberFormat="1" applyFont="1" applyFill="1" applyBorder="1" applyAlignment="1">
      <alignment horizontal="center" vertical="center" wrapText="1"/>
    </xf>
    <xf numFmtId="0" fontId="40" fillId="12" borderId="12" xfId="0" applyFont="1" applyFill="1" applyBorder="1" applyAlignment="1">
      <alignment horizontal="right" vertical="center" wrapText="1"/>
    </xf>
    <xf numFmtId="176" fontId="39" fillId="12" borderId="20" xfId="1" applyNumberFormat="1" applyFont="1" applyFill="1" applyBorder="1" applyAlignment="1">
      <alignment vertical="center" wrapText="1"/>
    </xf>
    <xf numFmtId="43" fontId="40" fillId="12" borderId="12" xfId="0" applyNumberFormat="1" applyFont="1" applyFill="1" applyBorder="1" applyAlignment="1">
      <alignment horizontal="right" vertical="center" wrapText="1"/>
    </xf>
    <xf numFmtId="43" fontId="39" fillId="12" borderId="12" xfId="1" applyFont="1" applyFill="1" applyBorder="1" applyAlignment="1" applyProtection="1">
      <alignment vertical="center" wrapText="1"/>
      <protection locked="0"/>
    </xf>
    <xf numFmtId="43" fontId="40" fillId="12" borderId="12" xfId="0" applyNumberFormat="1" applyFont="1" applyFill="1" applyBorder="1" applyAlignment="1">
      <alignment horizontal="center" vertical="center" wrapText="1"/>
    </xf>
    <xf numFmtId="43" fontId="39" fillId="12" borderId="44" xfId="1" applyNumberFormat="1" applyFont="1" applyFill="1" applyBorder="1" applyAlignment="1">
      <alignment vertical="center" wrapText="1"/>
    </xf>
    <xf numFmtId="176" fontId="39" fillId="12" borderId="44" xfId="1" applyNumberFormat="1" applyFont="1" applyFill="1" applyBorder="1" applyAlignment="1">
      <alignment vertical="center" wrapText="1"/>
    </xf>
    <xf numFmtId="43" fontId="39" fillId="12" borderId="44" xfId="1" applyFont="1" applyFill="1" applyBorder="1" applyAlignment="1">
      <alignment horizontal="center" vertical="center" wrapText="1"/>
    </xf>
    <xf numFmtId="43" fontId="39" fillId="12" borderId="24" xfId="1" applyFont="1" applyFill="1" applyBorder="1" applyAlignment="1">
      <alignment horizontal="center" vertical="center" wrapText="1"/>
    </xf>
    <xf numFmtId="43" fontId="39" fillId="12" borderId="12" xfId="1" applyFont="1" applyFill="1" applyBorder="1" applyAlignment="1">
      <alignment horizontal="center" vertical="center" wrapText="1"/>
    </xf>
    <xf numFmtId="0" fontId="40" fillId="12" borderId="24" xfId="0" applyFont="1" applyFill="1" applyBorder="1" applyAlignment="1">
      <alignment horizontal="center" vertical="center" wrapText="1"/>
    </xf>
    <xf numFmtId="43" fontId="40" fillId="12" borderId="24" xfId="1" applyFont="1" applyFill="1" applyBorder="1" applyAlignment="1">
      <alignment horizontal="center" vertical="center" wrapText="1"/>
    </xf>
    <xf numFmtId="43" fontId="40" fillId="12" borderId="44" xfId="1" applyFont="1" applyFill="1" applyBorder="1" applyAlignment="1">
      <alignment horizontal="center" vertical="center" wrapText="1"/>
    </xf>
    <xf numFmtId="43" fontId="40" fillId="12" borderId="12" xfId="1" applyFont="1" applyFill="1" applyBorder="1" applyAlignment="1">
      <alignment horizontal="center" vertical="center" wrapText="1"/>
    </xf>
    <xf numFmtId="0" fontId="40" fillId="12" borderId="12" xfId="0" applyFont="1" applyFill="1" applyBorder="1" applyAlignment="1">
      <alignment horizontal="center" vertical="center" wrapText="1"/>
    </xf>
    <xf numFmtId="10" fontId="43" fillId="12" borderId="12" xfId="3" applyNumberFormat="1" applyFont="1" applyFill="1" applyBorder="1" applyAlignment="1">
      <alignment horizontal="center" vertical="center" wrapText="1"/>
    </xf>
    <xf numFmtId="0" fontId="39" fillId="12" borderId="12" xfId="0" applyFont="1" applyFill="1" applyBorder="1" applyAlignment="1">
      <alignment horizontal="center" vertical="center" wrapText="1"/>
    </xf>
    <xf numFmtId="43" fontId="39" fillId="12" borderId="12" xfId="1" applyNumberFormat="1" applyFont="1" applyFill="1" applyBorder="1" applyAlignment="1">
      <alignment horizontal="center" vertical="center" wrapText="1"/>
    </xf>
    <xf numFmtId="43" fontId="39" fillId="12" borderId="49" xfId="1" applyFont="1" applyFill="1" applyBorder="1" applyAlignment="1" applyProtection="1">
      <alignment horizontal="center" vertical="center" wrapText="1"/>
      <protection locked="0"/>
    </xf>
    <xf numFmtId="43" fontId="39" fillId="12" borderId="12" xfId="1" applyFont="1" applyFill="1" applyBorder="1" applyAlignment="1" applyProtection="1">
      <alignment horizontal="center" vertical="center" wrapText="1"/>
      <protection locked="0"/>
    </xf>
    <xf numFmtId="176" fontId="39" fillId="12" borderId="49" xfId="1" applyNumberFormat="1" applyFont="1" applyFill="1" applyBorder="1" applyAlignment="1">
      <alignment horizontal="right" vertical="center" wrapText="1"/>
    </xf>
    <xf numFmtId="43" fontId="39" fillId="12" borderId="49" xfId="1" applyFont="1" applyFill="1" applyBorder="1" applyAlignment="1">
      <alignment horizontal="center" vertical="center" wrapText="1"/>
    </xf>
    <xf numFmtId="43" fontId="39" fillId="12" borderId="12" xfId="0" applyNumberFormat="1" applyFont="1" applyFill="1" applyBorder="1" applyAlignment="1">
      <alignment horizontal="center" vertical="center" wrapText="1"/>
    </xf>
    <xf numFmtId="43" fontId="39" fillId="12" borderId="49" xfId="0" applyNumberFormat="1" applyFont="1" applyFill="1" applyBorder="1" applyAlignment="1">
      <alignment horizontal="center" vertical="center" wrapText="1"/>
    </xf>
    <xf numFmtId="0" fontId="40" fillId="12" borderId="0" xfId="0" applyFont="1" applyFill="1" applyAlignment="1">
      <alignment horizontal="center" vertical="center" wrapText="1"/>
    </xf>
    <xf numFmtId="43" fontId="39" fillId="12" borderId="20" xfId="1" applyFont="1" applyFill="1" applyBorder="1" applyAlignment="1" applyProtection="1">
      <alignment horizontal="center" vertical="center" wrapText="1"/>
      <protection locked="0"/>
    </xf>
    <xf numFmtId="176" fontId="40" fillId="12" borderId="12" xfId="0" applyNumberFormat="1" applyFont="1" applyFill="1" applyBorder="1" applyAlignment="1">
      <alignment horizontal="center" vertical="center" wrapText="1"/>
    </xf>
    <xf numFmtId="176" fontId="39" fillId="12" borderId="20" xfId="1" applyNumberFormat="1" applyFont="1" applyFill="1" applyBorder="1" applyAlignment="1">
      <alignment horizontal="center" vertical="center" wrapText="1"/>
    </xf>
    <xf numFmtId="43" fontId="40" fillId="12" borderId="0" xfId="0" applyNumberFormat="1" applyFont="1" applyFill="1" applyAlignment="1">
      <alignment horizontal="center" vertical="center" wrapText="1"/>
    </xf>
    <xf numFmtId="0" fontId="44" fillId="4" borderId="0" xfId="0" applyFont="1" applyFill="1" applyAlignment="1">
      <alignment horizontal="center" vertical="center"/>
    </xf>
    <xf numFmtId="0" fontId="25" fillId="3" borderId="0" xfId="6" applyFont="1" applyFill="1" applyAlignment="1">
      <alignment horizontal="left"/>
    </xf>
    <xf numFmtId="0" fontId="25" fillId="0" borderId="0" xfId="0" applyFont="1"/>
    <xf numFmtId="0" fontId="25" fillId="8" borderId="0" xfId="0" applyFont="1" applyFill="1"/>
    <xf numFmtId="0" fontId="25" fillId="8" borderId="0" xfId="6" applyFont="1" applyFill="1" applyAlignment="1">
      <alignment horizontal="left"/>
    </xf>
    <xf numFmtId="0" fontId="45" fillId="8" borderId="0" xfId="6" applyFont="1" applyFill="1" applyAlignment="1">
      <alignment horizontal="left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3" xfId="51"/>
    <cellStyle name="超链接 2" xfId="52"/>
    <cellStyle name="千位分隔 2" xfId="53"/>
  </cellStyles>
  <dxfs count="1">
    <dxf>
      <font>
        <name val="等线"/>
        <scheme val="minor"/>
        <charset val="134"/>
        <family val="0"/>
        <b val="1"/>
        <i val="0"/>
        <strike val="0"/>
        <u val="none"/>
        <sz val="11"/>
        <color theme="1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</dxfs>
  <tableStyles count="0" defaultTableStyle="TableStyleMedium2" defaultPivotStyle="PivotStyleLight16"/>
  <colors>
    <mruColors>
      <color rgb="0000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3" displayName="表3" ref="B3:F8" totalsRowShown="0">
  <tableColumns count="5">
    <tableColumn id="1" name="营销服务区"/>
    <tableColumn id="2" name="业务总监"/>
    <tableColumn id="3" name="业务经理"/>
    <tableColumn id="4" name="业务专员"/>
    <tableColumn id="5" name="合计" dataDxfId="0">
      <calculatedColumnFormula>SUM(C4:E4)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workbookViewId="0">
      <selection activeCell="C4" sqref="C4"/>
    </sheetView>
  </sheetViews>
  <sheetFormatPr defaultColWidth="9" defaultRowHeight="13.8" outlineLevelCol="6"/>
  <cols>
    <col min="1" max="1" width="5" customWidth="1"/>
    <col min="2" max="3" width="15.75" customWidth="1"/>
    <col min="4" max="5" width="5.37962962962963" customWidth="1"/>
    <col min="6" max="7" width="15.75" customWidth="1"/>
  </cols>
  <sheetData>
    <row r="2" ht="40.5" customHeight="1" spans="2:7">
      <c r="B2" s="533" t="s">
        <v>0</v>
      </c>
      <c r="C2" s="533"/>
      <c r="D2" s="533"/>
      <c r="E2" s="533"/>
      <c r="F2" s="533"/>
      <c r="G2" s="533"/>
    </row>
    <row r="3" ht="31.5" customHeight="1" spans="2:7">
      <c r="C3" s="334" t="s">
        <v>1</v>
      </c>
      <c r="D3" s="334"/>
      <c r="E3" s="334"/>
      <c r="F3" s="334"/>
    </row>
    <row r="5" ht="17.4" spans="2:7">
      <c r="B5" s="534" t="s">
        <v>2</v>
      </c>
      <c r="C5" s="534"/>
      <c r="D5" s="535"/>
      <c r="E5" s="535"/>
      <c r="F5" s="534" t="s">
        <v>3</v>
      </c>
      <c r="G5" s="534"/>
    </row>
    <row r="6" ht="17.4" spans="2:7">
      <c r="B6" s="535"/>
      <c r="C6" s="535"/>
      <c r="D6" s="536"/>
      <c r="E6" s="536"/>
      <c r="F6" s="537"/>
      <c r="G6" s="537"/>
    </row>
    <row r="7" ht="17.4" spans="2:7">
      <c r="B7" s="534" t="s">
        <v>4</v>
      </c>
      <c r="C7" s="534"/>
      <c r="D7" s="537"/>
      <c r="E7" s="537"/>
      <c r="F7" s="534" t="s">
        <v>5</v>
      </c>
      <c r="G7" s="534"/>
    </row>
    <row r="8" ht="17.4" spans="2:7">
      <c r="D8" s="537"/>
      <c r="E8" s="537"/>
      <c r="F8" s="537"/>
      <c r="G8" s="537"/>
    </row>
    <row r="9" ht="17.4" spans="2:7">
      <c r="B9" s="534" t="s">
        <v>6</v>
      </c>
      <c r="C9" s="534"/>
      <c r="D9" s="537"/>
      <c r="E9" s="537"/>
      <c r="F9" s="534" t="s">
        <v>7</v>
      </c>
      <c r="G9" s="534"/>
    </row>
    <row r="10" ht="17.4" spans="2:7">
      <c r="D10" s="537"/>
      <c r="E10" s="537"/>
    </row>
    <row r="11" ht="17.4" spans="2:7">
      <c r="B11" s="534" t="s">
        <v>8</v>
      </c>
      <c r="C11" s="534"/>
      <c r="D11" s="537"/>
      <c r="E11" s="537"/>
      <c r="F11" s="534" t="s">
        <v>9</v>
      </c>
      <c r="G11" s="534"/>
    </row>
    <row r="12" ht="17.4" spans="2:7">
      <c r="B12" s="537"/>
      <c r="C12" s="537"/>
      <c r="D12" s="537"/>
      <c r="E12" s="537"/>
      <c r="F12" s="537"/>
      <c r="G12" s="537"/>
    </row>
    <row r="13" ht="17.4" spans="2:7">
      <c r="B13" s="534" t="s">
        <v>10</v>
      </c>
      <c r="C13" s="534"/>
      <c r="D13" s="537"/>
      <c r="E13" s="537"/>
      <c r="F13" s="534" t="s">
        <v>11</v>
      </c>
      <c r="G13" s="534"/>
    </row>
    <row r="14" ht="17.4" spans="2:7">
      <c r="B14" s="537"/>
      <c r="C14" s="537"/>
      <c r="D14" s="537"/>
      <c r="E14" s="537"/>
      <c r="F14" s="537"/>
      <c r="G14" s="537"/>
    </row>
    <row r="15" ht="17.4" spans="2:7">
      <c r="B15" s="534" t="s">
        <v>12</v>
      </c>
      <c r="C15" s="534"/>
      <c r="D15" s="537"/>
      <c r="E15" s="537"/>
      <c r="F15" s="534" t="s">
        <v>13</v>
      </c>
      <c r="G15" s="534"/>
    </row>
    <row r="16" ht="17.4" spans="2:7">
      <c r="B16" s="537"/>
      <c r="C16" s="537"/>
      <c r="D16" s="537"/>
      <c r="E16" s="537"/>
      <c r="F16" s="537"/>
      <c r="G16" s="537"/>
    </row>
    <row r="17" ht="17.4" spans="2:7">
      <c r="B17" s="534" t="s">
        <v>14</v>
      </c>
      <c r="C17" s="534"/>
      <c r="D17" s="537"/>
      <c r="E17" s="537"/>
      <c r="F17" s="534" t="s">
        <v>15</v>
      </c>
      <c r="G17" s="534"/>
    </row>
    <row r="18" ht="17.4" spans="2:7">
      <c r="B18" s="537"/>
      <c r="C18" s="537"/>
      <c r="D18" s="537"/>
      <c r="E18" s="537"/>
    </row>
    <row r="19" ht="17.4" spans="2:7">
      <c r="B19" s="534" t="s">
        <v>16</v>
      </c>
      <c r="C19" s="534"/>
      <c r="D19" s="538"/>
      <c r="E19" s="538"/>
      <c r="F19" s="534" t="s">
        <v>17</v>
      </c>
      <c r="G19" s="534"/>
    </row>
    <row r="20" ht="17.4" spans="2:7">
      <c r="D20" s="538"/>
      <c r="E20" s="538"/>
      <c r="F20" s="538"/>
      <c r="G20" s="538"/>
    </row>
    <row r="21" ht="17.4" spans="2:7">
      <c r="D21" s="535"/>
      <c r="E21" s="535"/>
    </row>
    <row r="23" ht="17.4" spans="2:7">
      <c r="E23" s="536"/>
    </row>
  </sheetData>
  <mergeCells count="42">
    <mergeCell ref="B2:G2"/>
    <mergeCell ref="C3:F3"/>
    <mergeCell ref="B5:C5"/>
    <mergeCell ref="F5:G5"/>
    <mergeCell ref="F6:G6"/>
    <mergeCell ref="B7:C7"/>
    <mergeCell ref="D7:E7"/>
    <mergeCell ref="F7:G7"/>
    <mergeCell ref="D8:E8"/>
    <mergeCell ref="F8:G8"/>
    <mergeCell ref="B9:C9"/>
    <mergeCell ref="D9:E9"/>
    <mergeCell ref="F9:G9"/>
    <mergeCell ref="D10:E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B19:C19"/>
    <mergeCell ref="D19:E19"/>
    <mergeCell ref="F19:G19"/>
    <mergeCell ref="D20:E20"/>
    <mergeCell ref="F20:G20"/>
  </mergeCells>
  <hyperlinks>
    <hyperlink ref="B5" location="目录!A1" display="表1：利润（预算口径）"/>
    <hyperlink ref="B11" location="'保费分析-公司'!A1" display="表4：保费分析—公司"/>
    <hyperlink ref="B13" location="'保费分析--产品'!A1" display="表5：保费分析—产品"/>
    <hyperlink ref="B15" location="'保费分析--君康产品'!A1" display="表6：保费分析—君康产品"/>
    <hyperlink ref="B17" location="收入明细表!A1" display="表7：收入明细表"/>
    <hyperlink ref="B19" location="销售队伍成本!A1" display="表8：基本法支出"/>
    <hyperlink ref="B5:C5" location="'利润（预算口径）'!A1" display="表1：利润（预算口径）"/>
    <hyperlink ref="B19:C19" location="基本法支出!A1" display="表8：基本法支出"/>
    <hyperlink ref="F5" location="职场成本!A1" display="表9：职场成本明细表"/>
    <hyperlink ref="F7" location="人力成本!A1" display="表10：人力成本明细表"/>
    <hyperlink ref="F13" location="其他应付款明细!A1" display="表13：其他应付款明细表"/>
    <hyperlink ref="F19:G19" location="日常行政费用明细!A1" display="表16：日常行政费用明细"/>
    <hyperlink ref="F9:G9" location="应收账款明细表!A1" display="表11：应收账款明细表"/>
    <hyperlink ref="B11:C11" location="'保费分析-公司'!A1" display="表4：保费分析—公司"/>
    <hyperlink ref="B13:C13" location="'保费分析--产品'!A1" display="表5：保费分析—产品"/>
    <hyperlink ref="B15:C15" location="'保费分析--君康产品'!A1" display="表6：保费分析—君康产品"/>
    <hyperlink ref="B17:C17" location="收入明细表!A1" display="表7：收入明细表"/>
    <hyperlink ref="F9" location="应收账款明细表!A1" display="表11：应收账款明细表"/>
    <hyperlink ref="F19" location="日常行政费用明细!A1" display="表16：日常行政费用明细"/>
    <hyperlink ref="F11:G11" location="应收账款明细表!A1" display="表12：应收利息明细表"/>
    <hyperlink ref="F11" location="应收账款明细表!A1" display="表12：应收利息明细表"/>
    <hyperlink ref="F11:G11" location="应收利息明细表!A1" display="表12：应收利息明细表"/>
    <hyperlink ref="B7" location="'保费分析-公司'!A1" display="表2：外勤人力变动表"/>
    <hyperlink ref="B7:C7" location="'保费分析-公司'!A1" display="表2：外勤人力变动表"/>
    <hyperlink ref="B9" location="'保费分析-公司'!A1" display="表3：外勤人力架构表"/>
    <hyperlink ref="B9:C9" location="'保费分析-公司'!A1" display="表3：外勤人力架构表"/>
    <hyperlink ref="F15" location="其他应付款明细!A1" display="表14：应付佣金明细表"/>
    <hyperlink ref="F17" location="其他应付款明细!A1" display="表15：其他应收款明细表"/>
    <hyperlink ref="B7:C7" location="外勤人力变动表!A1" display="表2：外勤人力变动表"/>
    <hyperlink ref="B9:C9" location="外勤人力架构表!A1" display="表3：外勤人力架构表"/>
    <hyperlink ref="F15:G15" location="应付佣金!A1" display="表14：应付佣金明细表"/>
    <hyperlink ref="F17:G17" location="其他应收款!A1" display="表15：其他应收款明细表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4"/>
  <sheetViews>
    <sheetView tabSelected="1" zoomScale="85" zoomScaleNormal="85" workbookViewId="0">
      <pane xSplit="1" ySplit="3" topLeftCell="B4" activePane="bottomRight" state="frozen"/>
      <selection/>
      <selection pane="topRight"/>
      <selection pane="bottomLeft"/>
      <selection pane="bottomRight" activeCell="F16" sqref="F16"/>
    </sheetView>
  </sheetViews>
  <sheetFormatPr defaultColWidth="9" defaultRowHeight="20.1" customHeight="1"/>
  <cols>
    <col min="1" max="1" width="32.787037037037" customWidth="1"/>
    <col min="2" max="2" width="13.1574074074074" customWidth="1"/>
    <col min="3" max="3" width="12.0462962962963" customWidth="1"/>
    <col min="4" max="4" width="13.1574074074074" customWidth="1"/>
    <col min="5" max="6" width="11.8611111111111" customWidth="1"/>
    <col min="7" max="7" width="11.8611111111111" hidden="1" customWidth="1"/>
    <col min="8" max="8" width="11.8611111111111" style="390" hidden="1" customWidth="1"/>
    <col min="9" max="9" width="11.8611111111111" hidden="1" customWidth="1"/>
    <col min="10" max="10" width="11.8611111111111" style="82" hidden="1" customWidth="1"/>
    <col min="11" max="12" width="11.8611111111111" style="390" hidden="1" customWidth="1"/>
    <col min="13" max="14" width="11.8611111111111" hidden="1" customWidth="1"/>
    <col min="15" max="15" width="13.1574074074074" customWidth="1"/>
    <col min="16" max="16" width="15.1944444444444" customWidth="1"/>
    <col min="17" max="17" width="14.2685185185185" hidden="1" customWidth="1"/>
    <col min="18" max="18" width="17.2314814814815" hidden="1" customWidth="1"/>
    <col min="19" max="19" width="14.1111111111111"/>
    <col min="20" max="21" width="12.8888888888889"/>
  </cols>
  <sheetData>
    <row r="1" ht="28.5" customHeight="1" spans="1:21">
      <c r="A1" s="460" t="s">
        <v>18</v>
      </c>
      <c r="B1" s="460"/>
      <c r="C1" s="460"/>
      <c r="D1" s="460"/>
      <c r="E1" s="460"/>
      <c r="F1" s="460"/>
      <c r="G1" s="460"/>
      <c r="H1" s="461"/>
      <c r="I1" s="460"/>
      <c r="J1" s="462"/>
      <c r="K1" s="461"/>
      <c r="L1" s="461"/>
      <c r="M1" s="460"/>
      <c r="N1" s="460"/>
      <c r="O1" s="460"/>
      <c r="P1" s="460"/>
      <c r="Q1" s="463" t="s">
        <v>19</v>
      </c>
      <c r="R1" s="464"/>
    </row>
    <row r="2" ht="22.5" customHeight="1" spans="1:21">
      <c r="A2" s="465" t="s">
        <v>20</v>
      </c>
      <c r="B2" s="466"/>
      <c r="C2" s="466"/>
      <c r="D2" s="466"/>
      <c r="E2" s="466"/>
      <c r="F2" s="466"/>
      <c r="G2" s="467"/>
      <c r="H2" s="468" t="str">
        <f>目录!C3</f>
        <v>填报日期：2026-5-8</v>
      </c>
      <c r="I2" s="466"/>
      <c r="J2" s="469"/>
      <c r="K2" s="470"/>
      <c r="L2" s="471"/>
      <c r="M2" s="467" t="s">
        <v>21</v>
      </c>
      <c r="N2" s="467"/>
      <c r="O2" s="472"/>
      <c r="P2" s="472"/>
      <c r="Q2" s="473" t="s">
        <v>22</v>
      </c>
      <c r="R2" s="466"/>
    </row>
    <row r="3" ht="22.5" customHeight="1" spans="1:21">
      <c r="A3" s="474" t="s">
        <v>23</v>
      </c>
      <c r="B3" s="474" t="s">
        <v>24</v>
      </c>
      <c r="C3" s="474" t="s">
        <v>25</v>
      </c>
      <c r="D3" s="474" t="s">
        <v>26</v>
      </c>
      <c r="E3" s="474" t="s">
        <v>27</v>
      </c>
      <c r="F3" s="474" t="s">
        <v>28</v>
      </c>
      <c r="G3" s="474" t="s">
        <v>29</v>
      </c>
      <c r="H3" s="475" t="s">
        <v>30</v>
      </c>
      <c r="I3" s="474" t="s">
        <v>31</v>
      </c>
      <c r="J3" s="474" t="s">
        <v>32</v>
      </c>
      <c r="K3" s="475" t="s">
        <v>33</v>
      </c>
      <c r="L3" s="475" t="s">
        <v>34</v>
      </c>
      <c r="M3" s="474" t="s">
        <v>35</v>
      </c>
      <c r="N3" s="474" t="s">
        <v>36</v>
      </c>
      <c r="O3" s="474" t="s">
        <v>37</v>
      </c>
      <c r="P3" s="474" t="s">
        <v>38</v>
      </c>
      <c r="Q3" s="474" t="s">
        <v>39</v>
      </c>
      <c r="R3" s="474" t="s">
        <v>40</v>
      </c>
    </row>
    <row r="4" ht="22.5" customHeight="1" spans="1:21">
      <c r="A4" s="476" t="s">
        <v>41</v>
      </c>
      <c r="B4" s="477">
        <v>410.41874146</v>
      </c>
      <c r="C4" s="477">
        <f>收入明细表!C8</f>
        <v>2.691245</v>
      </c>
      <c r="D4" s="477">
        <f>收入明细表!D8</f>
        <v>0.461679</v>
      </c>
      <c r="E4" s="477">
        <f>收入明细表!E8</f>
        <v>0.142642</v>
      </c>
      <c r="F4" s="477">
        <f>收入明细表!F8</f>
        <v>0.040415</v>
      </c>
      <c r="G4" s="478">
        <f>收入明细表!G8</f>
        <v>0</v>
      </c>
      <c r="H4" s="478">
        <f>收入明细表!H8</f>
        <v>0</v>
      </c>
      <c r="I4" s="478">
        <f>收入明细表!I8</f>
        <v>0</v>
      </c>
      <c r="J4" s="478">
        <f>收入明细表!J8</f>
        <v>0</v>
      </c>
      <c r="K4" s="478">
        <f>收入明细表!K8</f>
        <v>0</v>
      </c>
      <c r="L4" s="478">
        <f>收入明细表!L8</f>
        <v>0</v>
      </c>
      <c r="M4" s="478">
        <f>收入明细表!M8</f>
        <v>0</v>
      </c>
      <c r="N4" s="478">
        <f>收入明细表!N8</f>
        <v>0</v>
      </c>
      <c r="O4" s="479">
        <f t="shared" ref="O4:O14" si="0">SUM(C4:N4)</f>
        <v>3.335981</v>
      </c>
      <c r="P4" s="480">
        <f t="shared" ref="P4:P15" si="1">IFERROR(O4/B4,0)</f>
        <v>0.00812823748772479</v>
      </c>
      <c r="Q4" s="481">
        <v>55.922986</v>
      </c>
      <c r="R4" s="482">
        <f>(O4-Q4)/Q4</f>
        <v>-0.940346872751037</v>
      </c>
      <c r="S4" s="171"/>
      <c r="U4" s="171"/>
    </row>
    <row r="5" ht="22.5" customHeight="1" spans="1:21">
      <c r="A5" s="476" t="s">
        <v>42</v>
      </c>
      <c r="B5" s="483">
        <f>SUM(B6:B7)</f>
        <v>293.84258985</v>
      </c>
      <c r="C5" s="477">
        <f>SUM(C6:C7)</f>
        <v>1.929264</v>
      </c>
      <c r="D5" s="477">
        <f>SUM(D6:D7)</f>
        <v>-0.067674</v>
      </c>
      <c r="E5" s="477">
        <f t="shared" ref="E5:N5" si="2">SUM(E6:E7)</f>
        <v>0</v>
      </c>
      <c r="F5" s="477">
        <f t="shared" si="2"/>
        <v>0.0234609999999999</v>
      </c>
      <c r="G5" s="484">
        <f t="shared" si="2"/>
        <v>0</v>
      </c>
      <c r="H5" s="484">
        <f t="shared" si="2"/>
        <v>0</v>
      </c>
      <c r="I5" s="484">
        <f t="shared" si="2"/>
        <v>0</v>
      </c>
      <c r="J5" s="484">
        <f t="shared" si="2"/>
        <v>0</v>
      </c>
      <c r="K5" s="484">
        <f t="shared" si="2"/>
        <v>0</v>
      </c>
      <c r="L5" s="484">
        <f t="shared" si="2"/>
        <v>0</v>
      </c>
      <c r="M5" s="484">
        <f t="shared" si="2"/>
        <v>0</v>
      </c>
      <c r="N5" s="484">
        <f t="shared" si="2"/>
        <v>0</v>
      </c>
      <c r="O5" s="479">
        <f t="shared" si="0"/>
        <v>1.885051</v>
      </c>
      <c r="P5" s="480">
        <f t="shared" si="1"/>
        <v>0.00641517283441545</v>
      </c>
      <c r="Q5" s="481">
        <v>42.693734</v>
      </c>
      <c r="R5" s="482">
        <f t="shared" ref="R5:R24" si="3">(O5-Q5)/Q5</f>
        <v>-0.955847127355972</v>
      </c>
      <c r="S5" s="171"/>
    </row>
    <row r="6" ht="22.5" customHeight="1" outlineLevel="2" spans="1:21">
      <c r="A6" s="485" t="s">
        <v>43</v>
      </c>
      <c r="B6" s="483">
        <v>264.97033085</v>
      </c>
      <c r="C6" s="483">
        <f>基本法支出!B11+基本法支出!B12+基本法支出!B13</f>
        <v>1.751664</v>
      </c>
      <c r="D6" s="483">
        <f>基本法支出!C11+基本法支出!C12+基本法支出!C13</f>
        <v>-0.067674</v>
      </c>
      <c r="E6" s="483">
        <f>基本法支出!D11+基本法支出!D12+基本法支出!D13</f>
        <v>0</v>
      </c>
      <c r="F6" s="483">
        <f>基本法支出!E11+基本法支出!E12+基本法支出!E13</f>
        <v>0.023462</v>
      </c>
      <c r="G6" s="486">
        <f>基本法支出!F11+基本法支出!F12+基本法支出!F13</f>
        <v>0</v>
      </c>
      <c r="H6" s="486">
        <f>基本法支出!G11+基本法支出!G12+基本法支出!G13</f>
        <v>0</v>
      </c>
      <c r="I6" s="486">
        <f>基本法支出!H11+基本法支出!H12+基本法支出!H13</f>
        <v>0</v>
      </c>
      <c r="J6" s="486">
        <f>基本法支出!I11+基本法支出!I12+基本法支出!I13</f>
        <v>0</v>
      </c>
      <c r="K6" s="486">
        <f>基本法支出!J11+基本法支出!J12+基本法支出!J13</f>
        <v>0</v>
      </c>
      <c r="L6" s="486">
        <f>基本法支出!K11+基本法支出!K12+基本法支出!K13</f>
        <v>0</v>
      </c>
      <c r="M6" s="486">
        <f>基本法支出!L11+基本法支出!L12+基本法支出!L13</f>
        <v>0</v>
      </c>
      <c r="N6" s="486">
        <f>基本法支出!M11+基本法支出!M12+基本法支出!M13</f>
        <v>0</v>
      </c>
      <c r="O6" s="479">
        <f t="shared" si="0"/>
        <v>1.707452</v>
      </c>
      <c r="P6" s="482">
        <f t="shared" si="1"/>
        <v>0.00644393655139673</v>
      </c>
      <c r="Q6" s="481">
        <v>37.168134</v>
      </c>
      <c r="R6" s="482">
        <f t="shared" si="3"/>
        <v>-0.954061401091591</v>
      </c>
      <c r="S6" s="171"/>
    </row>
    <row r="7" s="459" customFormat="1" ht="22.5" customHeight="1" outlineLevel="2" spans="1:21">
      <c r="A7" s="485" t="s">
        <v>44</v>
      </c>
      <c r="B7" s="483">
        <v>28.872259</v>
      </c>
      <c r="C7" s="483">
        <f>基本法支出!B14+基本法支出!B15+基本法支出!B16</f>
        <v>0.1776</v>
      </c>
      <c r="D7" s="483">
        <f>基本法支出!C14+基本法支出!C15+基本法支出!C16</f>
        <v>0</v>
      </c>
      <c r="E7" s="483">
        <f>基本法支出!D14+基本法支出!D15+基本法支出!D16</f>
        <v>0</v>
      </c>
      <c r="F7" s="483">
        <f>基本法支出!E14+基本法支出!E15+基本法支出!E16</f>
        <v>-1.00000000013978e-6</v>
      </c>
      <c r="G7" s="483">
        <f>基本法支出!F14+基本法支出!F15+基本法支出!F16</f>
        <v>0</v>
      </c>
      <c r="H7" s="483">
        <f>基本法支出!G14+基本法支出!G15+基本法支出!G16</f>
        <v>0</v>
      </c>
      <c r="I7" s="483">
        <f>基本法支出!H14+基本法支出!H15+基本法支出!H16</f>
        <v>0</v>
      </c>
      <c r="J7" s="483">
        <f>基本法支出!I14+基本法支出!I15+基本法支出!I16</f>
        <v>0</v>
      </c>
      <c r="K7" s="483">
        <f>基本法支出!J14+基本法支出!J15+基本法支出!J16</f>
        <v>0</v>
      </c>
      <c r="L7" s="483">
        <f>基本法支出!K14+基本法支出!K15+基本法支出!K16</f>
        <v>0</v>
      </c>
      <c r="M7" s="483">
        <f>基本法支出!L14+基本法支出!L15+基本法支出!L16</f>
        <v>0</v>
      </c>
      <c r="N7" s="483">
        <f>基本法支出!M14+基本法支出!M15+基本法支出!M16</f>
        <v>0</v>
      </c>
      <c r="O7" s="479">
        <f t="shared" si="0"/>
        <v>0.177599</v>
      </c>
      <c r="P7" s="482">
        <f t="shared" si="1"/>
        <v>0.00615119862979893</v>
      </c>
      <c r="Q7" s="481">
        <v>5.5256</v>
      </c>
      <c r="R7" s="482">
        <f t="shared" si="3"/>
        <v>-0.967858875054293</v>
      </c>
      <c r="S7" s="171"/>
    </row>
    <row r="8" s="459" customFormat="1" ht="22.5" customHeight="1" outlineLevel="2" spans="1:21">
      <c r="A8" s="476" t="s">
        <v>45</v>
      </c>
      <c r="B8" s="477">
        <f>B4-B5</f>
        <v>116.57615161</v>
      </c>
      <c r="C8" s="477">
        <f>C4-C5</f>
        <v>0.761981</v>
      </c>
      <c r="D8" s="477">
        <f>D4-D5</f>
        <v>0.529353</v>
      </c>
      <c r="E8" s="477">
        <f t="shared" ref="E8:N8" si="4">E4-E5</f>
        <v>0.142642</v>
      </c>
      <c r="F8" s="477">
        <f t="shared" si="4"/>
        <v>0.0169540000000001</v>
      </c>
      <c r="G8" s="478">
        <f t="shared" si="4"/>
        <v>0</v>
      </c>
      <c r="H8" s="478">
        <f t="shared" si="4"/>
        <v>0</v>
      </c>
      <c r="I8" s="478">
        <f t="shared" si="4"/>
        <v>0</v>
      </c>
      <c r="J8" s="478">
        <f t="shared" si="4"/>
        <v>0</v>
      </c>
      <c r="K8" s="478">
        <f t="shared" si="4"/>
        <v>0</v>
      </c>
      <c r="L8" s="478">
        <f t="shared" si="4"/>
        <v>0</v>
      </c>
      <c r="M8" s="478">
        <f t="shared" si="4"/>
        <v>0</v>
      </c>
      <c r="N8" s="478">
        <f t="shared" si="4"/>
        <v>0</v>
      </c>
      <c r="O8" s="479">
        <f t="shared" si="0"/>
        <v>1.45093</v>
      </c>
      <c r="P8" s="482">
        <f t="shared" si="1"/>
        <v>0.0124461991579034</v>
      </c>
      <c r="Q8" s="481">
        <v>13.229252</v>
      </c>
      <c r="R8" s="482">
        <f t="shared" si="3"/>
        <v>-0.890324109027479</v>
      </c>
      <c r="S8" s="171"/>
    </row>
    <row r="9" s="459" customFormat="1" ht="22.5" customHeight="1" outlineLevel="2" spans="1:21">
      <c r="A9" s="476" t="s">
        <v>46</v>
      </c>
      <c r="B9" s="477">
        <f>SUM(B10:B14)</f>
        <v>99.4343107697552</v>
      </c>
      <c r="C9" s="477">
        <f>SUM(C10:C14)</f>
        <v>8.4726830096</v>
      </c>
      <c r="D9" s="477">
        <f>SUM(D10:D14)</f>
        <v>7.645275</v>
      </c>
      <c r="E9" s="477">
        <f>SUM(E10:E14)</f>
        <v>7.306744</v>
      </c>
      <c r="F9" s="477">
        <f t="shared" ref="D9:N9" si="5">SUM(F10:F14)</f>
        <v>7.441265</v>
      </c>
      <c r="G9" s="477">
        <f t="shared" si="5"/>
        <v>0</v>
      </c>
      <c r="H9" s="477">
        <f t="shared" si="5"/>
        <v>0</v>
      </c>
      <c r="I9" s="477">
        <f t="shared" si="5"/>
        <v>0</v>
      </c>
      <c r="J9" s="477">
        <f t="shared" si="5"/>
        <v>0</v>
      </c>
      <c r="K9" s="477">
        <f t="shared" si="5"/>
        <v>0</v>
      </c>
      <c r="L9" s="477">
        <f t="shared" si="5"/>
        <v>0</v>
      </c>
      <c r="M9" s="477">
        <f t="shared" si="5"/>
        <v>0</v>
      </c>
      <c r="N9" s="477">
        <f t="shared" si="5"/>
        <v>0</v>
      </c>
      <c r="O9" s="479">
        <f t="shared" si="0"/>
        <v>30.8659670096</v>
      </c>
      <c r="P9" s="482">
        <f t="shared" si="1"/>
        <v>0.31041565804254</v>
      </c>
      <c r="Q9" s="481">
        <v>19.24405</v>
      </c>
      <c r="R9" s="482">
        <f t="shared" si="3"/>
        <v>0.603922615540908</v>
      </c>
      <c r="S9" s="171"/>
    </row>
    <row r="10" ht="22.5" customHeight="1" outlineLevel="2" spans="1:21">
      <c r="A10" s="485" t="s">
        <v>47</v>
      </c>
      <c r="B10" s="483">
        <v>9.106746</v>
      </c>
      <c r="C10" s="483">
        <f>基本法支出!B17</f>
        <v>1.194006</v>
      </c>
      <c r="D10" s="483">
        <f>基本法支出!C17</f>
        <v>0.978819</v>
      </c>
      <c r="E10" s="483">
        <f>基本法支出!D17</f>
        <v>0.640288</v>
      </c>
      <c r="F10" s="483">
        <f>基本法支出!E17</f>
        <v>0.614809</v>
      </c>
      <c r="G10" s="483">
        <f>基本法支出!F17</f>
        <v>0</v>
      </c>
      <c r="H10" s="483">
        <f>基本法支出!G17</f>
        <v>0</v>
      </c>
      <c r="I10" s="483">
        <f>基本法支出!H17</f>
        <v>0</v>
      </c>
      <c r="J10" s="483">
        <f>基本法支出!I17</f>
        <v>0</v>
      </c>
      <c r="K10" s="483">
        <f>基本法支出!J17</f>
        <v>0</v>
      </c>
      <c r="L10" s="483">
        <f>基本法支出!K17</f>
        <v>0</v>
      </c>
      <c r="M10" s="483">
        <f>基本法支出!L17</f>
        <v>0</v>
      </c>
      <c r="N10" s="483">
        <f>基本法支出!M17</f>
        <v>0</v>
      </c>
      <c r="O10" s="479">
        <f t="shared" si="0"/>
        <v>3.427922</v>
      </c>
      <c r="P10" s="480">
        <f t="shared" si="1"/>
        <v>0.376415681298238</v>
      </c>
      <c r="Q10" s="481">
        <v>0.529702</v>
      </c>
      <c r="R10" s="482">
        <f t="shared" si="3"/>
        <v>5.4714160037153</v>
      </c>
      <c r="S10" s="171"/>
    </row>
    <row r="11" ht="22.5" customHeight="1" outlineLevel="2" spans="1:21">
      <c r="A11" s="485" t="s">
        <v>48</v>
      </c>
      <c r="B11" s="483">
        <v>86.288744</v>
      </c>
      <c r="C11" s="483">
        <f>基本法支出!B18</f>
        <v>6.921186</v>
      </c>
      <c r="D11" s="483">
        <f>基本法支出!C18</f>
        <v>6.621186</v>
      </c>
      <c r="E11" s="483">
        <f>基本法支出!D18</f>
        <v>6.621186</v>
      </c>
      <c r="F11" s="483">
        <f>基本法支出!E18</f>
        <v>6.781186</v>
      </c>
      <c r="G11" s="483">
        <f>基本法支出!F18</f>
        <v>0</v>
      </c>
      <c r="H11" s="486">
        <f>基本法支出!G18</f>
        <v>0</v>
      </c>
      <c r="I11" s="486">
        <f>基本法支出!H18</f>
        <v>0</v>
      </c>
      <c r="J11" s="486">
        <f>基本法支出!I18</f>
        <v>0</v>
      </c>
      <c r="K11" s="486">
        <f>基本法支出!J18</f>
        <v>0</v>
      </c>
      <c r="L11" s="486">
        <f>基本法支出!K18</f>
        <v>0</v>
      </c>
      <c r="M11" s="486">
        <f>基本法支出!L18</f>
        <v>0</v>
      </c>
      <c r="N11" s="486">
        <f>基本法支出!M18</f>
        <v>0</v>
      </c>
      <c r="O11" s="479">
        <f t="shared" si="0"/>
        <v>26.944744</v>
      </c>
      <c r="P11" s="480">
        <f t="shared" si="1"/>
        <v>0.312262558833861</v>
      </c>
      <c r="Q11" s="481">
        <v>4.731516</v>
      </c>
      <c r="R11" s="482">
        <f t="shared" si="3"/>
        <v>4.69473800786048</v>
      </c>
      <c r="S11" s="171"/>
    </row>
    <row r="12" ht="22.5" customHeight="1" outlineLevel="2" spans="1:21">
      <c r="A12" s="485" t="s">
        <v>49</v>
      </c>
      <c r="B12" s="483">
        <v>0.638244</v>
      </c>
      <c r="C12" s="483">
        <f>基本法支出!B19</f>
        <v>0.053187</v>
      </c>
      <c r="D12" s="483">
        <f>基本法支出!C19</f>
        <v>0.04527</v>
      </c>
      <c r="E12" s="483">
        <f>基本法支出!D19</f>
        <v>0.04527</v>
      </c>
      <c r="F12" s="483">
        <f>基本法支出!E19</f>
        <v>0.04527</v>
      </c>
      <c r="G12" s="486">
        <f>基本法支出!F19</f>
        <v>0</v>
      </c>
      <c r="H12" s="486">
        <f>基本法支出!G19</f>
        <v>0</v>
      </c>
      <c r="I12" s="486">
        <f>基本法支出!H19</f>
        <v>0</v>
      </c>
      <c r="J12" s="486">
        <f>基本法支出!I19</f>
        <v>0</v>
      </c>
      <c r="K12" s="486">
        <f>基本法支出!J19</f>
        <v>0</v>
      </c>
      <c r="L12" s="486">
        <f>基本法支出!K19</f>
        <v>0</v>
      </c>
      <c r="M12" s="486">
        <f>基本法支出!L19</f>
        <v>0</v>
      </c>
      <c r="N12" s="486">
        <f>基本法支出!M19</f>
        <v>0</v>
      </c>
      <c r="O12" s="479">
        <f t="shared" si="0"/>
        <v>0.188997</v>
      </c>
      <c r="P12" s="480">
        <f t="shared" si="1"/>
        <v>0.296120292552691</v>
      </c>
      <c r="Q12" s="481">
        <v>13.31</v>
      </c>
      <c r="R12" s="482">
        <f t="shared" si="3"/>
        <v>-0.9858003756574</v>
      </c>
      <c r="S12" s="171"/>
    </row>
    <row r="13" ht="22.5" customHeight="1" outlineLevel="1" spans="1:21">
      <c r="A13" s="485" t="s">
        <v>50</v>
      </c>
      <c r="B13" s="483">
        <v>3.08266376975524</v>
      </c>
      <c r="C13" s="483">
        <f>基本法支出!B27</f>
        <v>0.0047640096</v>
      </c>
      <c r="D13" s="483">
        <f>基本法支出!C27</f>
        <v>0</v>
      </c>
      <c r="E13" s="483">
        <f>基本法支出!D27</f>
        <v>0</v>
      </c>
      <c r="F13" s="483">
        <f>基本法支出!E27</f>
        <v>0</v>
      </c>
      <c r="G13" s="483">
        <f>基本法支出!F27</f>
        <v>0</v>
      </c>
      <c r="H13" s="483">
        <f>基本法支出!G27</f>
        <v>0</v>
      </c>
      <c r="I13" s="483">
        <f>基本法支出!H27</f>
        <v>0</v>
      </c>
      <c r="J13" s="483">
        <f>基本法支出!I27</f>
        <v>0</v>
      </c>
      <c r="K13" s="483">
        <f>基本法支出!J27</f>
        <v>0</v>
      </c>
      <c r="L13" s="483">
        <f>基本法支出!K27</f>
        <v>0</v>
      </c>
      <c r="M13" s="483">
        <f>基本法支出!L27</f>
        <v>0</v>
      </c>
      <c r="N13" s="483">
        <f>基本法支出!M27</f>
        <v>0</v>
      </c>
      <c r="O13" s="487">
        <f t="shared" si="0"/>
        <v>0.0047640096</v>
      </c>
      <c r="P13" s="480">
        <f t="shared" si="1"/>
        <v>0.00154541979139628</v>
      </c>
      <c r="Q13" s="481">
        <v>0.122162</v>
      </c>
      <c r="R13" s="482">
        <f t="shared" si="3"/>
        <v>-0.961002524516625</v>
      </c>
      <c r="S13" s="171"/>
    </row>
    <row r="14" ht="22.5" customHeight="1" outlineLevel="1" spans="1:21">
      <c r="A14" s="485" t="s">
        <v>51</v>
      </c>
      <c r="B14" s="483">
        <v>0.317913</v>
      </c>
      <c r="C14" s="483">
        <v>0.29954</v>
      </c>
      <c r="D14" s="483"/>
      <c r="E14" s="483"/>
      <c r="F14" s="483"/>
      <c r="G14" s="483"/>
      <c r="H14" s="483"/>
      <c r="I14" s="483"/>
      <c r="J14" s="483"/>
      <c r="K14" s="483"/>
      <c r="L14" s="483"/>
      <c r="M14" s="483"/>
      <c r="N14" s="483"/>
      <c r="O14" s="487">
        <f t="shared" si="0"/>
        <v>0.29954</v>
      </c>
      <c r="P14" s="480">
        <f t="shared" si="1"/>
        <v>0.942207459273449</v>
      </c>
      <c r="Q14" s="481">
        <v>0.55067</v>
      </c>
      <c r="R14" s="482">
        <f t="shared" si="3"/>
        <v>-0.456044454936713</v>
      </c>
      <c r="S14" s="171"/>
    </row>
    <row r="15" ht="22.5" customHeight="1" spans="1:21">
      <c r="A15" s="476" t="s">
        <v>52</v>
      </c>
      <c r="B15" s="477">
        <f>B8-B9</f>
        <v>17.1418408402448</v>
      </c>
      <c r="C15" s="477">
        <f>C8-C10-C11-C12-C13-C14</f>
        <v>-7.7107020096</v>
      </c>
      <c r="D15" s="477">
        <f t="shared" ref="D15:N15" si="6">D8-D10-D11-D12-D13</f>
        <v>-7.115922</v>
      </c>
      <c r="E15" s="477">
        <f>E8-E10-E11-E12-E13-E14</f>
        <v>-7.164102</v>
      </c>
      <c r="F15" s="477">
        <f t="shared" si="6"/>
        <v>-7.424311</v>
      </c>
      <c r="G15" s="477">
        <f t="shared" si="6"/>
        <v>0</v>
      </c>
      <c r="H15" s="477">
        <f t="shared" si="6"/>
        <v>0</v>
      </c>
      <c r="I15" s="477">
        <f t="shared" si="6"/>
        <v>0</v>
      </c>
      <c r="J15" s="477">
        <f t="shared" si="6"/>
        <v>0</v>
      </c>
      <c r="K15" s="477">
        <f t="shared" si="6"/>
        <v>0</v>
      </c>
      <c r="L15" s="477">
        <f t="shared" si="6"/>
        <v>0</v>
      </c>
      <c r="M15" s="477">
        <f t="shared" si="6"/>
        <v>0</v>
      </c>
      <c r="N15" s="477">
        <f t="shared" si="6"/>
        <v>0</v>
      </c>
      <c r="O15" s="479">
        <f t="shared" ref="O15:O21" si="7">SUM(C15:N15)</f>
        <v>-29.4150370096</v>
      </c>
      <c r="P15" s="480">
        <f t="shared" si="1"/>
        <v>-1.71597888953331</v>
      </c>
      <c r="Q15" s="481">
        <v>-6.014798</v>
      </c>
      <c r="R15" s="482">
        <f t="shared" si="3"/>
        <v>3.89044470148457</v>
      </c>
      <c r="S15" s="171"/>
    </row>
    <row r="16" ht="22.5" customHeight="1" spans="1:21">
      <c r="A16" s="488" t="s">
        <v>53</v>
      </c>
      <c r="B16" s="477">
        <f>B17-B18</f>
        <v>8.6879647065396</v>
      </c>
      <c r="C16" s="483">
        <f>C17-C18</f>
        <v>-0.0433660000000002</v>
      </c>
      <c r="D16" s="483">
        <f t="shared" ref="D16:N16" si="8">D17-D18</f>
        <v>1.18380679245283</v>
      </c>
      <c r="E16" s="483">
        <f t="shared" si="8"/>
        <v>5.441876</v>
      </c>
      <c r="F16" s="483">
        <f t="shared" si="8"/>
        <v>3.270583</v>
      </c>
      <c r="G16" s="483">
        <f t="shared" si="8"/>
        <v>0</v>
      </c>
      <c r="H16" s="483">
        <f t="shared" si="8"/>
        <v>0</v>
      </c>
      <c r="I16" s="483">
        <f t="shared" si="8"/>
        <v>0</v>
      </c>
      <c r="J16" s="483">
        <f t="shared" si="8"/>
        <v>0</v>
      </c>
      <c r="K16" s="483">
        <f t="shared" si="8"/>
        <v>0</v>
      </c>
      <c r="L16" s="483">
        <f t="shared" si="8"/>
        <v>0</v>
      </c>
      <c r="M16" s="483">
        <f t="shared" si="8"/>
        <v>0</v>
      </c>
      <c r="N16" s="483">
        <f t="shared" si="8"/>
        <v>0</v>
      </c>
      <c r="O16" s="479">
        <f t="shared" si="7"/>
        <v>9.85289979245283</v>
      </c>
      <c r="P16" s="480">
        <f>O16/B16</f>
        <v>1.13408607484747</v>
      </c>
      <c r="Q16" s="481">
        <v>26.2241673396226</v>
      </c>
      <c r="R16" s="482">
        <f t="shared" si="3"/>
        <v>-0.624281691584316</v>
      </c>
      <c r="S16" s="171"/>
    </row>
    <row r="17" ht="22.5" customHeight="1" spans="1:19">
      <c r="A17" s="489" t="s">
        <v>54</v>
      </c>
      <c r="B17" s="483">
        <v>17.7290043393396</v>
      </c>
      <c r="C17" s="483">
        <f>收入明细表!C13</f>
        <v>1.542017</v>
      </c>
      <c r="D17" s="483">
        <f>收入明细表!D13</f>
        <v>3.18202679245283</v>
      </c>
      <c r="E17" s="483">
        <f>收入明细表!E13</f>
        <v>7.051776</v>
      </c>
      <c r="F17" s="483">
        <f>收入明细表!F13</f>
        <v>4.417705</v>
      </c>
      <c r="G17" s="483">
        <f>收入明细表!G13</f>
        <v>0</v>
      </c>
      <c r="H17" s="483">
        <f>收入明细表!H13</f>
        <v>0</v>
      </c>
      <c r="I17" s="483">
        <f>收入明细表!I13</f>
        <v>0</v>
      </c>
      <c r="J17" s="483">
        <f>收入明细表!J13</f>
        <v>0</v>
      </c>
      <c r="K17" s="483">
        <f>收入明细表!K13</f>
        <v>0</v>
      </c>
      <c r="L17" s="483">
        <f>收入明细表!L13</f>
        <v>0</v>
      </c>
      <c r="M17" s="483">
        <f>收入明细表!M13</f>
        <v>0</v>
      </c>
      <c r="N17" s="483">
        <f>收入明细表!N13</f>
        <v>0</v>
      </c>
      <c r="O17" s="479">
        <f t="shared" si="7"/>
        <v>16.1935247924528</v>
      </c>
      <c r="P17" s="480">
        <f>O17/B17</f>
        <v>0.913391665008529</v>
      </c>
      <c r="Q17" s="481">
        <v>42.2845853396226</v>
      </c>
      <c r="R17" s="482">
        <f t="shared" si="3"/>
        <v>-0.617034797376179</v>
      </c>
      <c r="S17" s="171"/>
    </row>
    <row r="18" ht="22.5" customHeight="1" spans="1:19">
      <c r="A18" s="489" t="s">
        <v>55</v>
      </c>
      <c r="B18" s="483">
        <v>9.0410396328</v>
      </c>
      <c r="C18" s="483">
        <f>基本法支出!B5+基本法支出!B6+基本法支出!B7</f>
        <v>1.585383</v>
      </c>
      <c r="D18" s="483">
        <f>基本法支出!C5+基本法支出!C6+基本法支出!C7</f>
        <v>1.99822</v>
      </c>
      <c r="E18" s="483">
        <f>基本法支出!D5+基本法支出!D6+基本法支出!D7</f>
        <v>1.6099</v>
      </c>
      <c r="F18" s="483">
        <f>基本法支出!E5+基本法支出!E6+基本法支出!E7</f>
        <v>1.147122</v>
      </c>
      <c r="G18" s="483">
        <f>基本法支出!F5+基本法支出!F6+基本法支出!F7</f>
        <v>0</v>
      </c>
      <c r="H18" s="483">
        <f>基本法支出!G5+基本法支出!G6+基本法支出!G7</f>
        <v>0</v>
      </c>
      <c r="I18" s="483">
        <f>基本法支出!H5+基本法支出!H6+基本法支出!H7</f>
        <v>0</v>
      </c>
      <c r="J18" s="483">
        <f>基本法支出!I5+基本法支出!I6+基本法支出!I7</f>
        <v>0</v>
      </c>
      <c r="K18" s="483">
        <f>基本法支出!J5+基本法支出!J6+基本法支出!J7</f>
        <v>0</v>
      </c>
      <c r="L18" s="483">
        <f>基本法支出!K5+基本法支出!K6+基本法支出!K7</f>
        <v>0</v>
      </c>
      <c r="M18" s="483">
        <f>基本法支出!L5+基本法支出!L6+基本法支出!L7</f>
        <v>0</v>
      </c>
      <c r="N18" s="483">
        <f>基本法支出!M5+基本法支出!M6+基本法支出!M7</f>
        <v>0</v>
      </c>
      <c r="O18" s="479">
        <f t="shared" si="7"/>
        <v>6.340625</v>
      </c>
      <c r="P18" s="480">
        <f>O18/B18</f>
        <v>0.701315916921416</v>
      </c>
      <c r="Q18" s="481">
        <v>16.060418</v>
      </c>
      <c r="R18" s="482">
        <f t="shared" si="3"/>
        <v>-0.605201745060434</v>
      </c>
      <c r="S18" s="171"/>
    </row>
    <row r="19" ht="22.5" customHeight="1" spans="1:19">
      <c r="A19" s="488" t="s">
        <v>56</v>
      </c>
      <c r="B19" s="477">
        <f>B15+B16</f>
        <v>25.8298055467844</v>
      </c>
      <c r="C19" s="477">
        <f>C15+C16</f>
        <v>-7.7540680096</v>
      </c>
      <c r="D19" s="477">
        <f t="shared" ref="C19:O19" si="9">D15+D16</f>
        <v>-5.93211520754717</v>
      </c>
      <c r="E19" s="477">
        <f t="shared" si="9"/>
        <v>-1.722226</v>
      </c>
      <c r="F19" s="477">
        <f t="shared" si="9"/>
        <v>-4.153728</v>
      </c>
      <c r="G19" s="477">
        <f t="shared" si="9"/>
        <v>0</v>
      </c>
      <c r="H19" s="477">
        <f t="shared" si="9"/>
        <v>0</v>
      </c>
      <c r="I19" s="477">
        <f t="shared" si="9"/>
        <v>0</v>
      </c>
      <c r="J19" s="477">
        <f t="shared" si="9"/>
        <v>0</v>
      </c>
      <c r="K19" s="477">
        <f t="shared" si="9"/>
        <v>0</v>
      </c>
      <c r="L19" s="477">
        <f t="shared" si="9"/>
        <v>0</v>
      </c>
      <c r="M19" s="477">
        <f t="shared" si="9"/>
        <v>0</v>
      </c>
      <c r="N19" s="477">
        <f t="shared" si="9"/>
        <v>0</v>
      </c>
      <c r="O19" s="479">
        <f t="shared" si="9"/>
        <v>-19.5621372171472</v>
      </c>
      <c r="P19" s="490">
        <f>O19/B19</f>
        <v>-0.757347444281573</v>
      </c>
      <c r="Q19" s="481">
        <v>13.229252</v>
      </c>
      <c r="R19" s="482">
        <f t="shared" si="3"/>
        <v>-2.47870319630673</v>
      </c>
      <c r="S19" s="171"/>
    </row>
    <row r="20" ht="22.5" customHeight="1" spans="1:19">
      <c r="A20" s="488" t="s">
        <v>57</v>
      </c>
      <c r="B20" s="477">
        <f>B21-B22-B23</f>
        <v>255.187239424057</v>
      </c>
      <c r="C20" s="477">
        <f>C21-C22</f>
        <v>28.387371</v>
      </c>
      <c r="D20" s="477">
        <f t="shared" ref="C20:H20" si="10">D21-D22</f>
        <v>16.2166282075472</v>
      </c>
      <c r="E20" s="477">
        <f>E21-E22-E23</f>
        <v>22.739144</v>
      </c>
      <c r="F20" s="477">
        <f t="shared" si="10"/>
        <v>18.993742</v>
      </c>
      <c r="G20" s="477">
        <f t="shared" si="10"/>
        <v>0</v>
      </c>
      <c r="H20" s="477">
        <f t="shared" ref="H20:M20" si="11">H21-H22-H23</f>
        <v>0</v>
      </c>
      <c r="I20" s="477">
        <f t="shared" si="11"/>
        <v>0</v>
      </c>
      <c r="J20" s="477">
        <f t="shared" si="11"/>
        <v>0</v>
      </c>
      <c r="K20" s="477">
        <f t="shared" si="11"/>
        <v>0</v>
      </c>
      <c r="L20" s="477">
        <f t="shared" si="11"/>
        <v>0</v>
      </c>
      <c r="M20" s="477">
        <f t="shared" si="11"/>
        <v>0</v>
      </c>
      <c r="N20" s="477">
        <f>N21-N22</f>
        <v>0</v>
      </c>
      <c r="O20" s="479">
        <f>SUM(C20:N20)</f>
        <v>86.3368852075472</v>
      </c>
      <c r="P20" s="480">
        <f>IFERROR(O20/B20,0)</f>
        <v>0.3383275958563</v>
      </c>
      <c r="Q20" s="481">
        <v>49.6081496603774</v>
      </c>
      <c r="R20" s="482">
        <f t="shared" si="3"/>
        <v>0.740377050920435</v>
      </c>
      <c r="S20" s="171"/>
    </row>
    <row r="21" ht="22.5" customHeight="1" outlineLevel="1" spans="1:19">
      <c r="A21" s="489" t="s">
        <v>58</v>
      </c>
      <c r="B21" s="483">
        <v>327.214190424057</v>
      </c>
      <c r="C21" s="483">
        <f>收入明细表!C18</f>
        <v>28.387371</v>
      </c>
      <c r="D21" s="483">
        <f>收入明细表!D18</f>
        <v>16.0386582075472</v>
      </c>
      <c r="E21" s="483">
        <f>收入明细表!E18+E23</f>
        <v>24.480537</v>
      </c>
      <c r="F21" s="483">
        <f>收入明细表!F18</f>
        <v>18.993742</v>
      </c>
      <c r="G21" s="483">
        <f>收入明细表!G18</f>
        <v>0</v>
      </c>
      <c r="H21" s="483">
        <f>收入明细表!H18+H23</f>
        <v>0</v>
      </c>
      <c r="I21" s="483">
        <f>收入明细表!I18+I23</f>
        <v>0</v>
      </c>
      <c r="J21" s="483">
        <f>收入明细表!J18+J23</f>
        <v>0</v>
      </c>
      <c r="K21" s="483">
        <f>收入明细表!K18+K23</f>
        <v>0</v>
      </c>
      <c r="L21" s="483">
        <f>收入明细表!L18+L23</f>
        <v>0</v>
      </c>
      <c r="M21" s="483">
        <f>收入明细表!M18+M23</f>
        <v>0</v>
      </c>
      <c r="N21" s="483">
        <f>收入明细表!N18+N23</f>
        <v>0</v>
      </c>
      <c r="O21" s="479">
        <f>SUM(C21:N21)</f>
        <v>87.9003082075472</v>
      </c>
      <c r="P21" s="480">
        <f>IFERROR(O21/B21,0)</f>
        <v>0.268632323352578</v>
      </c>
      <c r="Q21" s="481">
        <v>50.6482316603774</v>
      </c>
      <c r="R21" s="482">
        <f t="shared" si="3"/>
        <v>0.735505965873878</v>
      </c>
      <c r="S21" s="171"/>
    </row>
    <row r="22" ht="22.5" customHeight="1" outlineLevel="1" spans="1:19">
      <c r="A22" s="489" t="s">
        <v>59</v>
      </c>
      <c r="B22" s="483"/>
      <c r="C22" s="483"/>
      <c r="D22" s="483">
        <f>基本法支出!C4</f>
        <v>-0.17797</v>
      </c>
      <c r="E22" s="483"/>
      <c r="F22" s="483"/>
      <c r="G22" s="483"/>
      <c r="H22" s="483"/>
      <c r="I22" s="483"/>
      <c r="J22" s="483"/>
      <c r="K22" s="483"/>
      <c r="L22" s="483"/>
      <c r="M22" s="483"/>
      <c r="N22" s="483"/>
      <c r="O22" s="479">
        <f>SUM(C22:N22)</f>
        <v>-0.17797</v>
      </c>
      <c r="P22" s="480">
        <f>IFERROR(O22/B22,0)</f>
        <v>0</v>
      </c>
      <c r="Q22" s="481"/>
      <c r="R22" s="482" t="e">
        <f t="shared" si="3"/>
        <v>#DIV/0!</v>
      </c>
      <c r="S22" s="171"/>
    </row>
    <row r="23" ht="22.5" customHeight="1" outlineLevel="1" spans="1:19">
      <c r="A23" s="489" t="s">
        <v>60</v>
      </c>
      <c r="B23" s="483">
        <v>72.026951</v>
      </c>
      <c r="C23" s="483"/>
      <c r="D23" s="483"/>
      <c r="E23" s="483">
        <f>收入明细表!E23</f>
        <v>1.741393</v>
      </c>
      <c r="F23" s="483"/>
      <c r="G23" s="483">
        <f>基本法支出!F4</f>
        <v>0</v>
      </c>
      <c r="H23" s="483">
        <f>收入明细表!H23</f>
        <v>0</v>
      </c>
      <c r="I23" s="483">
        <f>收入明细表!I23</f>
        <v>0</v>
      </c>
      <c r="J23" s="483">
        <f>收入明细表!J23</f>
        <v>0</v>
      </c>
      <c r="K23" s="483">
        <f>收入明细表!K23</f>
        <v>0</v>
      </c>
      <c r="L23" s="483">
        <f>收入明细表!L23</f>
        <v>0</v>
      </c>
      <c r="M23" s="483">
        <f>收入明细表!M23</f>
        <v>0</v>
      </c>
      <c r="N23" s="483">
        <f>收入明细表!N23</f>
        <v>0</v>
      </c>
      <c r="O23" s="479">
        <f>SUM(C23:N23)</f>
        <v>1.741393</v>
      </c>
      <c r="P23" s="480">
        <f>IFERROR(O23/B23,0)</f>
        <v>0.0241769639811631</v>
      </c>
      <c r="Q23" s="481"/>
      <c r="R23" s="482" t="e">
        <f t="shared" si="3"/>
        <v>#DIV/0!</v>
      </c>
      <c r="S23" s="171"/>
    </row>
    <row r="24" ht="22.5" customHeight="1" outlineLevel="1" spans="1:19">
      <c r="A24" s="489" t="s">
        <v>61</v>
      </c>
      <c r="B24" s="483">
        <v>0.883575</v>
      </c>
      <c r="C24" s="483"/>
      <c r="D24" s="483"/>
      <c r="E24" s="483"/>
      <c r="F24" s="483"/>
      <c r="G24" s="483"/>
      <c r="H24" s="483"/>
      <c r="I24" s="483"/>
      <c r="J24" s="483"/>
      <c r="K24" s="483"/>
      <c r="L24" s="483"/>
      <c r="M24" s="483"/>
      <c r="N24" s="483"/>
      <c r="O24" s="479">
        <f>SUM(C24:N24)</f>
        <v>0</v>
      </c>
      <c r="P24" s="480"/>
      <c r="Q24" s="481"/>
      <c r="R24" s="482" t="e">
        <f t="shared" si="3"/>
        <v>#DIV/0!</v>
      </c>
    </row>
    <row r="25" ht="22.5" customHeight="1" spans="1:19">
      <c r="A25" s="476" t="s">
        <v>62</v>
      </c>
      <c r="B25" s="477">
        <f>SUM(B26:B29)</f>
        <v>292.180873125478</v>
      </c>
      <c r="C25" s="477">
        <f>SUM(C26:C29)</f>
        <v>22.47453</v>
      </c>
      <c r="D25" s="477">
        <f>SUM(D26:D29)</f>
        <v>20.586543</v>
      </c>
      <c r="E25" s="477">
        <f t="shared" ref="C25:N25" si="12">SUM(E26:E29)</f>
        <v>20.812519</v>
      </c>
      <c r="F25" s="477">
        <f t="shared" si="12"/>
        <v>20.913502</v>
      </c>
      <c r="G25" s="484">
        <f t="shared" si="12"/>
        <v>0</v>
      </c>
      <c r="H25" s="484">
        <f t="shared" si="12"/>
        <v>0</v>
      </c>
      <c r="I25" s="484">
        <f t="shared" si="12"/>
        <v>0</v>
      </c>
      <c r="J25" s="484">
        <f t="shared" si="12"/>
        <v>0</v>
      </c>
      <c r="K25" s="484">
        <f t="shared" si="12"/>
        <v>0</v>
      </c>
      <c r="L25" s="484">
        <f t="shared" si="12"/>
        <v>0</v>
      </c>
      <c r="M25" s="484">
        <f t="shared" si="12"/>
        <v>0</v>
      </c>
      <c r="N25" s="484">
        <f t="shared" si="12"/>
        <v>0</v>
      </c>
      <c r="O25" s="487">
        <f t="shared" ref="O25:O34" si="13">SUM(C25:N25)</f>
        <v>84.787094</v>
      </c>
      <c r="P25" s="480">
        <f t="shared" ref="P25:P38" si="14">IFERROR(O25/B25,0)</f>
        <v>0.290187010166089</v>
      </c>
      <c r="Q25" s="481">
        <v>41.321634</v>
      </c>
      <c r="R25" s="482">
        <f t="shared" ref="R25:R32" si="15">(Q25-O25)/Q25</f>
        <v>-1.05188144302328</v>
      </c>
    </row>
    <row r="26" ht="22.5" customHeight="1" outlineLevel="1" spans="1:19">
      <c r="A26" s="489" t="s">
        <v>63</v>
      </c>
      <c r="B26" s="483">
        <v>29.6183181254776</v>
      </c>
      <c r="C26" s="483">
        <f>日常行政费用明细!D22</f>
        <v>1.062829</v>
      </c>
      <c r="D26" s="483">
        <f>日常行政费用明细!E22</f>
        <v>0.326128</v>
      </c>
      <c r="E26" s="483">
        <f>日常行政费用明细!F22</f>
        <v>0.263238</v>
      </c>
      <c r="F26" s="483">
        <f>日常行政费用明细!G22</f>
        <v>0.083796</v>
      </c>
      <c r="G26" s="483">
        <f>日常行政费用明细!H22</f>
        <v>0</v>
      </c>
      <c r="H26" s="483">
        <f>日常行政费用明细!I22</f>
        <v>0</v>
      </c>
      <c r="I26" s="483">
        <f>日常行政费用明细!J22</f>
        <v>0</v>
      </c>
      <c r="J26" s="483">
        <f>日常行政费用明细!K22</f>
        <v>0</v>
      </c>
      <c r="K26" s="483">
        <f>日常行政费用明细!L22</f>
        <v>0</v>
      </c>
      <c r="L26" s="483">
        <f>日常行政费用明细!M22</f>
        <v>0</v>
      </c>
      <c r="M26" s="483">
        <f>日常行政费用明细!N22</f>
        <v>0</v>
      </c>
      <c r="N26" s="483">
        <f>日常行政费用明细!O22</f>
        <v>0</v>
      </c>
      <c r="O26" s="479">
        <f t="shared" si="13"/>
        <v>1.735991</v>
      </c>
      <c r="P26" s="480">
        <f t="shared" si="14"/>
        <v>0.0586120721860538</v>
      </c>
      <c r="Q26" s="481">
        <v>-0.341326</v>
      </c>
      <c r="R26" s="482">
        <f t="shared" si="15"/>
        <v>6.08602040278209</v>
      </c>
    </row>
    <row r="27" ht="22.5" customHeight="1" outlineLevel="1" spans="1:19">
      <c r="A27" s="489" t="s">
        <v>64</v>
      </c>
      <c r="B27" s="483">
        <v>34.89</v>
      </c>
      <c r="C27" s="483">
        <f>职场成本!B5</f>
        <v>2.909079</v>
      </c>
      <c r="D27" s="483">
        <f>职场成本!C5</f>
        <v>2.627793</v>
      </c>
      <c r="E27" s="483">
        <f>职场成本!D5</f>
        <v>2.996659</v>
      </c>
      <c r="F27" s="483">
        <f>职场成本!E5</f>
        <v>2.777084</v>
      </c>
      <c r="G27" s="483">
        <f>职场成本!F5</f>
        <v>0</v>
      </c>
      <c r="H27" s="483">
        <f>职场成本!G5</f>
        <v>0</v>
      </c>
      <c r="I27" s="483">
        <f>职场成本!H5</f>
        <v>0</v>
      </c>
      <c r="J27" s="483">
        <f>职场成本!I5</f>
        <v>0</v>
      </c>
      <c r="K27" s="483">
        <f>职场成本!J5</f>
        <v>0</v>
      </c>
      <c r="L27" s="483">
        <f>职场成本!K5</f>
        <v>0</v>
      </c>
      <c r="M27" s="483">
        <f>职场成本!L5</f>
        <v>0</v>
      </c>
      <c r="N27" s="483">
        <f>职场成本!M5</f>
        <v>0</v>
      </c>
      <c r="O27" s="479">
        <f t="shared" si="13"/>
        <v>11.310615</v>
      </c>
      <c r="P27" s="480">
        <f t="shared" si="14"/>
        <v>0.324179277730009</v>
      </c>
      <c r="Q27" s="481">
        <v>5.855436</v>
      </c>
      <c r="R27" s="482">
        <f t="shared" si="15"/>
        <v>-0.931643518945472</v>
      </c>
    </row>
    <row r="28" ht="22.5" customHeight="1" outlineLevel="1" spans="1:19">
      <c r="A28" s="489" t="s">
        <v>65</v>
      </c>
      <c r="B28" s="483">
        <v>206.777423</v>
      </c>
      <c r="C28" s="483">
        <f>人力成本!B11</f>
        <v>16.761363</v>
      </c>
      <c r="D28" s="483">
        <f>人力成本!C11</f>
        <v>15.891363</v>
      </c>
      <c r="E28" s="483">
        <f>人力成本!D11</f>
        <v>15.811363</v>
      </c>
      <c r="F28" s="483">
        <f>人力成本!E11</f>
        <v>16.311363</v>
      </c>
      <c r="G28" s="483">
        <f>人力成本!F11</f>
        <v>0</v>
      </c>
      <c r="H28" s="483">
        <f>人力成本!G11</f>
        <v>0</v>
      </c>
      <c r="I28" s="483">
        <f>人力成本!H11</f>
        <v>0</v>
      </c>
      <c r="J28" s="483">
        <f>人力成本!I11</f>
        <v>0</v>
      </c>
      <c r="K28" s="483">
        <f>人力成本!J11</f>
        <v>0</v>
      </c>
      <c r="L28" s="483">
        <f>人力成本!K11</f>
        <v>0</v>
      </c>
      <c r="M28" s="483">
        <f>人力成本!L11</f>
        <v>0</v>
      </c>
      <c r="N28" s="483">
        <f>人力成本!M11</f>
        <v>0</v>
      </c>
      <c r="O28" s="479">
        <f t="shared" si="13"/>
        <v>64.775452</v>
      </c>
      <c r="P28" s="480">
        <f t="shared" si="14"/>
        <v>0.313261723935886</v>
      </c>
      <c r="Q28" s="481">
        <v>32.304962</v>
      </c>
      <c r="R28" s="482">
        <f t="shared" si="15"/>
        <v>-1.00512391873422</v>
      </c>
    </row>
    <row r="29" ht="22.5" customHeight="1" outlineLevel="1" spans="1:19">
      <c r="A29" s="489" t="s">
        <v>66</v>
      </c>
      <c r="B29" s="483">
        <v>20.895132</v>
      </c>
      <c r="C29" s="483">
        <f t="shared" ref="C29:F29" si="16">1.72956+0.011699</f>
        <v>1.741259</v>
      </c>
      <c r="D29" s="483">
        <f t="shared" si="16"/>
        <v>1.741259</v>
      </c>
      <c r="E29" s="483">
        <f t="shared" si="16"/>
        <v>1.741259</v>
      </c>
      <c r="F29" s="483">
        <f t="shared" si="16"/>
        <v>1.741259</v>
      </c>
      <c r="G29" s="483"/>
      <c r="H29" s="483"/>
      <c r="I29" s="483"/>
      <c r="J29" s="483"/>
      <c r="K29" s="483"/>
      <c r="L29" s="483"/>
      <c r="M29" s="483"/>
      <c r="N29" s="483"/>
      <c r="O29" s="479">
        <f t="shared" si="13"/>
        <v>6.965036</v>
      </c>
      <c r="P29" s="480">
        <f t="shared" si="14"/>
        <v>0.333332950469037</v>
      </c>
      <c r="Q29" s="481">
        <v>3.502562</v>
      </c>
      <c r="R29" s="482">
        <f t="shared" si="15"/>
        <v>-0.988554663700457</v>
      </c>
    </row>
    <row r="30" ht="22.5" customHeight="1" outlineLevel="1" spans="1:19">
      <c r="A30" s="476" t="s">
        <v>67</v>
      </c>
      <c r="B30" s="491">
        <v>1.91952812385321</v>
      </c>
      <c r="C30" s="491">
        <f>基本法支出!B30+0.001</f>
        <v>0.2339029904</v>
      </c>
      <c r="D30" s="491">
        <v>0.227859</v>
      </c>
      <c r="E30" s="477">
        <v>0.15366</v>
      </c>
      <c r="F30" s="492">
        <v>0.19</v>
      </c>
      <c r="G30" s="483"/>
      <c r="H30" s="483"/>
      <c r="I30" s="483"/>
      <c r="J30" s="483"/>
      <c r="K30" s="478"/>
      <c r="L30" s="478"/>
      <c r="M30" s="478"/>
      <c r="N30" s="478"/>
      <c r="O30" s="479">
        <f t="shared" si="13"/>
        <v>0.8054219904</v>
      </c>
      <c r="P30" s="480">
        <f t="shared" si="14"/>
        <v>0.419593743061819</v>
      </c>
      <c r="Q30" s="481">
        <v>0.289314</v>
      </c>
      <c r="R30" s="482">
        <f t="shared" si="15"/>
        <v>-1.78390257782202</v>
      </c>
    </row>
    <row r="31" ht="22.5" customHeight="1" spans="1:19">
      <c r="A31" s="476" t="s">
        <v>68</v>
      </c>
      <c r="B31" s="477">
        <v>71.8203523019178</v>
      </c>
      <c r="C31" s="483">
        <v>6.743865</v>
      </c>
      <c r="D31" s="483">
        <v>6.01989</v>
      </c>
      <c r="E31" s="483">
        <v>6.631518</v>
      </c>
      <c r="F31" s="483">
        <v>6.045122</v>
      </c>
      <c r="G31" s="483"/>
      <c r="H31" s="483"/>
      <c r="I31" s="483"/>
      <c r="J31" s="483"/>
      <c r="K31" s="493"/>
      <c r="L31" s="493"/>
      <c r="M31" s="493"/>
      <c r="N31" s="493"/>
      <c r="O31" s="479">
        <f t="shared" si="13"/>
        <v>25.440395</v>
      </c>
      <c r="P31" s="480">
        <f t="shared" si="14"/>
        <v>0.354222642810966</v>
      </c>
      <c r="Q31" s="481">
        <v>14.897526</v>
      </c>
      <c r="R31" s="482">
        <f t="shared" si="15"/>
        <v>-0.707692606141449</v>
      </c>
    </row>
    <row r="32" ht="22.5" customHeight="1" spans="1:19">
      <c r="A32" s="476" t="s">
        <v>69</v>
      </c>
      <c r="B32" s="477"/>
      <c r="C32" s="483"/>
      <c r="D32" s="483">
        <v>0.596874</v>
      </c>
      <c r="E32" s="483"/>
      <c r="F32" s="483"/>
      <c r="G32" s="483"/>
      <c r="H32" s="483"/>
      <c r="I32" s="483"/>
      <c r="J32" s="483"/>
      <c r="K32" s="493"/>
      <c r="L32" s="493"/>
      <c r="M32" s="493"/>
      <c r="N32" s="493"/>
      <c r="O32" s="479">
        <f t="shared" si="13"/>
        <v>0.596874</v>
      </c>
      <c r="P32" s="480">
        <f t="shared" si="14"/>
        <v>0</v>
      </c>
      <c r="Q32" s="481">
        <v>0</v>
      </c>
      <c r="R32" s="482" t="e">
        <f t="shared" si="15"/>
        <v>#DIV/0!</v>
      </c>
    </row>
    <row r="33" ht="22.5" customHeight="1" spans="1:21">
      <c r="A33" s="476" t="s">
        <v>70</v>
      </c>
      <c r="B33" s="477"/>
      <c r="C33" s="483"/>
      <c r="D33" s="483"/>
      <c r="E33" s="483">
        <v>0.012655</v>
      </c>
      <c r="F33" s="483">
        <v>-1.659137</v>
      </c>
      <c r="G33" s="483"/>
      <c r="H33" s="483"/>
      <c r="I33" s="483"/>
      <c r="J33" s="483"/>
      <c r="K33" s="493"/>
      <c r="L33" s="493"/>
      <c r="M33" s="493"/>
      <c r="N33" s="493"/>
      <c r="O33" s="479">
        <f t="shared" si="13"/>
        <v>-1.646482</v>
      </c>
      <c r="P33" s="480"/>
      <c r="Q33" s="481"/>
      <c r="R33" s="482"/>
    </row>
    <row r="34" ht="22.5" customHeight="1" spans="1:21">
      <c r="A34" s="476" t="s">
        <v>71</v>
      </c>
      <c r="B34" s="477">
        <v>15.2396590058571</v>
      </c>
      <c r="C34" s="483"/>
      <c r="D34" s="483"/>
      <c r="E34" s="483">
        <v>1.856303</v>
      </c>
      <c r="F34" s="483"/>
      <c r="G34" s="483"/>
      <c r="H34" s="483"/>
      <c r="I34" s="483"/>
      <c r="J34" s="483"/>
      <c r="K34" s="493"/>
      <c r="L34" s="493"/>
      <c r="M34" s="493"/>
      <c r="N34" s="493"/>
      <c r="O34" s="479">
        <f t="shared" si="13"/>
        <v>1.856303</v>
      </c>
      <c r="P34" s="480">
        <f t="shared" ref="P34:P39" si="17">IFERROR(O34/B34,0)</f>
        <v>0.121807384226023</v>
      </c>
      <c r="Q34" s="481">
        <v>0</v>
      </c>
      <c r="R34" s="482" t="e">
        <f t="shared" ref="R34:R43" si="18">(Q34-O34)/Q34</f>
        <v>#DIV/0!</v>
      </c>
    </row>
    <row r="35" ht="22.5" customHeight="1" spans="1:21">
      <c r="A35" s="476" t="s">
        <v>72</v>
      </c>
      <c r="B35" s="484">
        <f>B19+B20-B25-B30+B31-B32-B34</f>
        <v>43.4973370175709</v>
      </c>
      <c r="C35" s="494">
        <f>C15+C16+C20-C25-C30+C31+C32-C34</f>
        <v>4.668735</v>
      </c>
      <c r="D35" s="495">
        <f>D15+D16+D20-D25-D30+D31+D32-D34</f>
        <v>-3.91312499999997</v>
      </c>
      <c r="E35" s="495">
        <f>E15+E16+E20-E24-E25-E30+E31-E32-E33-E34</f>
        <v>4.813299</v>
      </c>
      <c r="F35" s="495">
        <f>F15+F16+F20-F25-F30+F31-F32-F33-F34</f>
        <v>1.440771</v>
      </c>
      <c r="G35" s="495">
        <f>G15+G16+G20-G25-G30+G31-G32-G34</f>
        <v>0</v>
      </c>
      <c r="H35" s="495">
        <f>H15+H16+H20-H25-H30+H31-H32-H34</f>
        <v>0</v>
      </c>
      <c r="I35" s="495">
        <f>I15+I16+I20-I25-I30+I31-I32-I34</f>
        <v>0</v>
      </c>
      <c r="J35" s="495">
        <f>J15+J16+J20-J25-J30+J31-J32-J34</f>
        <v>0</v>
      </c>
      <c r="K35" s="495">
        <f>K15+K16+K20-K24-K25-K30+K31-K32-K34</f>
        <v>0</v>
      </c>
      <c r="L35" s="495">
        <f>L15+L16+L20-L25-L30+L31-L32-L34</f>
        <v>0</v>
      </c>
      <c r="M35" s="495">
        <f>M15+M16+M20-M25-M30+M31-M32-M34</f>
        <v>0</v>
      </c>
      <c r="N35" s="495">
        <f>N15+N16+N20-N25-N30+N31-N32-N34</f>
        <v>0</v>
      </c>
      <c r="O35" s="496">
        <f>O15+O16+O20-O24-O25-O30+O31+O32-O33-O34</f>
        <v>7.00968000000003</v>
      </c>
      <c r="P35" s="497">
        <f t="shared" si="17"/>
        <v>0.161151934362521</v>
      </c>
      <c r="Q35" s="498">
        <v>43.104097</v>
      </c>
      <c r="R35" s="482">
        <f t="shared" si="18"/>
        <v>0.837377871528082</v>
      </c>
    </row>
    <row r="36" ht="22.5" customHeight="1" spans="1:21">
      <c r="A36" s="476" t="s">
        <v>73</v>
      </c>
      <c r="B36" s="477">
        <v>862</v>
      </c>
      <c r="C36" s="499">
        <f>'保费分析--产品'!B18</f>
        <v>7.1105</v>
      </c>
      <c r="D36" s="495">
        <f>'保费分析--产品'!C18</f>
        <v>0</v>
      </c>
      <c r="E36" s="500">
        <f>'保费分析--产品'!D18</f>
        <v>0.3247</v>
      </c>
      <c r="F36" s="500">
        <f>'保费分析--产品'!E18</f>
        <v>0</v>
      </c>
      <c r="G36" s="500">
        <f>'保费分析--产品'!F18</f>
        <v>0</v>
      </c>
      <c r="H36" s="500">
        <f>'保费分析--产品'!G18</f>
        <v>0</v>
      </c>
      <c r="I36" s="500">
        <f>'保费分析--产品'!H18</f>
        <v>0</v>
      </c>
      <c r="J36" s="500">
        <f>'保费分析--产品'!I18</f>
        <v>0</v>
      </c>
      <c r="K36" s="500">
        <f>'保费分析--产品'!J18</f>
        <v>0</v>
      </c>
      <c r="L36" s="501">
        <f>'保费分析--产品'!K18</f>
        <v>0</v>
      </c>
      <c r="M36" s="502">
        <f>'保费分析--产品'!L18</f>
        <v>0</v>
      </c>
      <c r="N36" s="501">
        <f>'保费分析--产品'!M18</f>
        <v>0</v>
      </c>
      <c r="O36" s="496">
        <f>SUM(C36:N36)</f>
        <v>7.4352</v>
      </c>
      <c r="P36" s="503">
        <f t="shared" si="17"/>
        <v>0.00862552204176334</v>
      </c>
      <c r="Q36" s="504">
        <v>198.742</v>
      </c>
      <c r="R36" s="482">
        <f t="shared" si="18"/>
        <v>0.962588682814906</v>
      </c>
    </row>
    <row r="37" ht="22.5" customHeight="1" spans="1:21">
      <c r="A37" s="476" t="s">
        <v>74</v>
      </c>
      <c r="B37" s="484">
        <v>436.224</v>
      </c>
      <c r="C37" s="505">
        <f>'保费分析-公司'!B16</f>
        <v>5.53326</v>
      </c>
      <c r="D37" s="495">
        <f>'保费分析-公司'!C16</f>
        <v>0</v>
      </c>
      <c r="E37" s="500">
        <f>'保费分析-公司'!D16</f>
        <v>0.0257</v>
      </c>
      <c r="F37" s="500">
        <f>'保费分析-公司'!E16</f>
        <v>0</v>
      </c>
      <c r="G37" s="500">
        <f>'保费分析-公司'!F16</f>
        <v>0</v>
      </c>
      <c r="H37" s="500">
        <f>'保费分析-公司'!G16</f>
        <v>0</v>
      </c>
      <c r="I37" s="500">
        <f>'保费分析-公司'!H16</f>
        <v>0</v>
      </c>
      <c r="J37" s="500">
        <f>'保费分析-公司'!I16</f>
        <v>0</v>
      </c>
      <c r="K37" s="500">
        <f>'保费分析-公司'!J16</f>
        <v>0</v>
      </c>
      <c r="L37" s="500">
        <f>'保费分析-公司'!K16</f>
        <v>0</v>
      </c>
      <c r="M37" s="500">
        <f>'保费分析-公司'!L16</f>
        <v>0</v>
      </c>
      <c r="N37" s="500">
        <f>'保费分析-公司'!M16</f>
        <v>0</v>
      </c>
      <c r="O37" s="496">
        <f>SUM(C37:N37)</f>
        <v>5.55896</v>
      </c>
      <c r="P37" s="503">
        <f t="shared" si="17"/>
        <v>0.0127433612089202</v>
      </c>
      <c r="Q37" s="506">
        <v>99.8105</v>
      </c>
      <c r="R37" s="482">
        <f t="shared" si="18"/>
        <v>0.944304857705352</v>
      </c>
    </row>
    <row r="38" ht="22.5" customHeight="1" spans="1:21">
      <c r="A38" s="476" t="s">
        <v>75</v>
      </c>
      <c r="B38" s="477">
        <v>164.896</v>
      </c>
      <c r="C38" s="499">
        <f>'保费分析-公司'!B15</f>
        <v>1.216575</v>
      </c>
      <c r="D38" s="495">
        <f>'保费分析-公司'!C15</f>
        <v>0</v>
      </c>
      <c r="E38" s="507">
        <f>'保费分析-公司'!D15</f>
        <v>0.0321</v>
      </c>
      <c r="F38" s="507">
        <f>'保费分析-公司'!E15</f>
        <v>0</v>
      </c>
      <c r="G38" s="507">
        <f>'保费分析-公司'!F15</f>
        <v>0</v>
      </c>
      <c r="H38" s="507">
        <f>'保费分析-公司'!G15</f>
        <v>0</v>
      </c>
      <c r="I38" s="507">
        <f>'保费分析-公司'!H15</f>
        <v>0</v>
      </c>
      <c r="J38" s="507">
        <f>'保费分析-公司'!I15</f>
        <v>0</v>
      </c>
      <c r="K38" s="507">
        <f>'保费分析-公司'!J15</f>
        <v>0</v>
      </c>
      <c r="L38" s="507">
        <f>'保费分析-公司'!K15</f>
        <v>0</v>
      </c>
      <c r="M38" s="507">
        <f>'保费分析-公司'!L15</f>
        <v>0</v>
      </c>
      <c r="N38" s="507">
        <f>'保费分析-公司'!M15</f>
        <v>0</v>
      </c>
      <c r="O38" s="496">
        <f>SUM(C38:N38)</f>
        <v>1.248675</v>
      </c>
      <c r="P38" s="503">
        <f t="shared" si="17"/>
        <v>0.00757250024257714</v>
      </c>
      <c r="Q38" s="508">
        <v>26.7293</v>
      </c>
      <c r="R38" s="482">
        <f t="shared" si="18"/>
        <v>0.953284410740274</v>
      </c>
    </row>
    <row r="39" ht="22.5" customHeight="1" spans="1:21">
      <c r="A39" s="488" t="s">
        <v>76</v>
      </c>
      <c r="B39" s="477">
        <f>B40+B31</f>
        <v>827.182288525314</v>
      </c>
      <c r="C39" s="509">
        <f t="shared" ref="C39:P39" si="19">C40+C31</f>
        <v>39.364498</v>
      </c>
      <c r="D39" s="495">
        <f t="shared" si="19"/>
        <v>25.702254</v>
      </c>
      <c r="E39" s="502">
        <f t="shared" si="19"/>
        <v>38.306473</v>
      </c>
      <c r="F39" s="502">
        <f t="shared" si="19"/>
        <v>29.496984</v>
      </c>
      <c r="G39" s="502">
        <f t="shared" si="19"/>
        <v>0</v>
      </c>
      <c r="H39" s="502">
        <f t="shared" si="19"/>
        <v>0</v>
      </c>
      <c r="I39" s="502">
        <f t="shared" si="19"/>
        <v>0</v>
      </c>
      <c r="J39" s="502">
        <f t="shared" si="19"/>
        <v>0</v>
      </c>
      <c r="K39" s="502">
        <f t="shared" si="19"/>
        <v>0</v>
      </c>
      <c r="L39" s="502">
        <f t="shared" si="19"/>
        <v>0</v>
      </c>
      <c r="M39" s="502">
        <f t="shared" si="19"/>
        <v>0</v>
      </c>
      <c r="N39" s="502">
        <f t="shared" si="19"/>
        <v>0</v>
      </c>
      <c r="O39" s="496">
        <f t="shared" si="19"/>
        <v>132.870209</v>
      </c>
      <c r="P39" s="503">
        <f t="shared" si="17"/>
        <v>0.160629900861246</v>
      </c>
      <c r="Q39" s="508"/>
      <c r="R39" s="482" t="e">
        <f t="shared" si="18"/>
        <v>#DIV/0!</v>
      </c>
    </row>
    <row r="40" ht="22.5" customHeight="1" spans="1:21">
      <c r="A40" s="488" t="s">
        <v>77</v>
      </c>
      <c r="B40" s="477">
        <f>B41+B43+B44</f>
        <v>755.361936223396</v>
      </c>
      <c r="C40" s="510">
        <f>C41+C42</f>
        <v>32.620633</v>
      </c>
      <c r="D40" s="495">
        <f t="shared" ref="D40:O40" si="20">D41+D42</f>
        <v>19.682364</v>
      </c>
      <c r="E40" s="500">
        <f t="shared" si="20"/>
        <v>31.674955</v>
      </c>
      <c r="F40" s="500">
        <f t="shared" si="20"/>
        <v>23.451862</v>
      </c>
      <c r="G40" s="500">
        <f t="shared" si="20"/>
        <v>0</v>
      </c>
      <c r="H40" s="500">
        <f t="shared" si="20"/>
        <v>0</v>
      </c>
      <c r="I40" s="500">
        <f t="shared" si="20"/>
        <v>0</v>
      </c>
      <c r="J40" s="500">
        <f t="shared" si="20"/>
        <v>0</v>
      </c>
      <c r="K40" s="500">
        <f t="shared" si="20"/>
        <v>0</v>
      </c>
      <c r="L40" s="500">
        <f t="shared" si="20"/>
        <v>0</v>
      </c>
      <c r="M40" s="500">
        <f t="shared" si="20"/>
        <v>0</v>
      </c>
      <c r="N40" s="500">
        <f t="shared" si="20"/>
        <v>0</v>
      </c>
      <c r="O40" s="496">
        <f t="shared" si="20"/>
        <v>107.429814</v>
      </c>
      <c r="P40" s="503">
        <f t="shared" ref="P40:P54" si="21">IFERROR(O40/B40,0)</f>
        <v>0.142222964711619</v>
      </c>
      <c r="Q40" s="508"/>
      <c r="R40" s="482" t="e">
        <f t="shared" si="18"/>
        <v>#DIV/0!</v>
      </c>
      <c r="U40" s="171"/>
    </row>
    <row r="41" ht="22.5" customHeight="1" spans="1:21">
      <c r="A41" s="488" t="s">
        <v>78</v>
      </c>
      <c r="B41" s="477">
        <f>B4</f>
        <v>410.41874146</v>
      </c>
      <c r="C41" s="511">
        <f>C4</f>
        <v>2.691245</v>
      </c>
      <c r="D41" s="512">
        <f t="shared" ref="D41:O41" si="22">D4</f>
        <v>0.461679</v>
      </c>
      <c r="E41" s="513">
        <f t="shared" si="22"/>
        <v>0.142642</v>
      </c>
      <c r="F41" s="513">
        <f t="shared" si="22"/>
        <v>0.040415</v>
      </c>
      <c r="G41" s="513">
        <f t="shared" si="22"/>
        <v>0</v>
      </c>
      <c r="H41" s="513">
        <f t="shared" si="22"/>
        <v>0</v>
      </c>
      <c r="I41" s="513">
        <f t="shared" si="22"/>
        <v>0</v>
      </c>
      <c r="J41" s="513">
        <f t="shared" si="22"/>
        <v>0</v>
      </c>
      <c r="K41" s="513">
        <f t="shared" si="22"/>
        <v>0</v>
      </c>
      <c r="L41" s="513">
        <f t="shared" si="22"/>
        <v>0</v>
      </c>
      <c r="M41" s="513">
        <f t="shared" si="22"/>
        <v>0</v>
      </c>
      <c r="N41" s="513">
        <f t="shared" si="22"/>
        <v>0</v>
      </c>
      <c r="O41" s="513">
        <f>SUM(C41:N41)</f>
        <v>3.335981</v>
      </c>
      <c r="P41" s="503">
        <f t="shared" si="21"/>
        <v>0.00812823748772479</v>
      </c>
      <c r="Q41" s="508"/>
      <c r="R41" s="482" t="e">
        <f t="shared" si="18"/>
        <v>#DIV/0!</v>
      </c>
      <c r="U41" s="171"/>
    </row>
    <row r="42" ht="22.5" customHeight="1" spans="1:21">
      <c r="A42" s="488" t="s">
        <v>79</v>
      </c>
      <c r="B42" s="477">
        <f>B43+B44</f>
        <v>344.943194763397</v>
      </c>
      <c r="C42" s="511">
        <f>C43+C44</f>
        <v>29.929388</v>
      </c>
      <c r="D42" s="513">
        <f t="shared" ref="D42:O42" si="23">D43+D44</f>
        <v>19.220685</v>
      </c>
      <c r="E42" s="513">
        <f t="shared" si="23"/>
        <v>31.532313</v>
      </c>
      <c r="F42" s="513">
        <f t="shared" si="23"/>
        <v>23.411447</v>
      </c>
      <c r="G42" s="513">
        <f t="shared" si="23"/>
        <v>0</v>
      </c>
      <c r="H42" s="513">
        <f t="shared" si="23"/>
        <v>0</v>
      </c>
      <c r="I42" s="513">
        <f t="shared" si="23"/>
        <v>0</v>
      </c>
      <c r="J42" s="513">
        <f t="shared" si="23"/>
        <v>0</v>
      </c>
      <c r="K42" s="513">
        <f t="shared" si="23"/>
        <v>0</v>
      </c>
      <c r="L42" s="513">
        <f t="shared" si="23"/>
        <v>0</v>
      </c>
      <c r="M42" s="513">
        <f t="shared" si="23"/>
        <v>0</v>
      </c>
      <c r="N42" s="513">
        <f t="shared" si="23"/>
        <v>0</v>
      </c>
      <c r="O42" s="513">
        <f t="shared" si="23"/>
        <v>104.093833</v>
      </c>
      <c r="P42" s="503">
        <f t="shared" si="21"/>
        <v>0.30177094252113</v>
      </c>
      <c r="Q42" s="508"/>
      <c r="R42" s="482" t="e">
        <f t="shared" si="18"/>
        <v>#DIV/0!</v>
      </c>
      <c r="U42" s="171"/>
    </row>
    <row r="43" ht="22.5" customHeight="1" spans="1:21">
      <c r="A43" s="514" t="s">
        <v>80</v>
      </c>
      <c r="B43" s="515">
        <f t="shared" ref="B43:N43" si="24">B21</f>
        <v>327.214190424057</v>
      </c>
      <c r="C43" s="516">
        <f t="shared" si="24"/>
        <v>28.387371</v>
      </c>
      <c r="D43" s="517">
        <f t="shared" si="24"/>
        <v>16.0386582075472</v>
      </c>
      <c r="E43" s="517">
        <f t="shared" si="24"/>
        <v>24.480537</v>
      </c>
      <c r="F43" s="517">
        <f t="shared" si="24"/>
        <v>18.993742</v>
      </c>
      <c r="G43" s="517">
        <f t="shared" si="24"/>
        <v>0</v>
      </c>
      <c r="H43" s="517">
        <f t="shared" si="24"/>
        <v>0</v>
      </c>
      <c r="I43" s="517">
        <f t="shared" si="24"/>
        <v>0</v>
      </c>
      <c r="J43" s="517">
        <f t="shared" si="24"/>
        <v>0</v>
      </c>
      <c r="K43" s="517">
        <f t="shared" si="24"/>
        <v>0</v>
      </c>
      <c r="L43" s="517">
        <f t="shared" si="24"/>
        <v>0</v>
      </c>
      <c r="M43" s="517">
        <f t="shared" si="24"/>
        <v>0</v>
      </c>
      <c r="N43" s="517">
        <f t="shared" si="24"/>
        <v>0</v>
      </c>
      <c r="O43" s="517">
        <f>SUM(C43:N43)</f>
        <v>87.9003082075472</v>
      </c>
      <c r="P43" s="503">
        <f t="shared" si="21"/>
        <v>0.268632323352578</v>
      </c>
      <c r="Q43" s="508"/>
      <c r="R43" s="482" t="e">
        <f t="shared" si="18"/>
        <v>#DIV/0!</v>
      </c>
      <c r="U43" s="171"/>
    </row>
    <row r="44" ht="22.5" customHeight="1" spans="1:21">
      <c r="A44" s="514" t="s">
        <v>81</v>
      </c>
      <c r="B44" s="515">
        <f>B17</f>
        <v>17.7290043393396</v>
      </c>
      <c r="C44" s="516">
        <f>C17</f>
        <v>1.542017</v>
      </c>
      <c r="D44" s="517">
        <f t="shared" ref="D44:O44" si="25">D17</f>
        <v>3.18202679245283</v>
      </c>
      <c r="E44" s="517">
        <f t="shared" si="25"/>
        <v>7.051776</v>
      </c>
      <c r="F44" s="517">
        <f t="shared" si="25"/>
        <v>4.417705</v>
      </c>
      <c r="G44" s="517">
        <f t="shared" si="25"/>
        <v>0</v>
      </c>
      <c r="H44" s="517">
        <f t="shared" si="25"/>
        <v>0</v>
      </c>
      <c r="I44" s="517">
        <f t="shared" si="25"/>
        <v>0</v>
      </c>
      <c r="J44" s="517">
        <f t="shared" si="25"/>
        <v>0</v>
      </c>
      <c r="K44" s="517">
        <f t="shared" si="25"/>
        <v>0</v>
      </c>
      <c r="L44" s="517">
        <f t="shared" si="25"/>
        <v>0</v>
      </c>
      <c r="M44" s="517">
        <f t="shared" si="25"/>
        <v>0</v>
      </c>
      <c r="N44" s="517">
        <f t="shared" si="25"/>
        <v>0</v>
      </c>
      <c r="O44" s="517">
        <f>SUM(C44:N44)</f>
        <v>16.1935247924528</v>
      </c>
      <c r="P44" s="503">
        <f t="shared" si="21"/>
        <v>0.913391665008529</v>
      </c>
      <c r="Q44" s="518"/>
      <c r="R44" s="518"/>
    </row>
    <row r="45" ht="22.5" customHeight="1" spans="1:21">
      <c r="A45" s="488" t="s">
        <v>82</v>
      </c>
      <c r="B45" s="512">
        <f>B5+B18+B22</f>
        <v>302.8836294828</v>
      </c>
      <c r="C45" s="511">
        <f>C46+C47</f>
        <v>3.514647</v>
      </c>
      <c r="D45" s="513">
        <f t="shared" ref="D45:N45" si="26">D46+D47</f>
        <v>1.752576</v>
      </c>
      <c r="E45" s="513">
        <f t="shared" si="26"/>
        <v>1.6099</v>
      </c>
      <c r="F45" s="513">
        <f t="shared" si="26"/>
        <v>1.170583</v>
      </c>
      <c r="G45" s="513">
        <f t="shared" si="26"/>
        <v>0</v>
      </c>
      <c r="H45" s="513">
        <f t="shared" si="26"/>
        <v>0</v>
      </c>
      <c r="I45" s="513">
        <f t="shared" si="26"/>
        <v>0</v>
      </c>
      <c r="J45" s="513">
        <f t="shared" si="26"/>
        <v>0</v>
      </c>
      <c r="K45" s="513">
        <f t="shared" si="26"/>
        <v>0</v>
      </c>
      <c r="L45" s="513">
        <f t="shared" si="26"/>
        <v>0</v>
      </c>
      <c r="M45" s="513">
        <f t="shared" si="26"/>
        <v>0</v>
      </c>
      <c r="N45" s="513">
        <f t="shared" si="26"/>
        <v>0</v>
      </c>
      <c r="O45" s="513">
        <f>O5+O18+O22</f>
        <v>8.047706</v>
      </c>
      <c r="P45" s="503">
        <f t="shared" si="21"/>
        <v>0.0265702904238904</v>
      </c>
      <c r="Q45" s="518"/>
      <c r="R45" s="518"/>
    </row>
    <row r="46" ht="22.5" customHeight="1" spans="1:21">
      <c r="A46" s="514" t="s">
        <v>83</v>
      </c>
      <c r="B46" s="515">
        <f>B5</f>
        <v>293.84258985</v>
      </c>
      <c r="C46" s="516">
        <f>C5</f>
        <v>1.929264</v>
      </c>
      <c r="D46" s="513">
        <f>D5</f>
        <v>-0.067674</v>
      </c>
      <c r="E46" s="513">
        <f t="shared" ref="C46:O46" si="27">E5</f>
        <v>0</v>
      </c>
      <c r="F46" s="513">
        <f t="shared" si="27"/>
        <v>0.0234609999999999</v>
      </c>
      <c r="G46" s="513">
        <f t="shared" si="27"/>
        <v>0</v>
      </c>
      <c r="H46" s="517">
        <f t="shared" si="27"/>
        <v>0</v>
      </c>
      <c r="I46" s="517">
        <f t="shared" si="27"/>
        <v>0</v>
      </c>
      <c r="J46" s="517">
        <f t="shared" si="27"/>
        <v>0</v>
      </c>
      <c r="K46" s="517">
        <f t="shared" si="27"/>
        <v>0</v>
      </c>
      <c r="L46" s="517">
        <f t="shared" si="27"/>
        <v>0</v>
      </c>
      <c r="M46" s="517">
        <f t="shared" si="27"/>
        <v>0</v>
      </c>
      <c r="N46" s="517">
        <f t="shared" si="27"/>
        <v>0</v>
      </c>
      <c r="O46" s="517">
        <f>SUM(C46:N46)</f>
        <v>1.885051</v>
      </c>
      <c r="P46" s="519">
        <f t="shared" si="21"/>
        <v>0.00641517283441545</v>
      </c>
      <c r="Q46" s="518"/>
      <c r="R46" s="518"/>
    </row>
    <row r="47" ht="22.5" customHeight="1" spans="1:21">
      <c r="A47" s="514" t="s">
        <v>84</v>
      </c>
      <c r="B47" s="515">
        <f>B18+B22</f>
        <v>9.0410396328</v>
      </c>
      <c r="C47" s="516">
        <f>C18+C22</f>
        <v>1.585383</v>
      </c>
      <c r="D47" s="513">
        <f>D18+D22</f>
        <v>1.82025</v>
      </c>
      <c r="E47" s="513">
        <f t="shared" ref="C47:O47" si="28">E18+E22</f>
        <v>1.6099</v>
      </c>
      <c r="F47" s="513">
        <f t="shared" si="28"/>
        <v>1.147122</v>
      </c>
      <c r="G47" s="513">
        <f t="shared" si="28"/>
        <v>0</v>
      </c>
      <c r="H47" s="517">
        <f t="shared" si="28"/>
        <v>0</v>
      </c>
      <c r="I47" s="517">
        <f t="shared" si="28"/>
        <v>0</v>
      </c>
      <c r="J47" s="517">
        <f t="shared" si="28"/>
        <v>0</v>
      </c>
      <c r="K47" s="517">
        <f t="shared" si="28"/>
        <v>0</v>
      </c>
      <c r="L47" s="517">
        <f t="shared" si="28"/>
        <v>0</v>
      </c>
      <c r="M47" s="517">
        <f t="shared" si="28"/>
        <v>0</v>
      </c>
      <c r="N47" s="517">
        <f t="shared" si="28"/>
        <v>0</v>
      </c>
      <c r="O47" s="517">
        <f>SUM(C47:N47)</f>
        <v>6.162655</v>
      </c>
      <c r="P47" s="519">
        <f t="shared" si="21"/>
        <v>0.68163123382874</v>
      </c>
      <c r="Q47" s="518"/>
      <c r="R47" s="518"/>
    </row>
    <row r="48" ht="22.5" customHeight="1" spans="1:21">
      <c r="A48" s="520" t="s">
        <v>85</v>
      </c>
      <c r="B48" s="521">
        <f>B35+B23</f>
        <v>115.524288017571</v>
      </c>
      <c r="C48" s="522">
        <f>C35</f>
        <v>4.668735</v>
      </c>
      <c r="D48" s="523">
        <f>D35+D23</f>
        <v>-3.91312499999997</v>
      </c>
      <c r="E48" s="523">
        <f>E35+E23</f>
        <v>6.554692</v>
      </c>
      <c r="F48" s="523">
        <f>F35+F23</f>
        <v>1.440771</v>
      </c>
      <c r="G48" s="523">
        <f>G35+G23</f>
        <v>0</v>
      </c>
      <c r="H48" s="523">
        <f>H35+H23</f>
        <v>0</v>
      </c>
      <c r="I48" s="523">
        <f t="shared" ref="G48:O48" si="29">I35+I23</f>
        <v>0</v>
      </c>
      <c r="J48" s="523">
        <f t="shared" si="29"/>
        <v>0</v>
      </c>
      <c r="K48" s="523">
        <f t="shared" si="29"/>
        <v>0</v>
      </c>
      <c r="L48" s="523">
        <f t="shared" si="29"/>
        <v>0</v>
      </c>
      <c r="M48" s="523">
        <f t="shared" si="29"/>
        <v>0</v>
      </c>
      <c r="N48" s="523">
        <f t="shared" si="29"/>
        <v>0</v>
      </c>
      <c r="O48" s="523">
        <f>SUM(C48:N48)</f>
        <v>8.75107300000003</v>
      </c>
      <c r="P48" s="503">
        <f t="shared" si="21"/>
        <v>0.0757509364495629</v>
      </c>
      <c r="Q48" s="518"/>
      <c r="R48" s="518"/>
    </row>
    <row r="49" ht="22.5" customHeight="1" spans="1:18">
      <c r="A49" s="520" t="s">
        <v>86</v>
      </c>
      <c r="B49" s="513">
        <v>74.7469436783354</v>
      </c>
      <c r="C49" s="524">
        <v>-18.43919</v>
      </c>
      <c r="D49" s="513">
        <v>29.445458</v>
      </c>
      <c r="E49" s="513">
        <v>58.445817</v>
      </c>
      <c r="F49" s="513">
        <v>13.167888</v>
      </c>
      <c r="G49" s="513"/>
      <c r="H49" s="513"/>
      <c r="I49" s="513"/>
      <c r="J49" s="513"/>
      <c r="K49" s="513"/>
      <c r="L49" s="513"/>
      <c r="M49" s="513"/>
      <c r="N49" s="513"/>
      <c r="O49" s="513">
        <f>SUM(C49:N49)</f>
        <v>82.619973</v>
      </c>
      <c r="P49" s="503">
        <f t="shared" si="21"/>
        <v>1.10532911359621</v>
      </c>
      <c r="Q49" s="518"/>
      <c r="R49" s="518"/>
    </row>
    <row r="50" ht="22.5" customHeight="1" spans="1:18">
      <c r="A50" s="520" t="s">
        <v>87</v>
      </c>
      <c r="B50" s="513">
        <f>B51+B57+B58</f>
        <v>669.564860608278</v>
      </c>
      <c r="C50" s="525">
        <f>C51+C57+C58</f>
        <v>32.36311</v>
      </c>
      <c r="D50" s="513">
        <f t="shared" ref="C50:O50" si="30">D51+D57+D58</f>
        <v>28.197865</v>
      </c>
      <c r="E50" s="513">
        <f t="shared" si="30"/>
        <v>27.942634</v>
      </c>
      <c r="F50" s="513">
        <f t="shared" si="30"/>
        <v>27.738821</v>
      </c>
      <c r="G50" s="513">
        <f t="shared" si="30"/>
        <v>0</v>
      </c>
      <c r="H50" s="513">
        <f t="shared" si="30"/>
        <v>0</v>
      </c>
      <c r="I50" s="513">
        <f t="shared" si="30"/>
        <v>0</v>
      </c>
      <c r="J50" s="513">
        <f t="shared" si="30"/>
        <v>0</v>
      </c>
      <c r="K50" s="513">
        <f t="shared" si="30"/>
        <v>0</v>
      </c>
      <c r="L50" s="513">
        <f t="shared" si="30"/>
        <v>0</v>
      </c>
      <c r="M50" s="513">
        <f t="shared" si="30"/>
        <v>0</v>
      </c>
      <c r="N50" s="513">
        <f t="shared" si="30"/>
        <v>0</v>
      </c>
      <c r="O50" s="513">
        <f t="shared" si="30"/>
        <v>116.24243</v>
      </c>
      <c r="P50" s="503">
        <f t="shared" si="21"/>
        <v>0.173608916534834</v>
      </c>
      <c r="Q50" s="518"/>
      <c r="R50" s="518"/>
    </row>
    <row r="51" ht="22.5" customHeight="1" spans="1:18">
      <c r="A51" s="520" t="s">
        <v>88</v>
      </c>
      <c r="B51" s="526">
        <f>B52+B53</f>
        <v>280.392487125478</v>
      </c>
      <c r="C51" s="527">
        <f>C52+C53</f>
        <v>21.927277</v>
      </c>
      <c r="D51" s="526">
        <f t="shared" ref="D51:O51" si="31">D52+D53</f>
        <v>19.824103</v>
      </c>
      <c r="E51" s="526">
        <f t="shared" si="31"/>
        <v>19.711548</v>
      </c>
      <c r="F51" s="526">
        <f t="shared" si="31"/>
        <v>19.787052</v>
      </c>
      <c r="G51" s="526">
        <f t="shared" si="31"/>
        <v>0</v>
      </c>
      <c r="H51" s="526">
        <f t="shared" si="31"/>
        <v>0</v>
      </c>
      <c r="I51" s="526">
        <f t="shared" si="31"/>
        <v>0</v>
      </c>
      <c r="J51" s="526">
        <f t="shared" si="31"/>
        <v>0</v>
      </c>
      <c r="K51" s="526">
        <f t="shared" si="31"/>
        <v>0</v>
      </c>
      <c r="L51" s="526">
        <f t="shared" si="31"/>
        <v>0</v>
      </c>
      <c r="M51" s="526">
        <f t="shared" si="31"/>
        <v>0</v>
      </c>
      <c r="N51" s="526">
        <f t="shared" si="31"/>
        <v>0</v>
      </c>
      <c r="O51" s="526">
        <f t="shared" si="31"/>
        <v>81.24998</v>
      </c>
      <c r="P51" s="503">
        <f t="shared" si="21"/>
        <v>0.28977231463281</v>
      </c>
      <c r="Q51" s="518"/>
      <c r="R51" s="518"/>
    </row>
    <row r="52" ht="22.5" customHeight="1" spans="1:18">
      <c r="A52" s="518" t="s">
        <v>89</v>
      </c>
      <c r="B52" s="526">
        <f>B28</f>
        <v>206.777423</v>
      </c>
      <c r="C52" s="527">
        <f>C28</f>
        <v>16.761363</v>
      </c>
      <c r="D52" s="526">
        <f t="shared" ref="D52:O52" si="32">D28</f>
        <v>15.891363</v>
      </c>
      <c r="E52" s="526">
        <f t="shared" si="32"/>
        <v>15.811363</v>
      </c>
      <c r="F52" s="526">
        <f t="shared" si="32"/>
        <v>16.311363</v>
      </c>
      <c r="G52" s="526">
        <f t="shared" si="32"/>
        <v>0</v>
      </c>
      <c r="H52" s="526">
        <f t="shared" si="32"/>
        <v>0</v>
      </c>
      <c r="I52" s="526">
        <f t="shared" si="32"/>
        <v>0</v>
      </c>
      <c r="J52" s="526">
        <f t="shared" si="32"/>
        <v>0</v>
      </c>
      <c r="K52" s="526">
        <f t="shared" si="32"/>
        <v>0</v>
      </c>
      <c r="L52" s="526">
        <f t="shared" si="32"/>
        <v>0</v>
      </c>
      <c r="M52" s="526">
        <f t="shared" si="32"/>
        <v>0</v>
      </c>
      <c r="N52" s="526">
        <f t="shared" si="32"/>
        <v>0</v>
      </c>
      <c r="O52" s="526">
        <f t="shared" si="32"/>
        <v>64.775452</v>
      </c>
      <c r="P52" s="503">
        <f t="shared" si="21"/>
        <v>0.313261723935886</v>
      </c>
      <c r="Q52" s="518"/>
      <c r="R52" s="518"/>
    </row>
    <row r="53" customFormat="1" ht="22.5" customHeight="1" spans="1:18">
      <c r="A53" s="518" t="s">
        <v>90</v>
      </c>
      <c r="B53" s="526">
        <f>B26+B54</f>
        <v>73.6150641254776</v>
      </c>
      <c r="C53" s="527">
        <f>C26+C54</f>
        <v>5.165914</v>
      </c>
      <c r="D53" s="526">
        <f t="shared" ref="C53:O53" si="33">D26+D54</f>
        <v>3.93274</v>
      </c>
      <c r="E53" s="526">
        <f t="shared" si="33"/>
        <v>3.900185</v>
      </c>
      <c r="F53" s="526">
        <f t="shared" si="33"/>
        <v>3.475689</v>
      </c>
      <c r="G53" s="526">
        <f t="shared" si="33"/>
        <v>0</v>
      </c>
      <c r="H53" s="526">
        <f t="shared" si="33"/>
        <v>0</v>
      </c>
      <c r="I53" s="526">
        <f t="shared" si="33"/>
        <v>0</v>
      </c>
      <c r="J53" s="526">
        <f t="shared" si="33"/>
        <v>0</v>
      </c>
      <c r="K53" s="526">
        <f t="shared" si="33"/>
        <v>0</v>
      </c>
      <c r="L53" s="526">
        <f t="shared" si="33"/>
        <v>0</v>
      </c>
      <c r="M53" s="526">
        <f t="shared" si="33"/>
        <v>0</v>
      </c>
      <c r="N53" s="526">
        <f t="shared" si="33"/>
        <v>0</v>
      </c>
      <c r="O53" s="526">
        <f t="shared" si="33"/>
        <v>16.474528</v>
      </c>
      <c r="P53" s="503">
        <f t="shared" si="21"/>
        <v>0.223792890703987</v>
      </c>
      <c r="Q53" s="518"/>
      <c r="R53" s="518"/>
    </row>
    <row r="54" customFormat="1" ht="22.5" customHeight="1" spans="1:18">
      <c r="A54" s="518" t="s">
        <v>91</v>
      </c>
      <c r="B54" s="526">
        <f>B10+B27</f>
        <v>43.996746</v>
      </c>
      <c r="C54" s="527">
        <f>C10+C27</f>
        <v>4.103085</v>
      </c>
      <c r="D54" s="526">
        <f>D10+D27</f>
        <v>3.606612</v>
      </c>
      <c r="E54" s="526">
        <f t="shared" ref="C54:O54" si="34">E10+E27</f>
        <v>3.636947</v>
      </c>
      <c r="F54" s="526">
        <f t="shared" si="34"/>
        <v>3.391893</v>
      </c>
      <c r="G54" s="526">
        <f t="shared" si="34"/>
        <v>0</v>
      </c>
      <c r="H54" s="526">
        <f t="shared" si="34"/>
        <v>0</v>
      </c>
      <c r="I54" s="526">
        <f t="shared" si="34"/>
        <v>0</v>
      </c>
      <c r="J54" s="526">
        <f t="shared" si="34"/>
        <v>0</v>
      </c>
      <c r="K54" s="526">
        <f t="shared" si="34"/>
        <v>0</v>
      </c>
      <c r="L54" s="526">
        <f t="shared" si="34"/>
        <v>0</v>
      </c>
      <c r="M54" s="526">
        <f t="shared" si="34"/>
        <v>0</v>
      </c>
      <c r="N54" s="526">
        <f t="shared" si="34"/>
        <v>0</v>
      </c>
      <c r="O54" s="526">
        <f t="shared" si="34"/>
        <v>14.738537</v>
      </c>
      <c r="P54" s="503">
        <f t="shared" si="21"/>
        <v>0.334991524145899</v>
      </c>
      <c r="Q54" s="518"/>
      <c r="R54" s="518"/>
    </row>
    <row r="55" customFormat="1" ht="22.5" customHeight="1" spans="1:18">
      <c r="A55" s="518" t="s">
        <v>92</v>
      </c>
      <c r="B55" s="526"/>
      <c r="C55" s="527">
        <f>职场成本!B8+职场成本!B11+职场成本!B19</f>
        <v>0.093499</v>
      </c>
      <c r="D55" s="526">
        <f>职场成本!C8+职场成本!C11+职场成本!C19</f>
        <v>0.083392</v>
      </c>
      <c r="E55" s="526">
        <f>职场成本!D8+职场成本!D11+职场成本!D19</f>
        <v>0.079687</v>
      </c>
      <c r="F55" s="526">
        <f>职场成本!E8+职场成本!E11+职场成本!E19</f>
        <v>0.046158</v>
      </c>
      <c r="G55" s="526">
        <f>职场成本!F8+职场成本!F11+职场成本!F19</f>
        <v>0</v>
      </c>
      <c r="H55" s="526">
        <f>职场成本!G8+职场成本!G11+职场成本!G19</f>
        <v>0</v>
      </c>
      <c r="I55" s="526">
        <f>职场成本!H8+职场成本!H11+职场成本!H19</f>
        <v>0</v>
      </c>
      <c r="J55" s="526">
        <f>职场成本!I8+职场成本!I11+职场成本!I19</f>
        <v>0</v>
      </c>
      <c r="K55" s="526">
        <f>职场成本!J8+职场成本!J11+职场成本!J19</f>
        <v>0</v>
      </c>
      <c r="L55" s="526">
        <f>职场成本!K8+职场成本!K11+职场成本!K19</f>
        <v>0</v>
      </c>
      <c r="M55" s="526">
        <f>职场成本!L8+职场成本!L11+职场成本!L19</f>
        <v>0</v>
      </c>
      <c r="N55" s="526">
        <f>职场成本!M8+职场成本!M11+职场成本!M19</f>
        <v>0</v>
      </c>
      <c r="O55" s="526">
        <f>职场成本!N8+职场成本!N11+职场成本!N19</f>
        <v>0.302736</v>
      </c>
      <c r="P55" s="503"/>
      <c r="Q55" s="518"/>
      <c r="R55" s="518"/>
    </row>
    <row r="56" customFormat="1" ht="22.5" customHeight="1" spans="1:18">
      <c r="A56" s="520" t="s">
        <v>93</v>
      </c>
      <c r="B56" s="526">
        <f>SUM(B57:B58)</f>
        <v>389.1723734828</v>
      </c>
      <c r="C56" s="527">
        <f>SUM(C57:C58)</f>
        <v>10.435833</v>
      </c>
      <c r="D56" s="526">
        <f t="shared" ref="C56:O56" si="35">SUM(D57:D58)</f>
        <v>8.373762</v>
      </c>
      <c r="E56" s="526">
        <f t="shared" si="35"/>
        <v>8.231086</v>
      </c>
      <c r="F56" s="526">
        <f t="shared" si="35"/>
        <v>7.951769</v>
      </c>
      <c r="G56" s="526">
        <f t="shared" si="35"/>
        <v>0</v>
      </c>
      <c r="H56" s="526">
        <f t="shared" si="35"/>
        <v>0</v>
      </c>
      <c r="I56" s="526">
        <f t="shared" si="35"/>
        <v>0</v>
      </c>
      <c r="J56" s="526">
        <f t="shared" si="35"/>
        <v>0</v>
      </c>
      <c r="K56" s="526">
        <f t="shared" si="35"/>
        <v>0</v>
      </c>
      <c r="L56" s="526">
        <f t="shared" si="35"/>
        <v>0</v>
      </c>
      <c r="M56" s="526">
        <f t="shared" si="35"/>
        <v>0</v>
      </c>
      <c r="N56" s="526">
        <f t="shared" si="35"/>
        <v>0</v>
      </c>
      <c r="O56" s="526">
        <f t="shared" si="35"/>
        <v>34.99245</v>
      </c>
      <c r="P56" s="503">
        <f t="shared" ref="P56:P65" si="36">IFERROR(O56/B56,0)</f>
        <v>0.0899150412112861</v>
      </c>
      <c r="Q56" s="518"/>
      <c r="R56" s="518"/>
    </row>
    <row r="57" ht="22.5" customHeight="1" spans="1:18">
      <c r="A57" s="518" t="s">
        <v>94</v>
      </c>
      <c r="B57" s="526">
        <f>B11</f>
        <v>86.288744</v>
      </c>
      <c r="C57" s="527">
        <f>C11</f>
        <v>6.921186</v>
      </c>
      <c r="D57" s="526">
        <f t="shared" ref="D57:O57" si="37">D11</f>
        <v>6.621186</v>
      </c>
      <c r="E57" s="526">
        <f t="shared" si="37"/>
        <v>6.621186</v>
      </c>
      <c r="F57" s="526">
        <f t="shared" si="37"/>
        <v>6.781186</v>
      </c>
      <c r="G57" s="526">
        <f t="shared" si="37"/>
        <v>0</v>
      </c>
      <c r="H57" s="526">
        <f t="shared" si="37"/>
        <v>0</v>
      </c>
      <c r="I57" s="526">
        <f t="shared" si="37"/>
        <v>0</v>
      </c>
      <c r="J57" s="526">
        <f t="shared" si="37"/>
        <v>0</v>
      </c>
      <c r="K57" s="526">
        <f t="shared" si="37"/>
        <v>0</v>
      </c>
      <c r="L57" s="526">
        <f t="shared" si="37"/>
        <v>0</v>
      </c>
      <c r="M57" s="526">
        <f t="shared" si="37"/>
        <v>0</v>
      </c>
      <c r="N57" s="526">
        <f t="shared" si="37"/>
        <v>0</v>
      </c>
      <c r="O57" s="526">
        <f t="shared" si="37"/>
        <v>26.944744</v>
      </c>
      <c r="P57" s="503">
        <f t="shared" si="36"/>
        <v>0.312262558833861</v>
      </c>
      <c r="Q57" s="518"/>
      <c r="R57" s="518"/>
    </row>
    <row r="58" ht="22.5" customHeight="1" spans="1:18">
      <c r="A58" s="518" t="s">
        <v>95</v>
      </c>
      <c r="B58" s="526">
        <f>B5+B18</f>
        <v>302.8836294828</v>
      </c>
      <c r="C58" s="527">
        <f>C5+C18+C23</f>
        <v>3.514647</v>
      </c>
      <c r="D58" s="526">
        <f>D5+D18+D22</f>
        <v>1.752576</v>
      </c>
      <c r="E58" s="526">
        <f>E5+E18</f>
        <v>1.6099</v>
      </c>
      <c r="F58" s="526">
        <f>F5+F18</f>
        <v>1.170583</v>
      </c>
      <c r="G58" s="526">
        <f t="shared" ref="E58:O58" si="38">G5+G18</f>
        <v>0</v>
      </c>
      <c r="H58" s="526">
        <f t="shared" si="38"/>
        <v>0</v>
      </c>
      <c r="I58" s="526">
        <f t="shared" si="38"/>
        <v>0</v>
      </c>
      <c r="J58" s="526">
        <f t="shared" si="38"/>
        <v>0</v>
      </c>
      <c r="K58" s="526">
        <f t="shared" si="38"/>
        <v>0</v>
      </c>
      <c r="L58" s="526">
        <f t="shared" si="38"/>
        <v>0</v>
      </c>
      <c r="M58" s="526">
        <f t="shared" si="38"/>
        <v>0</v>
      </c>
      <c r="N58" s="526">
        <f t="shared" si="38"/>
        <v>0</v>
      </c>
      <c r="O58" s="526">
        <f>SUM(C58:N58)</f>
        <v>8.047706</v>
      </c>
      <c r="P58" s="503">
        <f t="shared" si="36"/>
        <v>0.0265702904238904</v>
      </c>
      <c r="Q58" s="518"/>
      <c r="R58" s="518"/>
    </row>
    <row r="59" ht="22.5" hidden="1" customHeight="1" spans="1:18">
      <c r="A59" s="518" t="s">
        <v>95</v>
      </c>
      <c r="B59" s="526"/>
      <c r="C59" s="527"/>
      <c r="D59" s="526"/>
      <c r="E59" s="526"/>
      <c r="F59" s="526"/>
      <c r="G59" s="526"/>
      <c r="H59" s="526"/>
      <c r="I59" s="526"/>
      <c r="J59" s="526"/>
      <c r="K59" s="526"/>
      <c r="L59" s="526"/>
      <c r="M59" s="526"/>
      <c r="N59" s="526"/>
      <c r="O59" s="526">
        <f>SUM(C59:N59)</f>
        <v>0</v>
      </c>
      <c r="P59" s="503">
        <f t="shared" si="36"/>
        <v>0</v>
      </c>
      <c r="Q59" s="518"/>
      <c r="R59" s="518"/>
    </row>
    <row r="60" ht="22.5" customHeight="1" spans="1:18">
      <c r="A60" s="520" t="s">
        <v>96</v>
      </c>
      <c r="B60" s="526">
        <f>B12+B29</f>
        <v>21.533376</v>
      </c>
      <c r="C60" s="527">
        <f>C12+C29</f>
        <v>1.794446</v>
      </c>
      <c r="D60" s="526">
        <f t="shared" ref="C60:O60" si="39">D12+D29</f>
        <v>1.786529</v>
      </c>
      <c r="E60" s="526">
        <f t="shared" si="39"/>
        <v>1.786529</v>
      </c>
      <c r="F60" s="526">
        <f t="shared" si="39"/>
        <v>1.786529</v>
      </c>
      <c r="G60" s="526">
        <f t="shared" si="39"/>
        <v>0</v>
      </c>
      <c r="H60" s="526">
        <f t="shared" si="39"/>
        <v>0</v>
      </c>
      <c r="I60" s="526">
        <f t="shared" si="39"/>
        <v>0</v>
      </c>
      <c r="J60" s="526">
        <f t="shared" si="39"/>
        <v>0</v>
      </c>
      <c r="K60" s="526">
        <f t="shared" si="39"/>
        <v>0</v>
      </c>
      <c r="L60" s="526">
        <f t="shared" si="39"/>
        <v>0</v>
      </c>
      <c r="M60" s="526">
        <f t="shared" si="39"/>
        <v>0</v>
      </c>
      <c r="N60" s="526">
        <f t="shared" si="39"/>
        <v>0</v>
      </c>
      <c r="O60" s="526">
        <f t="shared" si="39"/>
        <v>7.154033</v>
      </c>
      <c r="P60" s="503">
        <f t="shared" si="36"/>
        <v>0.332229976386424</v>
      </c>
      <c r="Q60" s="518"/>
      <c r="R60" s="518"/>
    </row>
    <row r="61" ht="22.5" customHeight="1" spans="1:18">
      <c r="A61" s="520" t="s">
        <v>97</v>
      </c>
      <c r="B61" s="526">
        <f>B13+B30</f>
        <v>5.00219189360845</v>
      </c>
      <c r="C61" s="527">
        <f t="shared" ref="C61:O61" si="40">C13+C30</f>
        <v>0.238667</v>
      </c>
      <c r="D61" s="526">
        <f t="shared" si="40"/>
        <v>0.227859</v>
      </c>
      <c r="E61" s="526">
        <f t="shared" si="40"/>
        <v>0.15366</v>
      </c>
      <c r="F61" s="526">
        <f t="shared" si="40"/>
        <v>0.19</v>
      </c>
      <c r="G61" s="526">
        <f t="shared" si="40"/>
        <v>0</v>
      </c>
      <c r="H61" s="526">
        <f t="shared" si="40"/>
        <v>0</v>
      </c>
      <c r="I61" s="526">
        <f t="shared" si="40"/>
        <v>0</v>
      </c>
      <c r="J61" s="526">
        <f t="shared" si="40"/>
        <v>0</v>
      </c>
      <c r="K61" s="526">
        <f t="shared" si="40"/>
        <v>0</v>
      </c>
      <c r="L61" s="526">
        <f t="shared" si="40"/>
        <v>0</v>
      </c>
      <c r="M61" s="526">
        <f t="shared" si="40"/>
        <v>0</v>
      </c>
      <c r="N61" s="526">
        <f t="shared" si="40"/>
        <v>0</v>
      </c>
      <c r="O61" s="526">
        <f t="shared" si="40"/>
        <v>0.810186</v>
      </c>
      <c r="P61" s="503">
        <f t="shared" si="36"/>
        <v>0.161966197465398</v>
      </c>
      <c r="Q61" s="518"/>
      <c r="R61" s="518"/>
    </row>
    <row r="62" ht="22.5" hidden="1" customHeight="1" spans="1:18">
      <c r="A62" s="528"/>
      <c r="B62" s="528"/>
      <c r="C62" s="529">
        <v>216.592839</v>
      </c>
      <c r="D62" s="518"/>
      <c r="E62" s="518"/>
      <c r="F62" s="518"/>
      <c r="G62" s="518"/>
      <c r="H62" s="530"/>
      <c r="I62" s="518"/>
      <c r="J62" s="518"/>
      <c r="K62" s="530"/>
      <c r="L62" s="530"/>
      <c r="M62" s="518"/>
      <c r="N62" s="518"/>
      <c r="O62" s="518"/>
      <c r="P62" s="503">
        <f t="shared" si="36"/>
        <v>0</v>
      </c>
      <c r="Q62" s="518"/>
      <c r="R62" s="518"/>
    </row>
    <row r="63" ht="22.5" hidden="1" customHeight="1" spans="1:18">
      <c r="A63" s="528"/>
      <c r="B63" s="528"/>
      <c r="C63" s="531">
        <v>140.2</v>
      </c>
      <c r="D63" s="518">
        <f>C63-C37</f>
        <v>134.66674</v>
      </c>
      <c r="E63" s="518"/>
      <c r="F63" s="518"/>
      <c r="G63" s="518"/>
      <c r="H63" s="530"/>
      <c r="I63" s="518"/>
      <c r="J63" s="518"/>
      <c r="K63" s="530"/>
      <c r="L63" s="530"/>
      <c r="M63" s="518"/>
      <c r="N63" s="518"/>
      <c r="O63" s="518"/>
      <c r="P63" s="503">
        <f t="shared" si="36"/>
        <v>0</v>
      </c>
      <c r="Q63" s="518"/>
      <c r="R63" s="518"/>
    </row>
    <row r="64" ht="22.5" hidden="1" customHeight="1" spans="1:18">
      <c r="A64" s="528"/>
      <c r="B64" s="528"/>
      <c r="C64" s="529">
        <v>75.86</v>
      </c>
      <c r="D64" s="518">
        <f>C64-C38</f>
        <v>74.643425</v>
      </c>
      <c r="E64" s="518"/>
      <c r="F64" s="518"/>
      <c r="G64" s="518"/>
      <c r="H64" s="530"/>
      <c r="I64" s="518"/>
      <c r="J64" s="518"/>
      <c r="K64" s="530"/>
      <c r="L64" s="530"/>
      <c r="M64" s="518"/>
      <c r="N64" s="518"/>
      <c r="O64" s="518"/>
      <c r="P64" s="503">
        <f t="shared" si="36"/>
        <v>0</v>
      </c>
      <c r="Q64" s="518"/>
      <c r="R64" s="518"/>
    </row>
    <row r="65" ht="22.5" customHeight="1" spans="1:18">
      <c r="A65" s="520" t="s">
        <v>98</v>
      </c>
      <c r="B65" s="526">
        <f>B26</f>
        <v>29.6183181254776</v>
      </c>
      <c r="C65" s="527">
        <f>C26</f>
        <v>1.062829</v>
      </c>
      <c r="D65" s="526">
        <f t="shared" ref="C65:O65" si="41">D26</f>
        <v>0.326128</v>
      </c>
      <c r="E65" s="526">
        <f t="shared" si="41"/>
        <v>0.263238</v>
      </c>
      <c r="F65" s="526">
        <f t="shared" si="41"/>
        <v>0.083796</v>
      </c>
      <c r="G65" s="526">
        <f t="shared" si="41"/>
        <v>0</v>
      </c>
      <c r="H65" s="526">
        <f t="shared" si="41"/>
        <v>0</v>
      </c>
      <c r="I65" s="526">
        <f t="shared" si="41"/>
        <v>0</v>
      </c>
      <c r="J65" s="526">
        <f t="shared" si="41"/>
        <v>0</v>
      </c>
      <c r="K65" s="526">
        <f t="shared" si="41"/>
        <v>0</v>
      </c>
      <c r="L65" s="526">
        <f t="shared" si="41"/>
        <v>0</v>
      </c>
      <c r="M65" s="526">
        <f t="shared" si="41"/>
        <v>0</v>
      </c>
      <c r="N65" s="526">
        <f t="shared" si="41"/>
        <v>0</v>
      </c>
      <c r="O65" s="526">
        <f t="shared" si="41"/>
        <v>1.735991</v>
      </c>
      <c r="P65" s="503">
        <f t="shared" si="36"/>
        <v>0.0586120721860538</v>
      </c>
      <c r="Q65" s="518"/>
      <c r="R65" s="518"/>
    </row>
    <row r="66" ht="22.5" hidden="1" customHeight="1" spans="1:18">
      <c r="A66" s="528" t="s">
        <v>99</v>
      </c>
      <c r="B66" s="528"/>
      <c r="C66" s="532">
        <f>C10+C11+C12+C25-C31</f>
        <v>23.899044</v>
      </c>
      <c r="D66" s="508">
        <f>D10+D11+D12+D25-D31</f>
        <v>22.211928</v>
      </c>
      <c r="E66" s="508">
        <f t="shared" ref="E66:O66" si="42">E10+E11+E12+E25-E31</f>
        <v>21.487745</v>
      </c>
      <c r="F66" s="508">
        <f t="shared" si="42"/>
        <v>22.309645</v>
      </c>
      <c r="G66" s="508">
        <f t="shared" si="42"/>
        <v>0</v>
      </c>
      <c r="H66" s="508">
        <f t="shared" si="42"/>
        <v>0</v>
      </c>
      <c r="I66" s="508">
        <f t="shared" si="42"/>
        <v>0</v>
      </c>
      <c r="J66" s="508">
        <f t="shared" si="42"/>
        <v>0</v>
      </c>
      <c r="K66" s="508">
        <f t="shared" si="42"/>
        <v>0</v>
      </c>
      <c r="L66" s="508">
        <f t="shared" si="42"/>
        <v>0</v>
      </c>
      <c r="M66" s="508">
        <f t="shared" si="42"/>
        <v>0</v>
      </c>
      <c r="N66" s="508">
        <f t="shared" si="42"/>
        <v>0</v>
      </c>
      <c r="O66" s="508">
        <f t="shared" si="42"/>
        <v>89.908362</v>
      </c>
      <c r="P66" s="503">
        <f t="shared" ref="P66:P74" si="43">IFERROR(O66/B66,0)</f>
        <v>0</v>
      </c>
      <c r="Q66" s="518"/>
      <c r="R66" s="518"/>
    </row>
    <row r="67" ht="22.5" hidden="1" customHeight="1" spans="1:18">
      <c r="A67" s="528" t="s">
        <v>100</v>
      </c>
      <c r="B67" s="528"/>
      <c r="C67" s="528"/>
      <c r="D67" s="518"/>
      <c r="E67" s="518"/>
      <c r="F67" s="518"/>
      <c r="G67" s="518"/>
      <c r="H67" s="530"/>
      <c r="I67" s="518"/>
      <c r="J67" s="518"/>
      <c r="K67" s="530"/>
      <c r="L67" s="530"/>
      <c r="M67" s="518"/>
      <c r="N67" s="518"/>
      <c r="O67" s="508">
        <f>O35+O34</f>
        <v>8.86598300000003</v>
      </c>
      <c r="P67" s="503">
        <f t="shared" si="43"/>
        <v>0</v>
      </c>
      <c r="Q67" s="518"/>
      <c r="R67" s="518"/>
    </row>
    <row r="68" ht="22.5" hidden="1" customHeight="1" spans="1:18">
      <c r="A68" s="520" t="s">
        <v>101</v>
      </c>
      <c r="B68" s="526">
        <f>B52+B57</f>
        <v>293.066167</v>
      </c>
      <c r="C68" s="527">
        <f>C52+C57</f>
        <v>23.682549</v>
      </c>
      <c r="D68" s="526">
        <f t="shared" ref="D68:O68" si="44">D52+D57</f>
        <v>22.512549</v>
      </c>
      <c r="E68" s="526">
        <f t="shared" si="44"/>
        <v>22.432549</v>
      </c>
      <c r="F68" s="526">
        <f t="shared" si="44"/>
        <v>23.092549</v>
      </c>
      <c r="G68" s="526">
        <f t="shared" si="44"/>
        <v>0</v>
      </c>
      <c r="H68" s="526">
        <f t="shared" si="44"/>
        <v>0</v>
      </c>
      <c r="I68" s="526">
        <f t="shared" si="44"/>
        <v>0</v>
      </c>
      <c r="J68" s="526">
        <f t="shared" si="44"/>
        <v>0</v>
      </c>
      <c r="K68" s="526">
        <f t="shared" si="44"/>
        <v>0</v>
      </c>
      <c r="L68" s="526">
        <f t="shared" si="44"/>
        <v>0</v>
      </c>
      <c r="M68" s="526">
        <f t="shared" si="44"/>
        <v>0</v>
      </c>
      <c r="N68" s="526">
        <f t="shared" si="44"/>
        <v>0</v>
      </c>
      <c r="O68" s="526">
        <f t="shared" si="44"/>
        <v>91.720196</v>
      </c>
      <c r="P68" s="503">
        <f t="shared" si="43"/>
        <v>0.312967535416669</v>
      </c>
      <c r="Q68" s="518"/>
      <c r="R68" s="518"/>
    </row>
    <row r="69" ht="22.5" hidden="1" customHeight="1" spans="1:18">
      <c r="A69" s="528"/>
      <c r="B69" s="528"/>
      <c r="C69" s="532">
        <f>30.54941-6.650366</f>
        <v>23.899044</v>
      </c>
      <c r="D69" s="518"/>
      <c r="E69" s="518"/>
      <c r="F69" s="518"/>
      <c r="G69" s="518"/>
      <c r="H69" s="530"/>
      <c r="I69" s="518"/>
      <c r="J69" s="518"/>
      <c r="K69" s="530"/>
      <c r="L69" s="530"/>
      <c r="M69" s="518"/>
      <c r="N69" s="518"/>
      <c r="O69" s="518"/>
      <c r="P69" s="503">
        <f t="shared" si="43"/>
        <v>0</v>
      </c>
      <c r="Q69" s="518"/>
      <c r="R69" s="518"/>
    </row>
    <row r="70" ht="22.5" hidden="1" customHeight="1" spans="1:18">
      <c r="A70" s="528"/>
      <c r="B70" s="528"/>
      <c r="C70" s="528">
        <f>C66-C69</f>
        <v>0</v>
      </c>
      <c r="D70" s="518"/>
      <c r="E70" s="518"/>
      <c r="F70" s="518"/>
      <c r="G70" s="518"/>
      <c r="H70" s="530"/>
      <c r="I70" s="518"/>
      <c r="J70" s="518"/>
      <c r="K70" s="530"/>
      <c r="L70" s="530"/>
      <c r="M70" s="518"/>
      <c r="N70" s="518"/>
      <c r="O70" s="518"/>
      <c r="P70" s="503">
        <f t="shared" si="43"/>
        <v>0</v>
      </c>
      <c r="Q70" s="518"/>
      <c r="R70" s="518"/>
    </row>
    <row r="71" ht="22.5" hidden="1" customHeight="1" spans="1:18">
      <c r="A71" s="528"/>
      <c r="B71" s="528"/>
      <c r="C71" s="528"/>
      <c r="D71" s="518"/>
      <c r="E71" s="518"/>
      <c r="F71" s="518"/>
      <c r="G71" s="518"/>
      <c r="H71" s="530"/>
      <c r="I71" s="518"/>
      <c r="J71" s="518"/>
      <c r="K71" s="530"/>
      <c r="L71" s="530"/>
      <c r="M71" s="518"/>
      <c r="N71" s="518"/>
      <c r="O71" s="518"/>
      <c r="P71" s="503">
        <f t="shared" si="43"/>
        <v>0</v>
      </c>
      <c r="Q71" s="518"/>
      <c r="R71" s="518"/>
    </row>
    <row r="72" ht="22.5" customHeight="1" spans="1:18">
      <c r="A72" s="520" t="s">
        <v>102</v>
      </c>
      <c r="B72" s="526">
        <f>B8/B4</f>
        <v>0.284041979163278</v>
      </c>
      <c r="C72" s="527">
        <f>C8/C4</f>
        <v>0.283133271032552</v>
      </c>
      <c r="D72" s="526">
        <f t="shared" ref="C72:O72" si="45">D8/D4</f>
        <v>1.14658236566965</v>
      </c>
      <c r="E72" s="526">
        <f t="shared" si="45"/>
        <v>1</v>
      </c>
      <c r="F72" s="526">
        <f t="shared" si="45"/>
        <v>0.419497711245828</v>
      </c>
      <c r="G72" s="526" t="e">
        <f t="shared" si="45"/>
        <v>#DIV/0!</v>
      </c>
      <c r="H72" s="526" t="e">
        <f t="shared" si="45"/>
        <v>#DIV/0!</v>
      </c>
      <c r="I72" s="526" t="e">
        <f t="shared" si="45"/>
        <v>#DIV/0!</v>
      </c>
      <c r="J72" s="526" t="e">
        <f t="shared" si="45"/>
        <v>#DIV/0!</v>
      </c>
      <c r="K72" s="526" t="e">
        <f t="shared" si="45"/>
        <v>#DIV/0!</v>
      </c>
      <c r="L72" s="526" t="e">
        <f t="shared" si="45"/>
        <v>#DIV/0!</v>
      </c>
      <c r="M72" s="526" t="e">
        <f t="shared" si="45"/>
        <v>#DIV/0!</v>
      </c>
      <c r="N72" s="526" t="e">
        <f t="shared" si="45"/>
        <v>#DIV/0!</v>
      </c>
      <c r="O72" s="526">
        <f t="shared" si="45"/>
        <v>0.434933532295298</v>
      </c>
      <c r="P72" s="503">
        <f t="shared" si="43"/>
        <v>1.53122976250381</v>
      </c>
      <c r="Q72" s="518"/>
      <c r="R72" s="518"/>
    </row>
    <row r="73" ht="22.5" customHeight="1" spans="1:18">
      <c r="A73" s="520" t="s">
        <v>103</v>
      </c>
      <c r="B73" s="526">
        <f>B16/B17</f>
        <v>0.490042449099159</v>
      </c>
      <c r="C73" s="527">
        <f>C16/C17</f>
        <v>-0.0281229065568021</v>
      </c>
      <c r="D73" s="526">
        <f t="shared" ref="C73:O73" si="46">D16/D17</f>
        <v>0.372029171866371</v>
      </c>
      <c r="E73" s="526">
        <f t="shared" si="46"/>
        <v>0.771702901510201</v>
      </c>
      <c r="F73" s="526">
        <f t="shared" si="46"/>
        <v>0.740335309849798</v>
      </c>
      <c r="G73" s="526" t="e">
        <f t="shared" si="46"/>
        <v>#DIV/0!</v>
      </c>
      <c r="H73" s="526" t="e">
        <f t="shared" si="46"/>
        <v>#DIV/0!</v>
      </c>
      <c r="I73" s="526" t="e">
        <f t="shared" si="46"/>
        <v>#DIV/0!</v>
      </c>
      <c r="J73" s="526" t="e">
        <f t="shared" si="46"/>
        <v>#DIV/0!</v>
      </c>
      <c r="K73" s="526" t="e">
        <f t="shared" si="46"/>
        <v>#DIV/0!</v>
      </c>
      <c r="L73" s="526" t="e">
        <f t="shared" si="46"/>
        <v>#DIV/0!</v>
      </c>
      <c r="M73" s="526" t="e">
        <f t="shared" si="46"/>
        <v>#DIV/0!</v>
      </c>
      <c r="N73" s="526" t="e">
        <f t="shared" si="46"/>
        <v>#DIV/0!</v>
      </c>
      <c r="O73" s="526">
        <f t="shared" si="46"/>
        <v>0.608446889650911</v>
      </c>
      <c r="P73" s="503">
        <f t="shared" si="43"/>
        <v>1.24162078360643</v>
      </c>
      <c r="Q73" s="518"/>
      <c r="R73" s="518"/>
    </row>
    <row r="74" ht="22.5" customHeight="1" spans="1:18">
      <c r="A74" s="520" t="s">
        <v>104</v>
      </c>
      <c r="B74" s="526">
        <f>B11+B28</f>
        <v>293.066167</v>
      </c>
      <c r="C74" s="527">
        <f t="shared" ref="C74:O74" si="47">C11+C28</f>
        <v>23.682549</v>
      </c>
      <c r="D74" s="526">
        <f t="shared" si="47"/>
        <v>22.512549</v>
      </c>
      <c r="E74" s="526">
        <f t="shared" si="47"/>
        <v>22.432549</v>
      </c>
      <c r="F74" s="526">
        <f t="shared" si="47"/>
        <v>23.092549</v>
      </c>
      <c r="G74" s="526">
        <f t="shared" si="47"/>
        <v>0</v>
      </c>
      <c r="H74" s="526">
        <f t="shared" si="47"/>
        <v>0</v>
      </c>
      <c r="I74" s="526">
        <f t="shared" si="47"/>
        <v>0</v>
      </c>
      <c r="J74" s="526">
        <f t="shared" si="47"/>
        <v>0</v>
      </c>
      <c r="K74" s="526">
        <f t="shared" si="47"/>
        <v>0</v>
      </c>
      <c r="L74" s="526">
        <f t="shared" si="47"/>
        <v>0</v>
      </c>
      <c r="M74" s="526">
        <f t="shared" si="47"/>
        <v>0</v>
      </c>
      <c r="N74" s="526">
        <f t="shared" si="47"/>
        <v>0</v>
      </c>
      <c r="O74" s="526">
        <f t="shared" si="47"/>
        <v>91.720196</v>
      </c>
      <c r="P74" s="503">
        <f t="shared" si="43"/>
        <v>0.312967535416669</v>
      </c>
      <c r="Q74" s="518"/>
      <c r="R74" s="518"/>
    </row>
  </sheetData>
  <sheetProtection selectLockedCells="1"/>
  <mergeCells count="5">
    <mergeCell ref="A1:P1"/>
    <mergeCell ref="Q1:R1"/>
    <mergeCell ref="A2:F2"/>
    <mergeCell ref="H2:I2"/>
    <mergeCell ref="Q2:R2"/>
  </mergeCells>
  <pageMargins left="0.699305555555556" right="0.699305555555556" top="0.75" bottom="0.75" header="0.3" footer="0.3"/>
  <pageSetup paperSize="9" scale="5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zoomScale="93" zoomScaleNormal="93" workbookViewId="0">
      <selection activeCell="L14" sqref="L14"/>
    </sheetView>
  </sheetViews>
  <sheetFormatPr defaultColWidth="9" defaultRowHeight="20.1" customHeight="1"/>
  <cols>
    <col min="1" max="1" width="9.62962962962963" style="49" customWidth="1"/>
    <col min="2" max="2" width="9.87962962962963" style="49" customWidth="1"/>
    <col min="3" max="3" width="7.37962962962963" style="49" customWidth="1"/>
    <col min="4" max="5" width="8.5" style="49" customWidth="1"/>
    <col min="6" max="6" width="9.87962962962963" style="49" customWidth="1"/>
    <col min="7" max="7" width="8.5" style="49" customWidth="1"/>
    <col min="8" max="8" width="10.5" style="49" customWidth="1"/>
    <col min="9" max="9" width="9.5" style="49" customWidth="1"/>
    <col min="10" max="10" width="9" style="49" customWidth="1"/>
    <col min="11" max="11" width="8.5" style="49" customWidth="1"/>
    <col min="12" max="12" width="9.12962962962963" style="49" customWidth="1"/>
    <col min="13" max="13" width="6.75" style="49" customWidth="1"/>
    <col min="14" max="14" width="7.25" style="49" customWidth="1"/>
    <col min="15" max="15" width="7.5" style="49" customWidth="1"/>
    <col min="16" max="16" width="8.87962962962963" style="49" customWidth="1"/>
    <col min="17" max="17" width="7.37962962962963" style="49" customWidth="1"/>
    <col min="18" max="18" width="9.87962962962963" style="49" customWidth="1"/>
    <col min="19" max="19" width="8.37962962962963" style="49" customWidth="1"/>
    <col min="20" max="20" width="10.5" style="49" customWidth="1"/>
    <col min="21" max="21" width="12.5" style="49" customWidth="1"/>
    <col min="22" max="22" width="8.37962962962963" style="49" customWidth="1"/>
    <col min="23" max="16384" width="9" style="49"/>
  </cols>
  <sheetData>
    <row r="1" customHeight="1" spans="1:24">
      <c r="A1" s="235" t="s">
        <v>105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" t="s">
        <v>19</v>
      </c>
      <c r="V1" s="2"/>
      <c r="W1" s="365"/>
      <c r="X1" s="365"/>
    </row>
    <row r="2" customHeight="1" spans="1:24">
      <c r="A2" s="237" t="s">
        <v>20</v>
      </c>
      <c r="B2" s="237"/>
      <c r="C2" s="237"/>
      <c r="D2" s="237"/>
      <c r="E2" s="237"/>
      <c r="F2" s="237"/>
      <c r="G2" s="238"/>
      <c r="H2" s="238"/>
      <c r="I2" s="238"/>
      <c r="J2" s="238"/>
      <c r="K2" s="237" t="str">
        <f>目录!C3</f>
        <v>填报日期：2026-5-8</v>
      </c>
      <c r="L2" s="237"/>
      <c r="M2" s="237"/>
      <c r="N2" s="237"/>
      <c r="O2" s="238"/>
      <c r="P2" s="238"/>
      <c r="Q2" s="238"/>
      <c r="R2" s="238"/>
      <c r="S2" s="238"/>
      <c r="T2" s="238"/>
      <c r="U2" s="309" t="s">
        <v>22</v>
      </c>
      <c r="V2" s="309"/>
    </row>
    <row r="3" customHeight="1" spans="1:24">
      <c r="A3" s="391" t="s">
        <v>106</v>
      </c>
      <c r="B3" s="371" t="s">
        <v>107</v>
      </c>
      <c r="C3" s="391" t="s">
        <v>108</v>
      </c>
      <c r="D3" s="436" t="s">
        <v>109</v>
      </c>
      <c r="E3" s="437"/>
      <c r="F3" s="437"/>
      <c r="G3" s="437"/>
      <c r="H3" s="437"/>
      <c r="I3" s="437"/>
      <c r="J3" s="437"/>
      <c r="K3" s="437"/>
      <c r="L3" s="437"/>
      <c r="M3" s="437"/>
      <c r="N3" s="437"/>
      <c r="O3" s="437"/>
      <c r="P3" s="437"/>
      <c r="Q3" s="438"/>
      <c r="R3" s="394" t="s">
        <v>110</v>
      </c>
      <c r="S3" s="395" t="s">
        <v>111</v>
      </c>
      <c r="T3" s="395" t="s">
        <v>112</v>
      </c>
      <c r="U3" s="394" t="s">
        <v>113</v>
      </c>
      <c r="V3" s="395" t="s">
        <v>114</v>
      </c>
    </row>
    <row r="4" customHeight="1" spans="1:24">
      <c r="A4" s="396"/>
      <c r="B4" s="371"/>
      <c r="C4" s="396"/>
      <c r="D4" s="371" t="s">
        <v>35</v>
      </c>
      <c r="E4" s="371" t="s">
        <v>36</v>
      </c>
      <c r="F4" s="371" t="s">
        <v>25</v>
      </c>
      <c r="G4" s="371" t="s">
        <v>26</v>
      </c>
      <c r="H4" s="371" t="s">
        <v>27</v>
      </c>
      <c r="I4" s="371" t="s">
        <v>28</v>
      </c>
      <c r="J4" s="371" t="s">
        <v>29</v>
      </c>
      <c r="K4" s="371" t="s">
        <v>30</v>
      </c>
      <c r="L4" s="371" t="s">
        <v>31</v>
      </c>
      <c r="M4" s="371" t="s">
        <v>32</v>
      </c>
      <c r="N4" s="371" t="s">
        <v>33</v>
      </c>
      <c r="O4" s="371" t="s">
        <v>34</v>
      </c>
      <c r="P4" s="371" t="s">
        <v>35</v>
      </c>
      <c r="Q4" s="371" t="s">
        <v>36</v>
      </c>
      <c r="R4" s="396"/>
      <c r="S4" s="395"/>
      <c r="T4" s="395"/>
      <c r="U4" s="439"/>
      <c r="V4" s="395"/>
    </row>
    <row r="5" customHeight="1" spans="1:24">
      <c r="A5" s="396">
        <v>2019.11</v>
      </c>
      <c r="B5" s="397">
        <v>1531.52</v>
      </c>
      <c r="C5" s="397">
        <v>5.58</v>
      </c>
      <c r="D5" s="440">
        <v>1016.45</v>
      </c>
      <c r="E5" s="440">
        <v>242.46</v>
      </c>
      <c r="F5" s="441">
        <v>125.84</v>
      </c>
      <c r="G5" s="442"/>
      <c r="H5" s="442"/>
      <c r="I5" s="442"/>
      <c r="J5" s="442"/>
      <c r="K5" s="442"/>
      <c r="L5" s="443"/>
      <c r="M5" s="443"/>
      <c r="N5" s="443"/>
      <c r="O5" s="443"/>
      <c r="P5" s="443"/>
      <c r="Q5" s="443"/>
      <c r="R5" s="403">
        <v>1384.75</v>
      </c>
      <c r="S5" s="428">
        <f>IFERROR(R5/B5,0)</f>
        <v>0.904167101964062</v>
      </c>
      <c r="T5" s="429">
        <f>B5-C5-SUM(D5:F5)</f>
        <v>141.19</v>
      </c>
      <c r="U5" s="415"/>
      <c r="V5" s="428">
        <f>IFERROR((U5+R5)/B5,0)</f>
        <v>0.904167101964062</v>
      </c>
    </row>
    <row r="6" customHeight="1" spans="1:24">
      <c r="A6" s="396">
        <v>2019.12</v>
      </c>
      <c r="B6" s="444">
        <v>980.69</v>
      </c>
      <c r="C6" s="444">
        <v>29.5</v>
      </c>
      <c r="D6" s="445"/>
      <c r="E6" s="440">
        <v>612.14</v>
      </c>
      <c r="F6" s="446">
        <v>162.78</v>
      </c>
      <c r="G6" s="431">
        <v>67.52</v>
      </c>
      <c r="H6" s="442"/>
      <c r="I6" s="442"/>
      <c r="J6" s="442"/>
      <c r="K6" s="442"/>
      <c r="L6" s="443"/>
      <c r="M6" s="443"/>
      <c r="N6" s="443"/>
      <c r="O6" s="443"/>
      <c r="P6" s="443"/>
      <c r="Q6" s="443"/>
      <c r="R6" s="403">
        <f>E6+F6+G6</f>
        <v>842.44</v>
      </c>
      <c r="S6" s="428">
        <f>IFERROR(R6/B6,0)</f>
        <v>0.859027827346052</v>
      </c>
      <c r="T6" s="429">
        <f>B6-C6-SUM(E6:G6)</f>
        <v>108.75</v>
      </c>
      <c r="U6" s="415"/>
      <c r="V6" s="428">
        <f>IFERROR((U6+R6)/B6,0)</f>
        <v>0.859027827346052</v>
      </c>
    </row>
    <row r="7" customHeight="1" spans="1:24">
      <c r="A7" s="371" t="s">
        <v>25</v>
      </c>
      <c r="B7" s="444">
        <v>1453.5</v>
      </c>
      <c r="C7" s="444">
        <v>3.3</v>
      </c>
      <c r="D7" s="447"/>
      <c r="E7" s="447"/>
      <c r="F7" s="448">
        <v>1003.29</v>
      </c>
      <c r="G7" s="431">
        <v>187.14</v>
      </c>
      <c r="H7" s="431">
        <v>165.44</v>
      </c>
      <c r="I7" s="400"/>
      <c r="J7" s="400"/>
      <c r="K7" s="400"/>
      <c r="L7" s="401"/>
      <c r="M7" s="401"/>
      <c r="N7" s="401"/>
      <c r="O7" s="401"/>
      <c r="P7" s="401"/>
      <c r="Q7" s="401"/>
      <c r="R7" s="403">
        <f>F7+G7+H7</f>
        <v>1355.87</v>
      </c>
      <c r="S7" s="428">
        <f>IFERROR(R7/B7,0)</f>
        <v>0.932831097351221</v>
      </c>
      <c r="T7" s="429">
        <f>B7-C7-SUM(F7:H7)</f>
        <v>94.3300000000002</v>
      </c>
      <c r="U7" s="449">
        <f>ROUND(T7*0.8,2)</f>
        <v>75.46</v>
      </c>
      <c r="V7" s="428">
        <f>IFERROR((U7+R7)/B7,0)</f>
        <v>0.984747162022704</v>
      </c>
    </row>
    <row r="8" customHeight="1" spans="1:24">
      <c r="A8" s="371" t="s">
        <v>26</v>
      </c>
      <c r="B8" s="397">
        <v>584.36</v>
      </c>
      <c r="C8" s="397"/>
      <c r="D8" s="447"/>
      <c r="E8" s="447"/>
      <c r="F8" s="400"/>
      <c r="G8" s="431">
        <v>342.47</v>
      </c>
      <c r="H8" s="431">
        <v>129.39</v>
      </c>
      <c r="I8" s="408"/>
      <c r="J8" s="400"/>
      <c r="K8" s="400"/>
      <c r="L8" s="401"/>
      <c r="M8" s="401"/>
      <c r="N8" s="401"/>
      <c r="O8" s="401"/>
      <c r="P8" s="401"/>
      <c r="Q8" s="401"/>
      <c r="R8" s="403">
        <f>G8+H8+I8</f>
        <v>471.86</v>
      </c>
      <c r="S8" s="428">
        <f>IFERROR(R8/B8,0)</f>
        <v>0.807481689369567</v>
      </c>
      <c r="T8" s="429">
        <f>B8-C8-SUM(G8:H8)</f>
        <v>112.5</v>
      </c>
      <c r="U8" s="449">
        <f>ROUND(T8*0.8,2)</f>
        <v>90</v>
      </c>
      <c r="V8" s="428">
        <f>IFERROR((U8+R8)/B8,0)</f>
        <v>0.961496337873913</v>
      </c>
    </row>
    <row r="9" customHeight="1" spans="1:24">
      <c r="A9" s="371" t="s">
        <v>27</v>
      </c>
      <c r="B9" s="433">
        <v>1110.71</v>
      </c>
      <c r="C9" s="397"/>
      <c r="D9" s="447"/>
      <c r="E9" s="447"/>
      <c r="F9" s="400"/>
      <c r="G9" s="400"/>
      <c r="H9" s="431">
        <v>649.81</v>
      </c>
      <c r="I9" s="408"/>
      <c r="J9" s="408"/>
      <c r="K9" s="400"/>
      <c r="L9" s="401"/>
      <c r="M9" s="401"/>
      <c r="N9" s="401"/>
      <c r="O9" s="401"/>
      <c r="P9" s="401"/>
      <c r="Q9" s="401"/>
      <c r="R9" s="403">
        <f>H9</f>
        <v>649.81</v>
      </c>
      <c r="S9" s="428">
        <f>IFERROR(R9/B9,0)</f>
        <v>0.585040199512024</v>
      </c>
      <c r="T9" s="429">
        <f>B9-C9-SUM(F9:J9)</f>
        <v>460.9</v>
      </c>
      <c r="U9" s="449">
        <f>ROUND(T9*0.8,2)</f>
        <v>368.72</v>
      </c>
      <c r="V9" s="428">
        <f>IFERROR((U9+R9)/B9,0)</f>
        <v>0.917008039902405</v>
      </c>
    </row>
    <row r="10" customHeight="1" spans="1:24">
      <c r="A10" s="371" t="s">
        <v>28</v>
      </c>
      <c r="B10" s="397"/>
      <c r="C10" s="397"/>
      <c r="D10" s="447"/>
      <c r="E10" s="447"/>
      <c r="F10" s="400"/>
      <c r="G10" s="400"/>
      <c r="H10" s="400"/>
      <c r="I10" s="408"/>
      <c r="J10" s="408"/>
      <c r="K10" s="413"/>
      <c r="L10" s="401"/>
      <c r="M10" s="401"/>
      <c r="N10" s="401"/>
      <c r="O10" s="401"/>
      <c r="P10" s="401"/>
      <c r="Q10" s="401"/>
      <c r="R10" s="403"/>
      <c r="S10" s="450"/>
      <c r="T10" s="451"/>
      <c r="U10" s="415"/>
      <c r="V10" s="452"/>
    </row>
    <row r="11" customHeight="1" spans="1:24">
      <c r="A11" s="371" t="s">
        <v>29</v>
      </c>
      <c r="B11" s="397"/>
      <c r="C11" s="397"/>
      <c r="D11" s="447"/>
      <c r="E11" s="447"/>
      <c r="F11" s="400"/>
      <c r="G11" s="400"/>
      <c r="H11" s="400"/>
      <c r="I11" s="400"/>
      <c r="J11" s="408"/>
      <c r="K11" s="413"/>
      <c r="L11" s="397"/>
      <c r="M11" s="401"/>
      <c r="N11" s="401"/>
      <c r="O11" s="401"/>
      <c r="P11" s="401"/>
      <c r="Q11" s="401"/>
      <c r="R11" s="403"/>
      <c r="S11" s="450"/>
      <c r="T11" s="451"/>
      <c r="U11" s="415"/>
      <c r="V11" s="452"/>
    </row>
    <row r="12" customHeight="1" spans="1:24">
      <c r="A12" s="371" t="s">
        <v>30</v>
      </c>
      <c r="B12" s="397"/>
      <c r="C12" s="397"/>
      <c r="D12" s="447"/>
      <c r="E12" s="447"/>
      <c r="F12" s="400"/>
      <c r="G12" s="400"/>
      <c r="H12" s="400"/>
      <c r="I12" s="400"/>
      <c r="J12" s="400"/>
      <c r="K12" s="413"/>
      <c r="L12" s="397"/>
      <c r="M12" s="397"/>
      <c r="N12" s="401"/>
      <c r="O12" s="401"/>
      <c r="P12" s="401"/>
      <c r="Q12" s="401"/>
      <c r="R12" s="403"/>
      <c r="S12" s="450"/>
      <c r="T12" s="451"/>
      <c r="U12" s="415"/>
      <c r="V12" s="452"/>
    </row>
    <row r="13" customHeight="1" spans="1:24">
      <c r="A13" s="371" t="s">
        <v>31</v>
      </c>
      <c r="B13" s="397"/>
      <c r="C13" s="397"/>
      <c r="D13" s="453"/>
      <c r="E13" s="453"/>
      <c r="F13" s="401"/>
      <c r="G13" s="401"/>
      <c r="H13" s="401"/>
      <c r="I13" s="401"/>
      <c r="J13" s="401"/>
      <c r="K13" s="401"/>
      <c r="L13" s="397"/>
      <c r="M13" s="397"/>
      <c r="N13" s="397"/>
      <c r="O13" s="401"/>
      <c r="P13" s="401"/>
      <c r="Q13" s="401"/>
      <c r="R13" s="414"/>
      <c r="S13" s="450"/>
      <c r="T13" s="454"/>
      <c r="U13" s="455"/>
      <c r="V13" s="452"/>
    </row>
    <row r="14" customHeight="1" spans="1:24">
      <c r="A14" s="371" t="s">
        <v>32</v>
      </c>
      <c r="B14" s="397"/>
      <c r="C14" s="397"/>
      <c r="D14" s="453"/>
      <c r="E14" s="453"/>
      <c r="F14" s="401"/>
      <c r="G14" s="401"/>
      <c r="H14" s="401"/>
      <c r="I14" s="401"/>
      <c r="J14" s="401"/>
      <c r="K14" s="401"/>
      <c r="L14" s="401"/>
      <c r="M14" s="397"/>
      <c r="N14" s="397"/>
      <c r="O14" s="397"/>
      <c r="P14" s="401"/>
      <c r="Q14" s="401"/>
      <c r="R14" s="414"/>
      <c r="S14" s="411"/>
      <c r="T14" s="454"/>
      <c r="U14" s="455"/>
      <c r="V14" s="452"/>
    </row>
    <row r="15" customHeight="1" spans="1:24">
      <c r="A15" s="371" t="s">
        <v>33</v>
      </c>
      <c r="B15" s="397"/>
      <c r="C15" s="397"/>
      <c r="D15" s="453"/>
      <c r="E15" s="453"/>
      <c r="F15" s="401"/>
      <c r="G15" s="401"/>
      <c r="H15" s="401"/>
      <c r="I15" s="401"/>
      <c r="J15" s="401"/>
      <c r="K15" s="401"/>
      <c r="L15" s="401"/>
      <c r="M15" s="401"/>
      <c r="N15" s="397"/>
      <c r="O15" s="397"/>
      <c r="P15" s="397"/>
      <c r="Q15" s="401"/>
      <c r="R15" s="414"/>
      <c r="S15" s="411"/>
      <c r="T15" s="454"/>
      <c r="U15" s="455"/>
      <c r="V15" s="452"/>
    </row>
    <row r="16" customHeight="1" spans="1:24">
      <c r="A16" s="371" t="s">
        <v>34</v>
      </c>
      <c r="B16" s="397"/>
      <c r="C16" s="397"/>
      <c r="D16" s="453"/>
      <c r="E16" s="453"/>
      <c r="F16" s="401"/>
      <c r="G16" s="401"/>
      <c r="H16" s="401"/>
      <c r="I16" s="401"/>
      <c r="J16" s="401"/>
      <c r="K16" s="401"/>
      <c r="L16" s="401"/>
      <c r="M16" s="401"/>
      <c r="N16" s="401"/>
      <c r="O16" s="397"/>
      <c r="P16" s="397"/>
      <c r="Q16" s="397"/>
      <c r="R16" s="414"/>
      <c r="S16" s="411"/>
      <c r="T16" s="454"/>
      <c r="U16" s="455"/>
      <c r="V16" s="452"/>
    </row>
    <row r="17" customHeight="1" spans="1:22">
      <c r="A17" s="371" t="s">
        <v>35</v>
      </c>
      <c r="B17" s="397"/>
      <c r="C17" s="397"/>
      <c r="D17" s="453"/>
      <c r="E17" s="453"/>
      <c r="F17" s="401"/>
      <c r="G17" s="401"/>
      <c r="H17" s="401"/>
      <c r="I17" s="401"/>
      <c r="J17" s="401"/>
      <c r="K17" s="401"/>
      <c r="L17" s="401"/>
      <c r="M17" s="401"/>
      <c r="N17" s="401"/>
      <c r="O17" s="401"/>
      <c r="P17" s="397"/>
      <c r="Q17" s="397"/>
      <c r="R17" s="414"/>
      <c r="S17" s="411"/>
      <c r="T17" s="454"/>
      <c r="U17" s="456"/>
      <c r="V17" s="452"/>
    </row>
    <row r="18" customHeight="1" spans="1:22">
      <c r="A18" s="371" t="s">
        <v>36</v>
      </c>
      <c r="B18" s="397"/>
      <c r="C18" s="397"/>
      <c r="D18" s="453"/>
      <c r="E18" s="453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397"/>
      <c r="R18" s="414"/>
      <c r="S18" s="411"/>
      <c r="T18" s="454"/>
      <c r="U18" s="456"/>
      <c r="V18" s="452"/>
    </row>
    <row r="19" customHeight="1" spans="1:22">
      <c r="A19" s="371" t="s">
        <v>115</v>
      </c>
      <c r="B19" s="457">
        <f>SUM(B7:B18)</f>
        <v>3148.57</v>
      </c>
      <c r="C19" s="457">
        <f t="shared" ref="C19:H19" si="0">SUM(C5:C18)</f>
        <v>38.38</v>
      </c>
      <c r="D19" s="457">
        <f t="shared" si="0"/>
        <v>1016.45</v>
      </c>
      <c r="E19" s="457">
        <f t="shared" si="0"/>
        <v>854.6</v>
      </c>
      <c r="F19" s="457">
        <f t="shared" si="0"/>
        <v>1291.91</v>
      </c>
      <c r="G19" s="457">
        <f t="shared" si="0"/>
        <v>597.13</v>
      </c>
      <c r="H19" s="457">
        <f t="shared" si="0"/>
        <v>944.64</v>
      </c>
      <c r="I19" s="457">
        <f t="shared" ref="I19:R19" si="1">SUM(I5:I18)</f>
        <v>0</v>
      </c>
      <c r="J19" s="457">
        <f t="shared" si="1"/>
        <v>0</v>
      </c>
      <c r="K19" s="457">
        <f t="shared" si="1"/>
        <v>0</v>
      </c>
      <c r="L19" s="457">
        <f t="shared" si="1"/>
        <v>0</v>
      </c>
      <c r="M19" s="457">
        <f t="shared" si="1"/>
        <v>0</v>
      </c>
      <c r="N19" s="457">
        <f t="shared" si="1"/>
        <v>0</v>
      </c>
      <c r="O19" s="457">
        <f t="shared" si="1"/>
        <v>0</v>
      </c>
      <c r="P19" s="457">
        <f t="shared" si="1"/>
        <v>0</v>
      </c>
      <c r="Q19" s="457">
        <f t="shared" si="1"/>
        <v>0</v>
      </c>
      <c r="R19" s="457">
        <f t="shared" si="1"/>
        <v>4704.73</v>
      </c>
      <c r="S19" s="452"/>
      <c r="T19" s="457"/>
      <c r="U19" s="457"/>
      <c r="V19" s="452"/>
    </row>
    <row r="21" customHeight="1" spans="1:22">
      <c r="R21" s="458"/>
    </row>
    <row r="23" customHeight="1" spans="1:22">
      <c r="B23" s="274"/>
    </row>
    <row r="24" customHeight="1" spans="1:22">
      <c r="B24" s="274"/>
    </row>
  </sheetData>
  <mergeCells count="14">
    <mergeCell ref="A1:T1"/>
    <mergeCell ref="U1:V1"/>
    <mergeCell ref="A2:F2"/>
    <mergeCell ref="K2:N2"/>
    <mergeCell ref="U2:V2"/>
    <mergeCell ref="D3:Q3"/>
    <mergeCell ref="A3:A4"/>
    <mergeCell ref="B3:B4"/>
    <mergeCell ref="C3:C4"/>
    <mergeCell ref="R3:R4"/>
    <mergeCell ref="S3:S4"/>
    <mergeCell ref="T3:T4"/>
    <mergeCell ref="U3:U4"/>
    <mergeCell ref="V3:V4"/>
  </mergeCells>
  <hyperlinks>
    <hyperlink ref="U1:V1" location="目录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zoomScale="98" zoomScaleNormal="98" workbookViewId="0">
      <selection activeCell="K24" sqref="K24"/>
    </sheetView>
  </sheetViews>
  <sheetFormatPr defaultColWidth="9" defaultRowHeight="20.1" customHeight="1"/>
  <cols>
    <col min="1" max="1" width="9.25" customWidth="1"/>
    <col min="2" max="2" width="10.1296296296296" customWidth="1"/>
    <col min="3" max="3" width="6.5" customWidth="1"/>
    <col min="4" max="5" width="9.25" customWidth="1"/>
    <col min="6" max="6" width="8.12962962962963" customWidth="1"/>
    <col min="7" max="7" width="9.37962962962963" customWidth="1"/>
    <col min="8" max="8" width="7.37962962962963" customWidth="1"/>
    <col min="9" max="9" width="8.25" customWidth="1"/>
    <col min="10" max="10" width="7.5" customWidth="1"/>
    <col min="11" max="11" width="7.75" customWidth="1"/>
    <col min="12" max="12" width="8.75" customWidth="1"/>
    <col min="13" max="13" width="7.5" customWidth="1"/>
    <col min="14" max="14" width="8.5" customWidth="1"/>
    <col min="15" max="15" width="7.62962962962963" customWidth="1"/>
    <col min="16" max="17" width="6.37962962962963" customWidth="1"/>
    <col min="18" max="18" width="9.25" customWidth="1"/>
    <col min="19" max="19" width="8" customWidth="1"/>
    <col min="20" max="20" width="10" customWidth="1"/>
    <col min="21" max="21" width="9.25" customWidth="1"/>
    <col min="22" max="22" width="11.8796296296296" customWidth="1"/>
  </cols>
  <sheetData>
    <row r="1" customHeight="1" spans="1:24">
      <c r="A1" s="235" t="s">
        <v>116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" t="s">
        <v>19</v>
      </c>
      <c r="V1" s="2"/>
      <c r="W1" s="235"/>
      <c r="X1" s="235"/>
    </row>
    <row r="2" s="49" customFormat="1" customHeight="1" spans="1:24">
      <c r="A2" s="237" t="s">
        <v>20</v>
      </c>
      <c r="B2" s="237"/>
      <c r="C2" s="237"/>
      <c r="D2" s="237"/>
      <c r="E2" s="237"/>
      <c r="F2" s="237"/>
      <c r="G2" s="237"/>
      <c r="H2" s="237"/>
      <c r="I2" s="238"/>
      <c r="J2" s="238"/>
      <c r="K2" s="238"/>
      <c r="L2" s="238"/>
      <c r="M2" s="238" t="str">
        <f>目录!C3</f>
        <v>填报日期：2026-5-8</v>
      </c>
      <c r="N2" s="238"/>
      <c r="O2" s="238"/>
      <c r="P2" s="238"/>
      <c r="Q2" s="238"/>
      <c r="R2" s="238"/>
      <c r="S2" s="238"/>
      <c r="T2" s="238"/>
      <c r="U2" s="309" t="s">
        <v>22</v>
      </c>
      <c r="V2" s="309"/>
    </row>
    <row r="3" customHeight="1" spans="1:24">
      <c r="A3" s="391" t="s">
        <v>106</v>
      </c>
      <c r="B3" s="371" t="s">
        <v>107</v>
      </c>
      <c r="C3" s="371" t="s">
        <v>108</v>
      </c>
      <c r="D3" s="424" t="s">
        <v>109</v>
      </c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3"/>
      <c r="R3" s="394" t="s">
        <v>110</v>
      </c>
      <c r="S3" s="371" t="s">
        <v>111</v>
      </c>
      <c r="T3" s="371" t="s">
        <v>112</v>
      </c>
      <c r="U3" s="391" t="s">
        <v>113</v>
      </c>
      <c r="V3" s="395" t="s">
        <v>114</v>
      </c>
    </row>
    <row r="4" customHeight="1" spans="1:24">
      <c r="A4" s="396"/>
      <c r="B4" s="371"/>
      <c r="C4" s="371"/>
      <c r="D4" s="425">
        <v>2019.11</v>
      </c>
      <c r="E4" s="425">
        <v>2019.12</v>
      </c>
      <c r="F4" s="371" t="s">
        <v>25</v>
      </c>
      <c r="G4" s="371" t="s">
        <v>26</v>
      </c>
      <c r="H4" s="371" t="s">
        <v>27</v>
      </c>
      <c r="I4" s="371" t="s">
        <v>28</v>
      </c>
      <c r="J4" s="371" t="s">
        <v>29</v>
      </c>
      <c r="K4" s="371" t="s">
        <v>30</v>
      </c>
      <c r="L4" s="371" t="s">
        <v>31</v>
      </c>
      <c r="M4" s="371" t="s">
        <v>32</v>
      </c>
      <c r="N4" s="371" t="s">
        <v>33</v>
      </c>
      <c r="O4" s="371" t="s">
        <v>34</v>
      </c>
      <c r="P4" s="371" t="s">
        <v>35</v>
      </c>
      <c r="Q4" s="371" t="s">
        <v>36</v>
      </c>
      <c r="R4" s="396"/>
      <c r="S4" s="371"/>
      <c r="T4" s="371"/>
      <c r="U4" s="396"/>
      <c r="V4" s="395"/>
    </row>
    <row r="5" customHeight="1" spans="1:24">
      <c r="A5" s="371">
        <v>2019.11</v>
      </c>
      <c r="B5" s="397">
        <v>395.73</v>
      </c>
      <c r="C5" s="398">
        <v>5.58</v>
      </c>
      <c r="D5" s="398">
        <v>186.5</v>
      </c>
      <c r="E5" s="398">
        <v>69.48</v>
      </c>
      <c r="F5" s="426">
        <v>43.83</v>
      </c>
      <c r="G5" s="427"/>
      <c r="H5" s="427"/>
      <c r="I5" s="427"/>
      <c r="J5" s="400"/>
      <c r="K5" s="400"/>
      <c r="L5" s="400"/>
      <c r="M5" s="400"/>
      <c r="N5" s="401"/>
      <c r="O5" s="402"/>
      <c r="P5" s="402"/>
      <c r="Q5" s="402"/>
      <c r="R5" s="403">
        <f>D5+E5+F5</f>
        <v>299.81</v>
      </c>
      <c r="S5" s="428">
        <f>IFERROR(R5/B5,0)</f>
        <v>0.757612513582493</v>
      </c>
      <c r="T5" s="429">
        <f>B5-C5-SUM(D5:F5)</f>
        <v>90.34</v>
      </c>
      <c r="U5" s="430"/>
      <c r="V5" s="428">
        <f>IFERROR((U5+R5)/B5,0)</f>
        <v>0.757612513582493</v>
      </c>
    </row>
    <row r="6" customHeight="1" spans="1:24">
      <c r="A6" s="371">
        <v>2019.12</v>
      </c>
      <c r="B6" s="397">
        <v>830</v>
      </c>
      <c r="C6" s="398">
        <v>29.5</v>
      </c>
      <c r="D6" s="400"/>
      <c r="E6" s="398">
        <v>271.93</v>
      </c>
      <c r="F6" s="426">
        <v>81.7</v>
      </c>
      <c r="G6" s="431">
        <v>64.94</v>
      </c>
      <c r="H6" s="427"/>
      <c r="I6" s="427"/>
      <c r="J6" s="400"/>
      <c r="K6" s="400"/>
      <c r="L6" s="400"/>
      <c r="M6" s="400"/>
      <c r="N6" s="401"/>
      <c r="O6" s="402"/>
      <c r="P6" s="402"/>
      <c r="Q6" s="402"/>
      <c r="R6" s="403">
        <f>E6+F6+G6</f>
        <v>418.57</v>
      </c>
      <c r="S6" s="428">
        <f>IFERROR(R6/B6,0)</f>
        <v>0.504301204819277</v>
      </c>
      <c r="T6" s="429">
        <f>B6-C6-SUM(E6:G6)</f>
        <v>381.93</v>
      </c>
      <c r="U6" s="430"/>
      <c r="V6" s="428">
        <f>IFERROR((U6+R6)/B6,0)</f>
        <v>0.504301204819277</v>
      </c>
    </row>
    <row r="7" customHeight="1" spans="1:24">
      <c r="A7" s="371" t="s">
        <v>25</v>
      </c>
      <c r="B7" s="397">
        <v>1627.59</v>
      </c>
      <c r="C7" s="398">
        <v>0</v>
      </c>
      <c r="D7" s="400"/>
      <c r="E7" s="400"/>
      <c r="F7" s="426">
        <v>862.75</v>
      </c>
      <c r="G7" s="431">
        <v>262.88</v>
      </c>
      <c r="H7" s="431">
        <v>203.54</v>
      </c>
      <c r="I7" s="432"/>
      <c r="J7" s="408"/>
      <c r="K7" s="400"/>
      <c r="L7" s="400"/>
      <c r="M7" s="400"/>
      <c r="N7" s="401"/>
      <c r="O7" s="402"/>
      <c r="P7" s="402"/>
      <c r="Q7" s="402"/>
      <c r="R7" s="403">
        <f>F7+G7+H7</f>
        <v>1329.17</v>
      </c>
      <c r="S7" s="428">
        <f>IFERROR(R7/B7,0)</f>
        <v>0.816649156114255</v>
      </c>
      <c r="T7" s="429">
        <f>B7-C7-SUM(F7:H7)</f>
        <v>298.42</v>
      </c>
      <c r="U7" s="430">
        <f>ROUND(T7*0.8,2)</f>
        <v>238.74</v>
      </c>
      <c r="V7" s="428">
        <f>IFERROR((U7+R7)/B7,0)</f>
        <v>0.963332288844242</v>
      </c>
    </row>
    <row r="8" customHeight="1" spans="1:24">
      <c r="A8" s="371" t="s">
        <v>26</v>
      </c>
      <c r="B8" s="397">
        <v>360.16</v>
      </c>
      <c r="C8" s="397"/>
      <c r="D8" s="400"/>
      <c r="E8" s="400"/>
      <c r="F8" s="400"/>
      <c r="G8" s="431">
        <v>223.59</v>
      </c>
      <c r="H8" s="431">
        <v>95.86</v>
      </c>
      <c r="I8" s="408"/>
      <c r="J8" s="408"/>
      <c r="K8" s="413"/>
      <c r="L8" s="400"/>
      <c r="M8" s="400"/>
      <c r="N8" s="401"/>
      <c r="O8" s="402"/>
      <c r="P8" s="402"/>
      <c r="Q8" s="402"/>
      <c r="R8" s="403">
        <f>G8+H8</f>
        <v>319.45</v>
      </c>
      <c r="S8" s="428">
        <f>IFERROR(R8/B8,0)</f>
        <v>0.886966903598401</v>
      </c>
      <c r="T8" s="429">
        <f>B8-C8-SUM(G8:H8)</f>
        <v>40.71</v>
      </c>
      <c r="U8" s="430">
        <f>ROUND(T8*0.8,2)</f>
        <v>32.57</v>
      </c>
      <c r="V8" s="428">
        <f>IFERROR((U8+R8)/B8,0)</f>
        <v>0.977398933807197</v>
      </c>
    </row>
    <row r="9" customHeight="1" spans="1:24">
      <c r="A9" s="371" t="s">
        <v>27</v>
      </c>
      <c r="B9" s="433">
        <v>1152.71</v>
      </c>
      <c r="C9" s="397"/>
      <c r="D9" s="400"/>
      <c r="E9" s="400"/>
      <c r="F9" s="400"/>
      <c r="G9" s="400"/>
      <c r="H9" s="431">
        <v>647.93</v>
      </c>
      <c r="I9" s="400"/>
      <c r="J9" s="408"/>
      <c r="K9" s="413"/>
      <c r="L9" s="413"/>
      <c r="M9" s="400"/>
      <c r="N9" s="401"/>
      <c r="O9" s="402"/>
      <c r="P9" s="402"/>
      <c r="Q9" s="402"/>
      <c r="R9" s="403">
        <f>H9</f>
        <v>647.93</v>
      </c>
      <c r="S9" s="428">
        <f>IFERROR(R9/B9,0)</f>
        <v>0.562092807384338</v>
      </c>
      <c r="T9" s="429">
        <f>B9-C9-SUM(H9:H9)</f>
        <v>504.78</v>
      </c>
      <c r="U9" s="430">
        <f>ROUND(T9*0.8,2)</f>
        <v>403.82</v>
      </c>
      <c r="V9" s="428">
        <f>IFERROR((U9+R9)/B9,0)</f>
        <v>0.912415091393325</v>
      </c>
    </row>
    <row r="10" customHeight="1" spans="1:24">
      <c r="A10" s="371" t="s">
        <v>28</v>
      </c>
      <c r="B10" s="397"/>
      <c r="C10" s="397"/>
      <c r="D10" s="400"/>
      <c r="E10" s="400"/>
      <c r="F10" s="400"/>
      <c r="G10" s="400"/>
      <c r="H10" s="400"/>
      <c r="I10" s="400"/>
      <c r="J10" s="400"/>
      <c r="K10" s="413"/>
      <c r="L10" s="413"/>
      <c r="M10" s="413"/>
      <c r="N10" s="401"/>
      <c r="O10" s="402"/>
      <c r="P10" s="402"/>
      <c r="Q10" s="402"/>
      <c r="R10" s="403"/>
      <c r="S10" s="410"/>
      <c r="T10" s="411"/>
      <c r="U10" s="412"/>
      <c r="V10" s="410"/>
    </row>
    <row r="11" customHeight="1" spans="1:24">
      <c r="A11" s="371" t="s">
        <v>29</v>
      </c>
      <c r="B11" s="397"/>
      <c r="C11" s="397"/>
      <c r="D11" s="400"/>
      <c r="E11" s="400"/>
      <c r="F11" s="400"/>
      <c r="G11" s="400"/>
      <c r="H11" s="400"/>
      <c r="I11" s="400"/>
      <c r="J11" s="400"/>
      <c r="K11" s="400"/>
      <c r="L11" s="413"/>
      <c r="M11" s="413"/>
      <c r="N11" s="397"/>
      <c r="O11" s="402"/>
      <c r="P11" s="402"/>
      <c r="Q11" s="402"/>
      <c r="R11" s="414"/>
      <c r="S11" s="410"/>
      <c r="T11" s="411"/>
      <c r="U11" s="415"/>
      <c r="V11" s="410"/>
    </row>
    <row r="12" customHeight="1" spans="1:24">
      <c r="A12" s="371" t="s">
        <v>30</v>
      </c>
      <c r="B12" s="397"/>
      <c r="C12" s="397"/>
      <c r="D12" s="400"/>
      <c r="E12" s="400"/>
      <c r="F12" s="401"/>
      <c r="G12" s="401"/>
      <c r="H12" s="401"/>
      <c r="I12" s="401"/>
      <c r="J12" s="401"/>
      <c r="K12" s="401"/>
      <c r="L12" s="401"/>
      <c r="M12" s="397"/>
      <c r="N12" s="397"/>
      <c r="O12" s="416"/>
      <c r="P12" s="402"/>
      <c r="Q12" s="402"/>
      <c r="R12" s="414"/>
      <c r="S12" s="410"/>
      <c r="T12" s="411"/>
      <c r="U12" s="415"/>
      <c r="V12" s="410"/>
    </row>
    <row r="13" customHeight="1" spans="1:24">
      <c r="A13" s="371" t="s">
        <v>31</v>
      </c>
      <c r="B13" s="416"/>
      <c r="C13" s="416"/>
      <c r="D13" s="400"/>
      <c r="E13" s="400"/>
      <c r="F13" s="402"/>
      <c r="G13" s="402"/>
      <c r="H13" s="402"/>
      <c r="I13" s="402"/>
      <c r="J13" s="402"/>
      <c r="K13" s="402"/>
      <c r="L13" s="402"/>
      <c r="M13" s="402"/>
      <c r="N13" s="416"/>
      <c r="O13" s="416"/>
      <c r="P13" s="416"/>
      <c r="Q13" s="402"/>
      <c r="R13" s="414"/>
      <c r="S13" s="410"/>
      <c r="T13" s="411"/>
      <c r="U13" s="415"/>
      <c r="V13" s="410"/>
    </row>
    <row r="14" customHeight="1" spans="1:24">
      <c r="A14" s="371" t="s">
        <v>32</v>
      </c>
      <c r="B14" s="416"/>
      <c r="C14" s="416"/>
      <c r="D14" s="400"/>
      <c r="E14" s="400"/>
      <c r="F14" s="402"/>
      <c r="G14" s="402"/>
      <c r="H14" s="402"/>
      <c r="I14" s="402"/>
      <c r="J14" s="402"/>
      <c r="K14" s="402"/>
      <c r="L14" s="402"/>
      <c r="M14" s="402"/>
      <c r="N14" s="402"/>
      <c r="O14" s="416"/>
      <c r="P14" s="416"/>
      <c r="Q14" s="416"/>
      <c r="R14" s="414"/>
      <c r="S14" s="410"/>
      <c r="T14" s="411"/>
      <c r="U14" s="411"/>
      <c r="V14" s="410"/>
    </row>
    <row r="15" customHeight="1" spans="1:24">
      <c r="A15" s="371" t="s">
        <v>33</v>
      </c>
      <c r="B15" s="416"/>
      <c r="C15" s="416"/>
      <c r="D15" s="400"/>
      <c r="E15" s="400"/>
      <c r="F15" s="402"/>
      <c r="G15" s="402"/>
      <c r="H15" s="402"/>
      <c r="I15" s="402"/>
      <c r="J15" s="402"/>
      <c r="K15" s="402"/>
      <c r="L15" s="402"/>
      <c r="M15" s="402"/>
      <c r="N15" s="402"/>
      <c r="O15" s="402"/>
      <c r="P15" s="416"/>
      <c r="Q15" s="416"/>
      <c r="R15" s="414"/>
      <c r="S15" s="410"/>
      <c r="T15" s="398"/>
      <c r="U15" s="398"/>
      <c r="V15" s="410"/>
    </row>
    <row r="16" customHeight="1" spans="1:24">
      <c r="A16" s="371" t="s">
        <v>34</v>
      </c>
      <c r="B16" s="416"/>
      <c r="C16" s="416"/>
      <c r="D16" s="400"/>
      <c r="E16" s="400"/>
      <c r="F16" s="402"/>
      <c r="G16" s="402"/>
      <c r="H16" s="402"/>
      <c r="I16" s="402"/>
      <c r="J16" s="402"/>
      <c r="K16" s="402"/>
      <c r="L16" s="402"/>
      <c r="M16" s="402"/>
      <c r="N16" s="402"/>
      <c r="O16" s="402"/>
      <c r="P16" s="402"/>
      <c r="Q16" s="416"/>
      <c r="R16" s="414"/>
      <c r="S16" s="410"/>
      <c r="T16" s="398"/>
      <c r="U16" s="398"/>
      <c r="V16" s="434"/>
    </row>
    <row r="17" customHeight="1" spans="1:22">
      <c r="A17" s="371" t="s">
        <v>35</v>
      </c>
      <c r="B17" s="417"/>
      <c r="C17" s="417"/>
      <c r="D17" s="400"/>
      <c r="E17" s="400"/>
      <c r="F17" s="400"/>
      <c r="G17" s="400"/>
      <c r="H17" s="400"/>
      <c r="I17" s="400"/>
      <c r="J17" s="400"/>
      <c r="K17" s="400"/>
      <c r="L17" s="400"/>
      <c r="M17" s="400"/>
      <c r="N17" s="400"/>
      <c r="O17" s="400"/>
      <c r="P17" s="400"/>
      <c r="Q17" s="400"/>
      <c r="R17" s="417"/>
      <c r="S17" s="419"/>
      <c r="T17" s="417"/>
      <c r="U17" s="422"/>
      <c r="V17" s="435"/>
    </row>
    <row r="18" customHeight="1" spans="1:22">
      <c r="A18" s="371" t="s">
        <v>36</v>
      </c>
      <c r="B18" s="417"/>
      <c r="C18" s="417"/>
      <c r="D18" s="400"/>
      <c r="E18" s="400"/>
      <c r="F18" s="400"/>
      <c r="G18" s="400"/>
      <c r="H18" s="400"/>
      <c r="I18" s="400"/>
      <c r="J18" s="400"/>
      <c r="K18" s="400"/>
      <c r="L18" s="400"/>
      <c r="M18" s="400"/>
      <c r="N18" s="400"/>
      <c r="O18" s="400"/>
      <c r="P18" s="400"/>
      <c r="Q18" s="400"/>
      <c r="R18" s="417"/>
      <c r="S18" s="419"/>
      <c r="T18" s="417"/>
      <c r="U18" s="422"/>
      <c r="V18" s="193"/>
    </row>
    <row r="19" customHeight="1" spans="1:22">
      <c r="A19" s="371" t="s">
        <v>115</v>
      </c>
      <c r="B19" s="417">
        <f>SUM(B7:B18)</f>
        <v>3140.46</v>
      </c>
      <c r="C19" s="417">
        <f>SUM(C5:C18)</f>
        <v>35.08</v>
      </c>
      <c r="D19" s="417">
        <f t="shared" ref="D19:R19" si="0">SUM(D5:D18)</f>
        <v>186.5</v>
      </c>
      <c r="E19" s="417">
        <f t="shared" si="0"/>
        <v>341.41</v>
      </c>
      <c r="F19" s="417">
        <f t="shared" si="0"/>
        <v>988.28</v>
      </c>
      <c r="G19" s="417">
        <f t="shared" si="0"/>
        <v>551.41</v>
      </c>
      <c r="H19" s="417">
        <f t="shared" si="0"/>
        <v>947.33</v>
      </c>
      <c r="I19" s="417">
        <f t="shared" si="0"/>
        <v>0</v>
      </c>
      <c r="J19" s="417">
        <f t="shared" si="0"/>
        <v>0</v>
      </c>
      <c r="K19" s="417">
        <f t="shared" si="0"/>
        <v>0</v>
      </c>
      <c r="L19" s="417">
        <f t="shared" si="0"/>
        <v>0</v>
      </c>
      <c r="M19" s="417">
        <f t="shared" si="0"/>
        <v>0</v>
      </c>
      <c r="N19" s="417">
        <f t="shared" si="0"/>
        <v>0</v>
      </c>
      <c r="O19" s="417">
        <f t="shared" si="0"/>
        <v>0</v>
      </c>
      <c r="P19" s="417">
        <f t="shared" si="0"/>
        <v>0</v>
      </c>
      <c r="Q19" s="417">
        <f t="shared" si="0"/>
        <v>0</v>
      </c>
      <c r="R19" s="417">
        <f t="shared" si="0"/>
        <v>3014.93</v>
      </c>
      <c r="S19" s="417"/>
      <c r="T19" s="417">
        <f>SUM(T5:T18)</f>
        <v>1316.18</v>
      </c>
      <c r="U19" s="422"/>
      <c r="V19" s="193"/>
    </row>
  </sheetData>
  <mergeCells count="13">
    <mergeCell ref="A1:T1"/>
    <mergeCell ref="U1:V1"/>
    <mergeCell ref="A2:H2"/>
    <mergeCell ref="U2:V2"/>
    <mergeCell ref="D3:Q3"/>
    <mergeCell ref="A3:A4"/>
    <mergeCell ref="B3:B4"/>
    <mergeCell ref="C3:C4"/>
    <mergeCell ref="R3:R4"/>
    <mergeCell ref="S3:S4"/>
    <mergeCell ref="T3:T4"/>
    <mergeCell ref="U3:U4"/>
    <mergeCell ref="V3:V4"/>
  </mergeCells>
  <hyperlinks>
    <hyperlink ref="U1:V1" location="目录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"/>
  <sheetViews>
    <sheetView workbookViewId="0">
      <selection activeCell="S5" sqref="S5:S7"/>
    </sheetView>
  </sheetViews>
  <sheetFormatPr defaultColWidth="9" defaultRowHeight="20.1" customHeight="1"/>
  <cols>
    <col min="1" max="1" width="9.25" customWidth="1"/>
    <col min="2" max="2" width="10.1296296296296" customWidth="1"/>
    <col min="3" max="3" width="6.5" customWidth="1"/>
    <col min="4" max="4" width="8.12962962962963" customWidth="1"/>
    <col min="5" max="5" width="6.87962962962963" customWidth="1"/>
    <col min="6" max="6" width="7.37962962962963" customWidth="1"/>
    <col min="7" max="7" width="8.25" customWidth="1"/>
    <col min="8" max="8" width="7.5" customWidth="1"/>
    <col min="9" max="9" width="7.75" customWidth="1"/>
    <col min="10" max="10" width="8.75" customWidth="1"/>
    <col min="11" max="11" width="7.5" customWidth="1"/>
    <col min="12" max="12" width="8.5" customWidth="1"/>
    <col min="13" max="13" width="7.62962962962963" customWidth="1"/>
    <col min="14" max="15" width="6.37962962962963" customWidth="1"/>
    <col min="16" max="16" width="9.25" customWidth="1"/>
    <col min="17" max="17" width="8" customWidth="1"/>
    <col min="18" max="18" width="10" customWidth="1"/>
    <col min="19" max="20" width="10.8796296296296" customWidth="1"/>
  </cols>
  <sheetData>
    <row r="1" customHeight="1" spans="1:22">
      <c r="A1" s="235" t="s">
        <v>117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" t="s">
        <v>19</v>
      </c>
      <c r="T1" s="2"/>
      <c r="U1" s="235"/>
      <c r="V1" s="235"/>
    </row>
    <row r="2" s="49" customFormat="1" customHeight="1" spans="1:22">
      <c r="A2" s="237" t="s">
        <v>20</v>
      </c>
      <c r="B2" s="237"/>
      <c r="C2" s="237"/>
      <c r="D2" s="237"/>
      <c r="E2" s="237"/>
      <c r="F2" s="237"/>
      <c r="G2" s="238"/>
      <c r="H2" s="238"/>
      <c r="I2" s="238"/>
      <c r="J2" s="238"/>
      <c r="K2" s="238" t="str">
        <f>目录!C3</f>
        <v>填报日期：2026-5-8</v>
      </c>
      <c r="L2" s="238"/>
      <c r="M2" s="238"/>
      <c r="N2" s="238"/>
      <c r="O2" s="238"/>
      <c r="P2" s="238"/>
      <c r="Q2" s="238"/>
      <c r="R2" s="238"/>
      <c r="S2" s="309" t="s">
        <v>22</v>
      </c>
      <c r="T2" s="309"/>
    </row>
    <row r="3" customHeight="1" spans="1:22">
      <c r="A3" s="391" t="s">
        <v>106</v>
      </c>
      <c r="B3" s="371" t="s">
        <v>107</v>
      </c>
      <c r="C3" s="371" t="s">
        <v>108</v>
      </c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3"/>
      <c r="P3" s="394" t="s">
        <v>110</v>
      </c>
      <c r="Q3" s="371" t="s">
        <v>111</v>
      </c>
      <c r="R3" s="371" t="s">
        <v>112</v>
      </c>
      <c r="S3" s="391" t="s">
        <v>113</v>
      </c>
      <c r="T3" s="395" t="s">
        <v>114</v>
      </c>
    </row>
    <row r="4" customHeight="1" spans="1:22">
      <c r="A4" s="396"/>
      <c r="B4" s="371"/>
      <c r="C4" s="371"/>
      <c r="D4" s="371" t="s">
        <v>25</v>
      </c>
      <c r="E4" s="371" t="s">
        <v>26</v>
      </c>
      <c r="F4" s="371" t="s">
        <v>27</v>
      </c>
      <c r="G4" s="371" t="s">
        <v>28</v>
      </c>
      <c r="H4" s="371" t="s">
        <v>29</v>
      </c>
      <c r="I4" s="371" t="s">
        <v>30</v>
      </c>
      <c r="J4" s="371" t="s">
        <v>31</v>
      </c>
      <c r="K4" s="371" t="s">
        <v>32</v>
      </c>
      <c r="L4" s="371" t="s">
        <v>33</v>
      </c>
      <c r="M4" s="371" t="s">
        <v>34</v>
      </c>
      <c r="N4" s="371" t="s">
        <v>35</v>
      </c>
      <c r="O4" s="371" t="s">
        <v>36</v>
      </c>
      <c r="P4" s="396"/>
      <c r="Q4" s="371"/>
      <c r="R4" s="371"/>
      <c r="S4" s="396"/>
      <c r="T4" s="395"/>
    </row>
    <row r="5" customHeight="1" spans="1:22">
      <c r="A5" s="371" t="s">
        <v>25</v>
      </c>
      <c r="B5" s="397">
        <v>19.36</v>
      </c>
      <c r="C5" s="398"/>
      <c r="D5" s="399">
        <v>14.42</v>
      </c>
      <c r="E5" s="399">
        <v>1</v>
      </c>
      <c r="F5" s="399">
        <v>2.83</v>
      </c>
      <c r="G5" s="400"/>
      <c r="H5" s="400"/>
      <c r="I5" s="400"/>
      <c r="J5" s="400"/>
      <c r="K5" s="400"/>
      <c r="L5" s="401"/>
      <c r="M5" s="402"/>
      <c r="N5" s="402"/>
      <c r="O5" s="402"/>
      <c r="P5" s="403">
        <f>D5+E5+F5</f>
        <v>18.25</v>
      </c>
      <c r="Q5" s="404">
        <f>IFERROR(P5/B5,0)</f>
        <v>0.942665289256198</v>
      </c>
      <c r="R5" s="405">
        <f>B5-C5-SUM(D5:F5)</f>
        <v>1.11</v>
      </c>
      <c r="S5" s="406">
        <f>ROUND(R5*0.8,2)</f>
        <v>0.89</v>
      </c>
      <c r="T5" s="407">
        <f>IFERROR((R5+P5)/B5,0)</f>
        <v>1</v>
      </c>
    </row>
    <row r="6" customHeight="1" spans="1:22">
      <c r="A6" s="371" t="s">
        <v>26</v>
      </c>
      <c r="B6" s="397">
        <v>31.37</v>
      </c>
      <c r="C6" s="397"/>
      <c r="D6" s="400"/>
      <c r="E6" s="399">
        <v>20.72</v>
      </c>
      <c r="F6" s="399">
        <v>4.91</v>
      </c>
      <c r="G6" s="408"/>
      <c r="H6" s="400"/>
      <c r="I6" s="400"/>
      <c r="J6" s="400"/>
      <c r="K6" s="400"/>
      <c r="L6" s="401"/>
      <c r="M6" s="402"/>
      <c r="N6" s="402"/>
      <c r="O6" s="402"/>
      <c r="P6" s="403">
        <f>E6+F6</f>
        <v>25.63</v>
      </c>
      <c r="Q6" s="404">
        <f>IFERROR(P6/B6,0)</f>
        <v>0.817022633088938</v>
      </c>
      <c r="R6" s="405">
        <f>B6-C6-SUM(D6:F6)</f>
        <v>5.74</v>
      </c>
      <c r="S6" s="406">
        <f>ROUND(R6*0.8,2)</f>
        <v>4.59</v>
      </c>
      <c r="T6" s="407">
        <f>IFERROR((S6+P6)/B6,0)</f>
        <v>0.963340771437679</v>
      </c>
    </row>
    <row r="7" customHeight="1" spans="1:22">
      <c r="A7" s="371" t="s">
        <v>27</v>
      </c>
      <c r="B7" s="409">
        <v>561.8</v>
      </c>
      <c r="C7" s="397"/>
      <c r="D7" s="400"/>
      <c r="E7" s="400"/>
      <c r="F7" s="399">
        <v>296.66</v>
      </c>
      <c r="G7" s="408"/>
      <c r="H7" s="408"/>
      <c r="I7" s="400"/>
      <c r="J7" s="400"/>
      <c r="K7" s="400"/>
      <c r="L7" s="401"/>
      <c r="M7" s="402"/>
      <c r="N7" s="402"/>
      <c r="O7" s="402"/>
      <c r="P7" s="403">
        <f>F7</f>
        <v>296.66</v>
      </c>
      <c r="Q7" s="404">
        <f>IFERROR(P7/B7,0)</f>
        <v>0.528052687789249</v>
      </c>
      <c r="R7" s="405">
        <f>B7-C7-SUM(D7:F7)</f>
        <v>265.14</v>
      </c>
      <c r="S7" s="406">
        <f>ROUND(R7*0.8,2)</f>
        <v>212.11</v>
      </c>
      <c r="T7" s="407">
        <f>IFERROR((S7+P7)/B7,0)</f>
        <v>0.90560697757209</v>
      </c>
    </row>
    <row r="8" customHeight="1" spans="1:22">
      <c r="A8" s="371" t="s">
        <v>28</v>
      </c>
      <c r="B8" s="397"/>
      <c r="C8" s="397"/>
      <c r="D8" s="400"/>
      <c r="E8" s="400"/>
      <c r="F8" s="400"/>
      <c r="G8" s="408"/>
      <c r="H8" s="408"/>
      <c r="I8" s="408"/>
      <c r="J8" s="400"/>
      <c r="K8" s="400"/>
      <c r="L8" s="401"/>
      <c r="M8" s="402"/>
      <c r="N8" s="402"/>
      <c r="O8" s="402"/>
      <c r="P8" s="403"/>
      <c r="Q8" s="410"/>
      <c r="R8" s="411"/>
      <c r="S8" s="412"/>
      <c r="T8" s="410"/>
    </row>
    <row r="9" customHeight="1" spans="1:22">
      <c r="A9" s="371" t="s">
        <v>29</v>
      </c>
      <c r="B9" s="397"/>
      <c r="C9" s="397"/>
      <c r="D9" s="400"/>
      <c r="E9" s="400"/>
      <c r="F9" s="400"/>
      <c r="G9" s="400"/>
      <c r="H9" s="408"/>
      <c r="I9" s="413"/>
      <c r="J9" s="413"/>
      <c r="K9" s="400"/>
      <c r="L9" s="400"/>
      <c r="M9" s="402"/>
      <c r="N9" s="402"/>
      <c r="O9" s="402"/>
      <c r="P9" s="414"/>
      <c r="Q9" s="410"/>
      <c r="R9" s="411"/>
      <c r="S9" s="415"/>
      <c r="T9" s="410"/>
    </row>
    <row r="10" customHeight="1" spans="1:22">
      <c r="A10" s="371" t="s">
        <v>30</v>
      </c>
      <c r="B10" s="397"/>
      <c r="C10" s="397"/>
      <c r="D10" s="401"/>
      <c r="E10" s="401"/>
      <c r="F10" s="401"/>
      <c r="G10" s="401"/>
      <c r="H10" s="401"/>
      <c r="I10" s="413"/>
      <c r="J10" s="413"/>
      <c r="K10" s="397"/>
      <c r="L10" s="400"/>
      <c r="M10" s="400"/>
      <c r="N10" s="402"/>
      <c r="O10" s="402"/>
      <c r="P10" s="414"/>
      <c r="Q10" s="410"/>
      <c r="R10" s="411"/>
      <c r="S10" s="415"/>
      <c r="T10" s="410"/>
    </row>
    <row r="11" customHeight="1" spans="1:22">
      <c r="A11" s="371" t="s">
        <v>31</v>
      </c>
      <c r="B11" s="416"/>
      <c r="C11" s="416"/>
      <c r="D11" s="402"/>
      <c r="E11" s="402"/>
      <c r="F11" s="402"/>
      <c r="G11" s="402"/>
      <c r="H11" s="402"/>
      <c r="I11" s="402"/>
      <c r="J11" s="413"/>
      <c r="K11" s="413"/>
      <c r="L11" s="416"/>
      <c r="M11" s="400"/>
      <c r="N11" s="400"/>
      <c r="O11" s="402"/>
      <c r="P11" s="414"/>
      <c r="Q11" s="410"/>
      <c r="R11" s="411"/>
      <c r="S11" s="415"/>
      <c r="T11" s="410"/>
    </row>
    <row r="12" customHeight="1" spans="1:22">
      <c r="A12" s="371" t="s">
        <v>32</v>
      </c>
      <c r="B12" s="416"/>
      <c r="C12" s="416"/>
      <c r="D12" s="402"/>
      <c r="E12" s="402"/>
      <c r="F12" s="402"/>
      <c r="G12" s="402"/>
      <c r="H12" s="402"/>
      <c r="I12" s="402"/>
      <c r="J12" s="402"/>
      <c r="K12" s="413"/>
      <c r="L12" s="413"/>
      <c r="M12" s="416"/>
      <c r="N12" s="400"/>
      <c r="O12" s="400"/>
      <c r="P12" s="414"/>
      <c r="Q12" s="410"/>
      <c r="R12" s="411"/>
      <c r="S12" s="411"/>
      <c r="T12" s="410"/>
    </row>
    <row r="13" customHeight="1" spans="1:22">
      <c r="A13" s="371" t="s">
        <v>33</v>
      </c>
      <c r="B13" s="416"/>
      <c r="C13" s="416"/>
      <c r="D13" s="402"/>
      <c r="E13" s="402"/>
      <c r="F13" s="402"/>
      <c r="G13" s="402"/>
      <c r="H13" s="402"/>
      <c r="I13" s="402"/>
      <c r="J13" s="402"/>
      <c r="K13" s="402"/>
      <c r="L13" s="413"/>
      <c r="M13" s="413"/>
      <c r="N13" s="416"/>
      <c r="O13" s="400"/>
      <c r="P13" s="414"/>
      <c r="Q13" s="410"/>
      <c r="R13" s="398"/>
      <c r="S13" s="398"/>
      <c r="T13" s="410"/>
    </row>
    <row r="14" customHeight="1" spans="1:22">
      <c r="A14" s="371" t="s">
        <v>34</v>
      </c>
      <c r="B14" s="416"/>
      <c r="C14" s="416"/>
      <c r="D14" s="402"/>
      <c r="E14" s="402"/>
      <c r="F14" s="402"/>
      <c r="G14" s="402"/>
      <c r="H14" s="402"/>
      <c r="I14" s="402"/>
      <c r="J14" s="402"/>
      <c r="K14" s="402"/>
      <c r="L14" s="402"/>
      <c r="M14" s="413"/>
      <c r="N14" s="413"/>
      <c r="O14" s="416"/>
      <c r="P14" s="414"/>
      <c r="Q14" s="410"/>
      <c r="R14" s="398"/>
      <c r="S14" s="398"/>
      <c r="T14" s="410"/>
    </row>
    <row r="15" customHeight="1" spans="1:22">
      <c r="A15" s="371" t="s">
        <v>35</v>
      </c>
      <c r="B15" s="417"/>
      <c r="C15" s="417"/>
      <c r="D15" s="402"/>
      <c r="E15" s="402"/>
      <c r="F15" s="402"/>
      <c r="G15" s="402"/>
      <c r="H15" s="402"/>
      <c r="I15" s="402"/>
      <c r="J15" s="402"/>
      <c r="K15" s="402"/>
      <c r="L15" s="402"/>
      <c r="M15" s="402"/>
      <c r="N15" s="418"/>
      <c r="O15" s="417"/>
      <c r="P15" s="417"/>
      <c r="Q15" s="419"/>
      <c r="R15" s="417"/>
      <c r="S15" s="420"/>
      <c r="T15" s="421"/>
    </row>
    <row r="16" customHeight="1" spans="1:22">
      <c r="A16" s="371" t="s">
        <v>36</v>
      </c>
      <c r="B16" s="417"/>
      <c r="C16" s="417"/>
      <c r="D16" s="402"/>
      <c r="E16" s="402"/>
      <c r="F16" s="402"/>
      <c r="G16" s="402"/>
      <c r="H16" s="402"/>
      <c r="I16" s="402"/>
      <c r="J16" s="402"/>
      <c r="K16" s="402"/>
      <c r="L16" s="402"/>
      <c r="M16" s="402"/>
      <c r="N16" s="402"/>
      <c r="O16" s="418"/>
      <c r="P16" s="417"/>
      <c r="Q16" s="419"/>
      <c r="R16" s="422"/>
      <c r="S16" s="423"/>
      <c r="T16" s="193"/>
    </row>
    <row r="17" customHeight="1" spans="1:20">
      <c r="A17" s="371" t="s">
        <v>115</v>
      </c>
      <c r="B17" s="417">
        <f>SUM(B5:B16)</f>
        <v>612.53</v>
      </c>
      <c r="C17" s="417">
        <f t="shared" ref="C17:S17" si="0">SUM(C5:C16)</f>
        <v>0</v>
      </c>
      <c r="D17" s="417">
        <f t="shared" si="0"/>
        <v>14.42</v>
      </c>
      <c r="E17" s="417">
        <f t="shared" si="0"/>
        <v>21.72</v>
      </c>
      <c r="F17" s="417">
        <f t="shared" si="0"/>
        <v>304.4</v>
      </c>
      <c r="G17" s="417">
        <f t="shared" ref="G17:O17" si="1">SUM(G5:G16)</f>
        <v>0</v>
      </c>
      <c r="H17" s="417">
        <f t="shared" si="1"/>
        <v>0</v>
      </c>
      <c r="I17" s="417">
        <f t="shared" si="1"/>
        <v>0</v>
      </c>
      <c r="J17" s="417">
        <f t="shared" si="1"/>
        <v>0</v>
      </c>
      <c r="K17" s="417">
        <f t="shared" si="1"/>
        <v>0</v>
      </c>
      <c r="L17" s="417">
        <f t="shared" si="1"/>
        <v>0</v>
      </c>
      <c r="M17" s="417">
        <f t="shared" si="1"/>
        <v>0</v>
      </c>
      <c r="N17" s="417">
        <f t="shared" si="1"/>
        <v>0</v>
      </c>
      <c r="O17" s="417">
        <f t="shared" si="1"/>
        <v>0</v>
      </c>
      <c r="P17" s="417">
        <f t="shared" si="0"/>
        <v>340.54</v>
      </c>
      <c r="Q17" s="417">
        <f t="shared" si="0"/>
        <v>2.28774061013439</v>
      </c>
      <c r="R17" s="422">
        <f t="shared" si="0"/>
        <v>271.99</v>
      </c>
      <c r="S17" s="423">
        <f t="shared" si="0"/>
        <v>217.59</v>
      </c>
      <c r="T17" s="193"/>
    </row>
  </sheetData>
  <mergeCells count="13">
    <mergeCell ref="A1:R1"/>
    <mergeCell ref="S1:T1"/>
    <mergeCell ref="A2:F2"/>
    <mergeCell ref="S2:T2"/>
    <mergeCell ref="D3:O3"/>
    <mergeCell ref="A3:A4"/>
    <mergeCell ref="B3:B4"/>
    <mergeCell ref="C3:C4"/>
    <mergeCell ref="P3:P4"/>
    <mergeCell ref="Q3:Q4"/>
    <mergeCell ref="R3:R4"/>
    <mergeCell ref="S3:S4"/>
    <mergeCell ref="T3:T4"/>
  </mergeCells>
  <hyperlinks>
    <hyperlink ref="S1:T1" location="目录!A1" display="返回目录"/>
  </hyperlink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5"/>
  <sheetViews>
    <sheetView workbookViewId="0">
      <selection activeCell="C4" sqref="C2 C4"/>
    </sheetView>
  </sheetViews>
  <sheetFormatPr defaultColWidth="8.88888888888889" defaultRowHeight="13.8" outlineLevelRow="4" outlineLevelCol="4"/>
  <cols>
    <col min="2" max="2" width="13.5555555555556" customWidth="1"/>
    <col min="4" max="4" width="9.66666666666667"/>
    <col min="5" max="5" width="10.1111111111111"/>
  </cols>
  <sheetData>
    <row r="1" spans="2:5">
      <c r="C1">
        <v>1</v>
      </c>
      <c r="D1">
        <v>2</v>
      </c>
      <c r="E1">
        <v>3</v>
      </c>
    </row>
    <row r="2" spans="2:5">
      <c r="B2" t="s">
        <v>118</v>
      </c>
      <c r="C2">
        <v>17295.6</v>
      </c>
      <c r="D2">
        <v>17295.6</v>
      </c>
      <c r="E2" s="390">
        <v>1171.28</v>
      </c>
    </row>
    <row r="3" spans="2:5">
      <c r="B3" t="s">
        <v>119</v>
      </c>
      <c r="C3">
        <v>741.58</v>
      </c>
      <c r="D3">
        <v>854.74</v>
      </c>
      <c r="E3" s="390">
        <v>17295.6</v>
      </c>
    </row>
    <row r="4" spans="2:5">
      <c r="B4" t="s">
        <v>120</v>
      </c>
      <c r="C4">
        <v>1986.49</v>
      </c>
      <c r="D4">
        <v>7637.79</v>
      </c>
      <c r="E4" s="390">
        <v>2214</v>
      </c>
    </row>
    <row r="5" spans="2:5">
      <c r="C5">
        <f>SUM(C2:C4)</f>
        <v>20023.67</v>
      </c>
      <c r="D5">
        <f>SUM(D2:D4)</f>
        <v>25788.13</v>
      </c>
      <c r="E5">
        <f>SUM(E2:E4)</f>
        <v>20680.88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5"/>
  <sheetViews>
    <sheetView zoomScale="106" zoomScaleNormal="106" workbookViewId="0">
      <selection activeCell="E7" sqref="E7"/>
    </sheetView>
  </sheetViews>
  <sheetFormatPr defaultColWidth="9" defaultRowHeight="20.1" customHeight="1"/>
  <cols>
    <col min="1" max="1" width="10.75" style="49" customWidth="1"/>
    <col min="2" max="2" width="10.25" style="49" customWidth="1"/>
    <col min="3" max="3" width="8.37962962962963" style="272" customWidth="1"/>
    <col min="4" max="4" width="7.75" style="49" customWidth="1"/>
    <col min="5" max="5" width="8.37962962962963" style="49" customWidth="1"/>
    <col min="6" max="6" width="8" style="49" customWidth="1"/>
    <col min="7" max="7" width="7.75" style="49" customWidth="1"/>
    <col min="8" max="8" width="8.25" style="49" customWidth="1"/>
    <col min="9" max="9" width="7.75" style="49" customWidth="1"/>
    <col min="10" max="11" width="8.25" style="49" customWidth="1"/>
    <col min="12" max="12" width="9.37962962962963" style="49" customWidth="1"/>
    <col min="13" max="14" width="8.12962962962963" style="49" customWidth="1"/>
    <col min="15" max="15" width="11.6296296296296" style="49" customWidth="1"/>
    <col min="16" max="16" width="11.7777777777778" style="49"/>
    <col min="17" max="17" width="12.6296296296296" style="49"/>
    <col min="18" max="16384" width="9" style="49"/>
  </cols>
  <sheetData>
    <row r="1" customHeight="1" spans="1:15">
      <c r="A1" s="235" t="s">
        <v>121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" t="s">
        <v>19</v>
      </c>
      <c r="O1" s="2"/>
    </row>
    <row r="2" customHeight="1" spans="1:15">
      <c r="A2" s="364" t="s">
        <v>122</v>
      </c>
      <c r="B2" s="364"/>
      <c r="C2" s="364"/>
      <c r="D2" s="364"/>
      <c r="E2" s="364"/>
      <c r="F2" s="364"/>
      <c r="G2" s="365"/>
      <c r="H2" s="366" t="str">
        <f>目录!C3</f>
        <v>填报日期：2026-5-8</v>
      </c>
      <c r="I2" s="365"/>
      <c r="J2" s="365"/>
      <c r="K2" s="365"/>
      <c r="L2" s="367" t="s">
        <v>123</v>
      </c>
      <c r="M2" s="367"/>
      <c r="N2" s="367"/>
      <c r="O2" s="367"/>
    </row>
    <row r="3" customHeight="1" spans="1:15">
      <c r="A3" s="368" t="s">
        <v>23</v>
      </c>
      <c r="B3" s="369"/>
      <c r="C3" s="370" t="s">
        <v>25</v>
      </c>
      <c r="D3" s="370" t="s">
        <v>26</v>
      </c>
      <c r="E3" s="370" t="s">
        <v>27</v>
      </c>
      <c r="F3" s="370" t="s">
        <v>28</v>
      </c>
      <c r="G3" s="370" t="s">
        <v>29</v>
      </c>
      <c r="H3" s="370" t="s">
        <v>30</v>
      </c>
      <c r="I3" s="370" t="s">
        <v>31</v>
      </c>
      <c r="J3" s="370" t="s">
        <v>32</v>
      </c>
      <c r="K3" s="370" t="s">
        <v>33</v>
      </c>
      <c r="L3" s="370" t="s">
        <v>34</v>
      </c>
      <c r="M3" s="368" t="s">
        <v>35</v>
      </c>
      <c r="N3" s="371" t="s">
        <v>36</v>
      </c>
      <c r="O3" s="371" t="s">
        <v>115</v>
      </c>
    </row>
    <row r="4" customHeight="1" spans="1:15">
      <c r="A4" s="372" t="s">
        <v>124</v>
      </c>
      <c r="B4" s="370" t="s">
        <v>125</v>
      </c>
      <c r="C4" s="373"/>
      <c r="D4" s="373"/>
      <c r="E4" s="373">
        <v>1</v>
      </c>
      <c r="F4" s="373">
        <v>1</v>
      </c>
      <c r="G4" s="373"/>
      <c r="H4" s="373"/>
      <c r="I4" s="373"/>
      <c r="J4" s="373"/>
      <c r="K4" s="373"/>
      <c r="L4" s="373"/>
      <c r="M4" s="373"/>
      <c r="N4" s="373"/>
      <c r="O4" s="373">
        <f>SUM(C4:N4)</f>
        <v>2</v>
      </c>
    </row>
    <row r="5" customHeight="1" spans="1:15">
      <c r="A5" s="372"/>
      <c r="B5" s="370" t="s">
        <v>126</v>
      </c>
      <c r="C5" s="373"/>
      <c r="D5" s="373"/>
      <c r="E5" s="373">
        <v>2</v>
      </c>
      <c r="F5" s="373"/>
      <c r="G5" s="373"/>
      <c r="H5" s="373"/>
      <c r="I5" s="373"/>
      <c r="J5" s="373"/>
      <c r="K5" s="373"/>
      <c r="L5" s="373"/>
      <c r="M5" s="373"/>
      <c r="N5" s="373"/>
      <c r="O5" s="373">
        <f>SUM(C5:N5)</f>
        <v>2</v>
      </c>
    </row>
    <row r="6" customHeight="1" spans="1:15">
      <c r="A6" s="372"/>
      <c r="B6" s="370" t="s">
        <v>127</v>
      </c>
      <c r="C6" s="373">
        <v>97</v>
      </c>
      <c r="D6" s="374">
        <f>C6+D4-D5</f>
        <v>97</v>
      </c>
      <c r="E6" s="374">
        <f>D6+E4-E5</f>
        <v>96</v>
      </c>
      <c r="F6" s="374">
        <f>E6+F4-F5</f>
        <v>97</v>
      </c>
      <c r="G6" s="374">
        <f>F6+G4-G5</f>
        <v>97</v>
      </c>
      <c r="H6" s="374">
        <f>G6+H4-H5</f>
        <v>97</v>
      </c>
      <c r="I6" s="374">
        <f t="shared" ref="I6:N6" si="0">H6+I4-I5</f>
        <v>97</v>
      </c>
      <c r="J6" s="374">
        <f t="shared" si="0"/>
        <v>97</v>
      </c>
      <c r="K6" s="374">
        <f t="shared" si="0"/>
        <v>97</v>
      </c>
      <c r="L6" s="374">
        <f t="shared" si="0"/>
        <v>97</v>
      </c>
      <c r="M6" s="374">
        <f t="shared" si="0"/>
        <v>97</v>
      </c>
      <c r="N6" s="374">
        <f t="shared" si="0"/>
        <v>97</v>
      </c>
      <c r="O6" s="373"/>
    </row>
    <row r="7" customHeight="1" spans="1:15">
      <c r="A7" s="375" t="s">
        <v>128</v>
      </c>
      <c r="B7" s="375"/>
      <c r="C7" s="373">
        <v>2</v>
      </c>
      <c r="D7" s="376"/>
      <c r="E7" s="373">
        <v>2</v>
      </c>
      <c r="F7" s="373"/>
      <c r="G7" s="373"/>
      <c r="H7" s="373"/>
      <c r="I7" s="373"/>
      <c r="J7" s="373"/>
      <c r="K7" s="373"/>
      <c r="L7" s="373"/>
      <c r="M7" s="373"/>
      <c r="N7" s="373"/>
      <c r="O7" s="373">
        <f t="shared" ref="O7:O12" si="1">SUM(C7:N7)</f>
        <v>4</v>
      </c>
    </row>
    <row r="8" customHeight="1" spans="1:15">
      <c r="A8" s="372" t="s">
        <v>129</v>
      </c>
      <c r="B8" s="370" t="s">
        <v>130</v>
      </c>
      <c r="C8" s="377">
        <v>2</v>
      </c>
      <c r="D8" s="376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>
        <f t="shared" si="1"/>
        <v>2</v>
      </c>
    </row>
    <row r="9" customHeight="1" spans="1:15">
      <c r="A9" s="372"/>
      <c r="B9" s="370" t="s">
        <v>131</v>
      </c>
      <c r="C9" s="377"/>
      <c r="D9" s="376"/>
      <c r="E9" s="373"/>
      <c r="F9" s="373"/>
      <c r="G9" s="373"/>
      <c r="H9" s="373"/>
      <c r="I9" s="373"/>
      <c r="J9" s="373"/>
      <c r="K9" s="373"/>
      <c r="L9" s="373"/>
      <c r="M9" s="373"/>
      <c r="N9" s="373"/>
      <c r="O9" s="373">
        <f t="shared" si="1"/>
        <v>0</v>
      </c>
    </row>
    <row r="10" customHeight="1" spans="1:15">
      <c r="A10" s="372"/>
      <c r="B10" s="370" t="s">
        <v>132</v>
      </c>
      <c r="C10" s="377"/>
      <c r="D10" s="376"/>
      <c r="E10" s="373"/>
      <c r="F10" s="373"/>
      <c r="G10" s="373"/>
      <c r="H10" s="373"/>
      <c r="I10" s="373"/>
      <c r="J10" s="373"/>
      <c r="K10" s="373"/>
      <c r="L10" s="373"/>
      <c r="M10" s="373"/>
      <c r="N10" s="373"/>
      <c r="O10" s="373">
        <f t="shared" si="1"/>
        <v>0</v>
      </c>
    </row>
    <row r="11" customHeight="1" spans="1:15">
      <c r="A11" s="378" t="s">
        <v>73</v>
      </c>
      <c r="B11" s="379"/>
      <c r="C11" s="380">
        <v>7.1105</v>
      </c>
      <c r="D11" s="381"/>
      <c r="E11" s="381">
        <v>0.2142</v>
      </c>
      <c r="F11" s="381"/>
      <c r="G11" s="381"/>
      <c r="H11" s="381"/>
      <c r="I11" s="381"/>
      <c r="J11" s="381"/>
      <c r="K11" s="373"/>
      <c r="L11" s="373"/>
      <c r="M11" s="373"/>
      <c r="N11" s="373"/>
      <c r="O11" s="381">
        <f t="shared" si="1"/>
        <v>7.3247</v>
      </c>
    </row>
    <row r="12" customHeight="1" spans="1:15">
      <c r="A12" s="378" t="s">
        <v>133</v>
      </c>
      <c r="B12" s="379"/>
      <c r="C12" s="382">
        <v>7</v>
      </c>
      <c r="D12" s="382"/>
      <c r="E12" s="382"/>
      <c r="F12" s="382"/>
      <c r="G12" s="382"/>
      <c r="H12" s="382"/>
      <c r="I12" s="382"/>
      <c r="J12" s="381"/>
      <c r="K12" s="382"/>
      <c r="L12" s="382"/>
      <c r="M12" s="382"/>
      <c r="N12" s="382"/>
      <c r="O12" s="382">
        <f t="shared" si="1"/>
        <v>7</v>
      </c>
    </row>
    <row r="13" customHeight="1" spans="1:15">
      <c r="A13" s="383" t="s">
        <v>134</v>
      </c>
      <c r="B13" s="383"/>
      <c r="C13" s="382">
        <f>IFERROR(C11/C7,0)</f>
        <v>3.55525</v>
      </c>
      <c r="D13" s="382">
        <f t="array" ref="D13">IFERROR(D12/D7,0)</f>
        <v>0</v>
      </c>
      <c r="E13" s="382">
        <f t="array" ref="E13">IFERROR(E12/E7,0)</f>
        <v>0</v>
      </c>
      <c r="F13" s="382">
        <f t="array" ref="F13">IFERROR(F12/F7,0)</f>
        <v>0</v>
      </c>
      <c r="G13" s="382">
        <f t="array" ref="G13">IFERROR(G12/G7,0)</f>
        <v>0</v>
      </c>
      <c r="H13" s="382">
        <f t="array" ref="H13">IFERROR(H12/H7,0)</f>
        <v>0</v>
      </c>
      <c r="I13" s="382">
        <f t="array" ref="I13">IFERROR(I12/I7,0)</f>
        <v>0</v>
      </c>
      <c r="J13" s="382">
        <f t="array" ref="J13">IFERROR(J12/J7,0)</f>
        <v>0</v>
      </c>
      <c r="K13" s="382">
        <f t="array" ref="K13">IFERROR(K12/K7,0)</f>
        <v>0</v>
      </c>
      <c r="L13" s="382">
        <f t="array" ref="L13">IFERROR(L12/L7,0)</f>
        <v>0</v>
      </c>
      <c r="M13" s="382">
        <f t="array" ref="M13">IFERROR(M12/M7,0)</f>
        <v>0</v>
      </c>
      <c r="N13" s="382">
        <f t="array" ref="N13">IFERROR(N12/N7,0)</f>
        <v>0</v>
      </c>
      <c r="O13" s="382">
        <f>IFERROR(O11/O7,0)</f>
        <v>1.831175</v>
      </c>
    </row>
    <row r="14" customHeight="1" spans="1:15">
      <c r="A14" s="384" t="s">
        <v>135</v>
      </c>
      <c r="B14" s="385"/>
      <c r="C14" s="386">
        <v>6</v>
      </c>
      <c r="D14" s="387"/>
      <c r="E14" s="387">
        <v>2</v>
      </c>
      <c r="F14" s="387"/>
      <c r="G14" s="387"/>
      <c r="H14" s="387"/>
      <c r="I14" s="388"/>
      <c r="J14" s="389"/>
      <c r="K14" s="387"/>
      <c r="L14" s="387"/>
      <c r="M14" s="387"/>
      <c r="N14" s="387"/>
      <c r="O14" s="387">
        <f>SUM(C14:N14)</f>
        <v>8</v>
      </c>
    </row>
    <row r="15" customHeight="1" spans="1:15">
      <c r="A15" s="384" t="s">
        <v>136</v>
      </c>
      <c r="B15" s="385"/>
      <c r="C15" s="382">
        <f t="array" ref="C15">IFERROR(C12/C14,0)</f>
        <v>1.16666666666667</v>
      </c>
      <c r="D15" s="382">
        <f t="array" ref="D15">IFERROR(D12/D14,0)</f>
        <v>0</v>
      </c>
      <c r="E15" s="382">
        <f t="array" ref="E15">IFERROR(E12/E14,0)</f>
        <v>0</v>
      </c>
      <c r="F15" s="382">
        <f t="array" ref="F15">IFERROR(F12/F14,0)</f>
        <v>0</v>
      </c>
      <c r="G15" s="382">
        <f t="array" ref="G15">IFERROR(G12/G14,0)</f>
        <v>0</v>
      </c>
      <c r="H15" s="382">
        <f t="array" ref="H15">IFERROR(H12/H14,0)</f>
        <v>0</v>
      </c>
      <c r="I15" s="382">
        <f t="array" ref="I15">IFERROR(I12/I14,0)</f>
        <v>0</v>
      </c>
      <c r="J15" s="382">
        <f t="array" ref="J15">IFERROR(J12/J14,0)</f>
        <v>0</v>
      </c>
      <c r="K15" s="382">
        <f t="array" ref="K15">IFERROR(K12/K14,0)</f>
        <v>0</v>
      </c>
      <c r="L15" s="382">
        <f t="array" ref="L15">IFERROR(L12/L14,0)</f>
        <v>0</v>
      </c>
      <c r="M15" s="382">
        <f t="array" ref="M15">IFERROR(M12/M14,0)</f>
        <v>0</v>
      </c>
      <c r="N15" s="382">
        <f t="array" ref="N15">IFERROR(N12/N14,0)</f>
        <v>0</v>
      </c>
      <c r="O15" s="382">
        <f t="array" ref="O15">IFERROR(O12/O14,0)</f>
        <v>0.875</v>
      </c>
    </row>
  </sheetData>
  <mergeCells count="13">
    <mergeCell ref="A1:M1"/>
    <mergeCell ref="N1:O1"/>
    <mergeCell ref="A2:F2"/>
    <mergeCell ref="L2:O2"/>
    <mergeCell ref="A3:B3"/>
    <mergeCell ref="A7:B7"/>
    <mergeCell ref="A11:B11"/>
    <mergeCell ref="A12:B12"/>
    <mergeCell ref="A13:B13"/>
    <mergeCell ref="A14:B14"/>
    <mergeCell ref="A15:B15"/>
    <mergeCell ref="A4:A6"/>
    <mergeCell ref="A8:A10"/>
  </mergeCells>
  <hyperlinks>
    <hyperlink ref="N1:O1" location="目录!A1" display="返回目录"/>
  </hyperlinks>
  <pageMargins left="0.699305555555556" right="0.699305555555556" top="0.75" bottom="0.75" header="0.3" footer="0.3"/>
  <pageSetup paperSize="9" scale="65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F8" sqref="F8"/>
    </sheetView>
  </sheetViews>
  <sheetFormatPr defaultColWidth="9" defaultRowHeight="13.8"/>
  <cols>
    <col min="1" max="1" width="9" style="51"/>
    <col min="2" max="3" width="13.75" style="51" customWidth="1"/>
    <col min="4" max="4" width="12.6296296296296" style="51" customWidth="1"/>
    <col min="5" max="5" width="16.1296296296296" style="51" customWidth="1"/>
    <col min="6" max="15" width="10.6296296296296" style="51" customWidth="1"/>
    <col min="16" max="16384" width="9" style="51"/>
  </cols>
  <sheetData>
    <row r="1" s="51" customFormat="1" ht="20.4" spans="1:16">
      <c r="A1" s="307" t="s">
        <v>137</v>
      </c>
      <c r="B1" s="307"/>
      <c r="C1" s="307"/>
      <c r="D1" s="307"/>
      <c r="E1" s="2" t="s">
        <v>19</v>
      </c>
      <c r="F1" s="2"/>
      <c r="G1" s="354"/>
      <c r="H1" s="354"/>
      <c r="I1" s="354"/>
      <c r="J1" s="354"/>
      <c r="K1" s="354"/>
      <c r="L1" s="354"/>
      <c r="M1" s="354"/>
      <c r="N1" s="354"/>
      <c r="O1" s="354"/>
      <c r="P1" s="354"/>
    </row>
    <row r="2" s="51" customFormat="1" ht="37.9" customHeight="1" spans="1:16">
      <c r="A2" s="355" t="s">
        <v>138</v>
      </c>
      <c r="B2" s="355"/>
      <c r="C2" s="355"/>
      <c r="D2" s="355"/>
      <c r="E2" s="356" t="s">
        <v>139</v>
      </c>
      <c r="F2" s="356"/>
      <c r="G2" s="354"/>
      <c r="H2" s="354"/>
      <c r="I2" s="354"/>
      <c r="J2" s="354"/>
      <c r="K2" s="354"/>
      <c r="L2" s="354"/>
      <c r="M2" s="354"/>
      <c r="N2" s="354"/>
      <c r="O2" s="354"/>
      <c r="P2" s="354"/>
    </row>
    <row r="3" s="51" customFormat="1" ht="20.1" customHeight="1" spans="1:16">
      <c r="A3" s="357" t="s">
        <v>140</v>
      </c>
      <c r="B3" s="358" t="s">
        <v>141</v>
      </c>
      <c r="C3" s="358" t="s">
        <v>142</v>
      </c>
      <c r="D3" s="358" t="s">
        <v>143</v>
      </c>
      <c r="E3" s="358" t="s">
        <v>144</v>
      </c>
      <c r="F3" s="358" t="s">
        <v>115</v>
      </c>
    </row>
    <row r="4" s="51" customFormat="1" ht="20.1" customHeight="1" spans="1:16">
      <c r="A4" s="359" t="s">
        <v>145</v>
      </c>
      <c r="B4" s="360" t="s">
        <v>146</v>
      </c>
      <c r="C4" s="360">
        <v>1</v>
      </c>
      <c r="D4" s="360">
        <v>3</v>
      </c>
      <c r="E4" s="360">
        <v>4</v>
      </c>
      <c r="F4" s="361">
        <f>SUM(C4:E4)</f>
        <v>8</v>
      </c>
    </row>
    <row r="5" s="51" customFormat="1" ht="20.1" customHeight="1" spans="1:16">
      <c r="A5" s="360" t="s">
        <v>147</v>
      </c>
      <c r="B5" s="360" t="s">
        <v>148</v>
      </c>
      <c r="C5" s="360">
        <v>1</v>
      </c>
      <c r="D5" s="360">
        <v>6</v>
      </c>
      <c r="E5" s="360">
        <v>9</v>
      </c>
      <c r="F5" s="361">
        <f>SUM(C5:E5)</f>
        <v>16</v>
      </c>
    </row>
    <row r="6" s="51" customFormat="1" ht="20.1" customHeight="1" spans="1:16">
      <c r="A6" s="359" t="s">
        <v>145</v>
      </c>
      <c r="B6" s="360" t="s">
        <v>149</v>
      </c>
      <c r="C6" s="360">
        <v>1</v>
      </c>
      <c r="D6" s="360">
        <v>2</v>
      </c>
      <c r="E6" s="360">
        <v>3</v>
      </c>
      <c r="F6" s="361">
        <f>SUM(C6:E6)</f>
        <v>6</v>
      </c>
    </row>
    <row r="7" s="51" customFormat="1" ht="20.1" customHeight="1" spans="1:16">
      <c r="A7" s="359" t="s">
        <v>150</v>
      </c>
      <c r="B7" s="360" t="s">
        <v>151</v>
      </c>
      <c r="C7" s="360">
        <v>1</v>
      </c>
      <c r="D7" s="360">
        <v>12</v>
      </c>
      <c r="E7" s="360">
        <v>54</v>
      </c>
      <c r="F7" s="361">
        <f>SUM(C7:E7)</f>
        <v>67</v>
      </c>
    </row>
    <row r="8" s="51" customFormat="1" ht="20.1" customHeight="1" spans="1:16">
      <c r="A8" s="360"/>
      <c r="B8" s="362" t="s">
        <v>115</v>
      </c>
      <c r="C8" s="362">
        <f>SUM(C4:C7)</f>
        <v>4</v>
      </c>
      <c r="D8" s="362">
        <f>SUM(D4:D7)</f>
        <v>23</v>
      </c>
      <c r="E8" s="362">
        <f>SUM(E4:E7)</f>
        <v>70</v>
      </c>
      <c r="F8" s="361">
        <f>SUM(C8:E8)</f>
        <v>97</v>
      </c>
    </row>
    <row r="9" s="51" customFormat="1" ht="20.1" customHeight="1" spans="1:16">
      <c r="A9" s="363"/>
      <c r="B9" s="363"/>
      <c r="C9" s="363"/>
      <c r="D9" s="363"/>
      <c r="E9" s="363"/>
    </row>
    <row r="10" s="51" customFormat="1" ht="20.1" customHeight="1" spans="1:16">
      <c r="A10" s="363"/>
      <c r="B10" s="363"/>
      <c r="C10" s="363"/>
      <c r="D10" s="363"/>
      <c r="E10" s="363"/>
    </row>
    <row r="11" s="51" customFormat="1" ht="20.1" customHeight="1" spans="1:16">
      <c r="A11" s="363"/>
      <c r="B11" s="363"/>
      <c r="C11" s="363"/>
      <c r="D11" s="363"/>
      <c r="E11" s="363"/>
    </row>
  </sheetData>
  <mergeCells count="4">
    <mergeCell ref="A1:D1"/>
    <mergeCell ref="E1:F1"/>
    <mergeCell ref="A2:D2"/>
    <mergeCell ref="E2:F2"/>
  </mergeCells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"/>
  <sheetViews>
    <sheetView zoomScale="80" zoomScaleNormal="80" workbookViewId="0">
      <pane xSplit="8" topLeftCell="K1" activePane="topRight" state="frozen"/>
      <selection/>
      <selection pane="topRight" activeCell="E15" sqref="E15"/>
    </sheetView>
  </sheetViews>
  <sheetFormatPr defaultColWidth="9" defaultRowHeight="20.1" customHeight="1"/>
  <cols>
    <col min="1" max="1" width="14.8611111111111" style="49" customWidth="1"/>
    <col min="2" max="8" width="14" style="49" customWidth="1"/>
    <col min="9" max="12" width="16.6666666666667" style="49" customWidth="1"/>
    <col min="13" max="13" width="16.25" style="49" customWidth="1"/>
    <col min="14" max="14" width="19.8611111111111" style="49" customWidth="1"/>
    <col min="15" max="15" width="13" style="49" customWidth="1"/>
    <col min="16" max="16" width="16" style="49" customWidth="1"/>
    <col min="17" max="17" width="16" style="49" hidden="1" customWidth="1"/>
    <col min="18" max="18" width="10.1481481481481" style="49" customWidth="1"/>
    <col min="19" max="19" width="9.44444444444444" style="49"/>
    <col min="20" max="16384" width="9" style="49"/>
  </cols>
  <sheetData>
    <row r="1" customHeight="1" spans="1:19">
      <c r="A1" s="235" t="s">
        <v>152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332" t="s">
        <v>19</v>
      </c>
      <c r="Q1" s="332"/>
    </row>
    <row r="2" customHeight="1" spans="1:19">
      <c r="A2" s="237" t="s">
        <v>20</v>
      </c>
      <c r="B2" s="237"/>
      <c r="C2" s="237"/>
      <c r="D2" s="237"/>
      <c r="E2" s="237"/>
      <c r="F2" s="237"/>
      <c r="G2" s="238"/>
      <c r="H2" s="238"/>
      <c r="I2" s="333" t="str">
        <f>目录!C3</f>
        <v>填报日期：2026-5-8</v>
      </c>
      <c r="J2" s="333"/>
      <c r="K2" s="333"/>
      <c r="L2" s="276"/>
      <c r="M2" s="238"/>
      <c r="N2" s="238"/>
      <c r="O2" s="238"/>
      <c r="P2" s="309"/>
      <c r="Q2" s="334"/>
      <c r="S2" s="49" t="s">
        <v>22</v>
      </c>
    </row>
    <row r="3" customHeight="1" spans="1:19">
      <c r="A3" s="335" t="s">
        <v>153</v>
      </c>
      <c r="B3" s="336" t="s">
        <v>73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7" t="s">
        <v>154</v>
      </c>
      <c r="P3" s="337" t="s">
        <v>155</v>
      </c>
      <c r="Q3" s="338" t="s">
        <v>156</v>
      </c>
      <c r="R3" s="337" t="s">
        <v>157</v>
      </c>
      <c r="S3" s="337" t="s">
        <v>158</v>
      </c>
    </row>
    <row r="4" s="272" customFormat="1" customHeight="1" spans="1:19">
      <c r="A4" s="335"/>
      <c r="B4" s="336" t="s">
        <v>25</v>
      </c>
      <c r="C4" s="336" t="s">
        <v>26</v>
      </c>
      <c r="D4" s="336" t="s">
        <v>27</v>
      </c>
      <c r="E4" s="336" t="s">
        <v>28</v>
      </c>
      <c r="F4" s="336" t="s">
        <v>29</v>
      </c>
      <c r="G4" s="336" t="s">
        <v>30</v>
      </c>
      <c r="H4" s="336" t="s">
        <v>31</v>
      </c>
      <c r="I4" s="336" t="s">
        <v>32</v>
      </c>
      <c r="J4" s="336" t="s">
        <v>33</v>
      </c>
      <c r="K4" s="336" t="s">
        <v>34</v>
      </c>
      <c r="L4" s="336" t="s">
        <v>35</v>
      </c>
      <c r="M4" s="336" t="s">
        <v>36</v>
      </c>
      <c r="N4" s="336" t="s">
        <v>159</v>
      </c>
      <c r="O4" s="337"/>
      <c r="P4" s="337"/>
      <c r="Q4" s="339"/>
      <c r="R4" s="337"/>
      <c r="S4" s="337"/>
    </row>
    <row r="5" customHeight="1" spans="1:19">
      <c r="A5" s="340" t="s">
        <v>160</v>
      </c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2">
        <f t="shared" ref="N5:N12" si="0">SUBTOTAL(9,B5:M5)</f>
        <v>0</v>
      </c>
      <c r="O5" s="342"/>
      <c r="P5" s="342"/>
      <c r="Q5" s="343">
        <f>N5/$N$13</f>
        <v>0</v>
      </c>
      <c r="R5" s="344">
        <f t="array" ref="R5">IFERROR(O5/$O$13,0)</f>
        <v>0</v>
      </c>
      <c r="S5" s="344">
        <f t="array" ref="S5">IFERROR(P5/$O$13,0)</f>
        <v>0</v>
      </c>
    </row>
    <row r="6" customHeight="1" spans="1:19">
      <c r="A6" s="340" t="s">
        <v>161</v>
      </c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2">
        <f t="shared" si="0"/>
        <v>0</v>
      </c>
      <c r="O6" s="342"/>
      <c r="P6" s="342"/>
      <c r="Q6" s="343">
        <f>N6/$N$13</f>
        <v>0</v>
      </c>
      <c r="R6" s="344">
        <f t="array" ref="R6">IFERROR(O6/$O$13,0)</f>
        <v>0</v>
      </c>
      <c r="S6" s="344">
        <f t="array" ref="S6">IFERROR(P6/$O$13,0)</f>
        <v>0</v>
      </c>
    </row>
    <row r="7" customHeight="1" spans="1:19">
      <c r="A7" s="340" t="s">
        <v>162</v>
      </c>
      <c r="B7" s="341">
        <v>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>
        <f t="shared" si="0"/>
        <v>7</v>
      </c>
      <c r="O7" s="342">
        <v>5.52</v>
      </c>
      <c r="P7" s="342">
        <v>1.2</v>
      </c>
      <c r="Q7" s="343">
        <f>N7/$N$13</f>
        <v>0.95573578001693</v>
      </c>
      <c r="R7" s="344">
        <f>IFERROR(O7/$O$13,0)</f>
        <v>0.993002212667974</v>
      </c>
      <c r="S7" s="344">
        <f t="array" ref="S7">IFERROR(P7/$O$13,0)</f>
        <v>0.215870046232168</v>
      </c>
    </row>
    <row r="8" customHeight="1" spans="1:19">
      <c r="A8" s="340" t="s">
        <v>163</v>
      </c>
      <c r="B8" s="341"/>
      <c r="C8" s="341"/>
      <c r="D8" s="341"/>
      <c r="E8" s="341"/>
      <c r="F8" s="341"/>
      <c r="G8" s="341"/>
      <c r="H8" s="341"/>
      <c r="I8" s="341"/>
      <c r="J8" s="341"/>
      <c r="K8" s="341"/>
      <c r="L8" s="341"/>
      <c r="M8" s="341"/>
      <c r="N8" s="342">
        <f t="shared" si="0"/>
        <v>0</v>
      </c>
      <c r="O8" s="342"/>
      <c r="P8" s="342"/>
      <c r="Q8" s="343">
        <f>N8/$N$13</f>
        <v>0</v>
      </c>
      <c r="R8" s="344">
        <f t="array" ref="R8">IFERROR(O8/$O$13,0)</f>
        <v>0</v>
      </c>
      <c r="S8" s="344">
        <f t="array" ref="S8">IFERROR(P8/$O$13,0)</f>
        <v>0</v>
      </c>
    </row>
    <row r="9" customHeight="1" spans="1:19">
      <c r="A9" s="340" t="s">
        <v>164</v>
      </c>
      <c r="B9" s="341"/>
      <c r="C9" s="341"/>
      <c r="D9" s="341"/>
      <c r="E9" s="341"/>
      <c r="F9" s="341"/>
      <c r="G9" s="341"/>
      <c r="H9" s="341"/>
      <c r="I9" s="341"/>
      <c r="J9" s="341"/>
      <c r="K9" s="341"/>
      <c r="L9" s="341"/>
      <c r="M9" s="341"/>
      <c r="N9" s="342">
        <f t="shared" si="0"/>
        <v>0</v>
      </c>
      <c r="O9" s="342"/>
      <c r="P9" s="342"/>
      <c r="Q9" s="343">
        <f>N9/$N$13</f>
        <v>0</v>
      </c>
      <c r="R9" s="344">
        <f t="array" ref="R9">IFERROR(O9/$O$13,0)</f>
        <v>0</v>
      </c>
      <c r="S9" s="344">
        <f t="array" ref="S9">IFERROR(P9/$O$13,0)</f>
        <v>0</v>
      </c>
    </row>
    <row r="10" customHeight="1" spans="1:19">
      <c r="A10" s="345" t="s">
        <v>165</v>
      </c>
      <c r="B10" s="341"/>
      <c r="C10" s="341"/>
      <c r="D10" s="341"/>
      <c r="E10" s="341"/>
      <c r="F10" s="341"/>
      <c r="G10" s="341"/>
      <c r="H10" s="341"/>
      <c r="I10" s="341"/>
      <c r="J10" s="341"/>
      <c r="K10" s="341"/>
      <c r="L10" s="341"/>
      <c r="M10" s="341"/>
      <c r="N10" s="342">
        <f t="shared" si="0"/>
        <v>0</v>
      </c>
      <c r="O10" s="342"/>
      <c r="P10" s="342"/>
      <c r="Q10" s="343"/>
      <c r="R10" s="344">
        <f t="array" ref="R10">IFERROR(O10/$O$13,0)</f>
        <v>0</v>
      </c>
      <c r="S10" s="344">
        <f t="array" ref="S10">IFERROR(P10/$O$13,0)</f>
        <v>0</v>
      </c>
    </row>
    <row r="11" customHeight="1" spans="1:19">
      <c r="A11" s="340" t="s">
        <v>166</v>
      </c>
      <c r="B11" s="341">
        <v>0.11</v>
      </c>
      <c r="C11" s="341"/>
      <c r="D11" s="341">
        <v>0.2142</v>
      </c>
      <c r="E11" s="341"/>
      <c r="F11" s="341"/>
      <c r="G11" s="341"/>
      <c r="H11" s="341"/>
      <c r="I11" s="341"/>
      <c r="J11" s="341"/>
      <c r="K11" s="341"/>
      <c r="L11" s="341"/>
      <c r="M11" s="341"/>
      <c r="N11" s="342">
        <f t="shared" si="0"/>
        <v>0.3242</v>
      </c>
      <c r="O11" s="342">
        <v>0.0389</v>
      </c>
      <c r="P11" s="342">
        <v>0.0487</v>
      </c>
      <c r="Q11" s="343">
        <f>N11/$N$13</f>
        <v>0.0442642199830698</v>
      </c>
      <c r="R11" s="344">
        <f t="array" ref="R11">IFERROR(O11/$O$13,0)</f>
        <v>0.00699778733202612</v>
      </c>
      <c r="S11" s="344">
        <f t="array" ref="S11">IFERROR(P11/$O$13,0)</f>
        <v>0.00876072604292216</v>
      </c>
    </row>
    <row r="12" customHeight="1" spans="1:19">
      <c r="A12" s="340" t="s">
        <v>167</v>
      </c>
      <c r="B12" s="341"/>
      <c r="C12" s="341"/>
      <c r="D12" s="341"/>
      <c r="E12" s="341"/>
      <c r="F12" s="341"/>
      <c r="G12" s="341"/>
      <c r="H12" s="341"/>
      <c r="I12" s="341"/>
      <c r="J12" s="341"/>
      <c r="K12" s="341"/>
      <c r="L12" s="341"/>
      <c r="M12" s="341"/>
      <c r="N12" s="342">
        <f t="shared" si="0"/>
        <v>0</v>
      </c>
      <c r="O12" s="342"/>
      <c r="P12" s="342"/>
      <c r="Q12" s="343"/>
      <c r="R12" s="344">
        <f t="array" ref="R12">IFERROR(O12/$O$13,0)</f>
        <v>0</v>
      </c>
      <c r="S12" s="344">
        <f t="array" ref="S12">IFERROR(P12/$O$13,0)</f>
        <v>0</v>
      </c>
    </row>
    <row r="13" customHeight="1" spans="1:19">
      <c r="A13" s="340" t="s">
        <v>115</v>
      </c>
      <c r="B13" s="342">
        <f>SUBTOTAL(9,B5:B12)</f>
        <v>7.11</v>
      </c>
      <c r="C13" s="342">
        <f>SUBTOTAL(9,C5:C12)</f>
        <v>0</v>
      </c>
      <c r="D13" s="342">
        <f>SUBTOTAL(9,D5:D12)</f>
        <v>0.2142</v>
      </c>
      <c r="E13" s="342">
        <f>SUBTOTAL(9,E5:E12)</f>
        <v>0</v>
      </c>
      <c r="F13" s="342">
        <f>SUBTOTAL(9,F5:F12)</f>
        <v>0</v>
      </c>
      <c r="G13" s="342">
        <f t="shared" ref="G13:M13" si="1">SUBTOTAL(9,G5:G12)</f>
        <v>0</v>
      </c>
      <c r="H13" s="342">
        <f t="shared" si="1"/>
        <v>0</v>
      </c>
      <c r="I13" s="342">
        <f t="shared" si="1"/>
        <v>0</v>
      </c>
      <c r="J13" s="342">
        <f t="shared" si="1"/>
        <v>0</v>
      </c>
      <c r="K13" s="342">
        <f t="shared" si="1"/>
        <v>0</v>
      </c>
      <c r="L13" s="342">
        <f t="shared" si="1"/>
        <v>0</v>
      </c>
      <c r="M13" s="342">
        <f t="shared" si="1"/>
        <v>0</v>
      </c>
      <c r="N13" s="342">
        <f>SUM(N5:N12)</f>
        <v>7.3242</v>
      </c>
      <c r="O13" s="342">
        <f>SUBTOTAL(9,O5:O12)</f>
        <v>5.5589</v>
      </c>
      <c r="P13" s="342">
        <f>SUBTOTAL(9,P5:P12)</f>
        <v>1.2487</v>
      </c>
      <c r="Q13" s="343">
        <f>SUM(Q5:Q11)</f>
        <v>1</v>
      </c>
      <c r="R13" s="344">
        <f t="array" ref="R13">IFERROR(O13/$O$13,0)</f>
        <v>1</v>
      </c>
      <c r="S13" s="344">
        <f t="array" ref="S13">IFERROR(P13/$O$13,0)</f>
        <v>0.22463077227509</v>
      </c>
    </row>
    <row r="14" customHeight="1" spans="1:19">
      <c r="A14" s="341" t="s">
        <v>168</v>
      </c>
      <c r="B14" s="341">
        <f t="array" ref="B14">IFERROR(B5/B13,0)</f>
        <v>0</v>
      </c>
      <c r="C14" s="341">
        <f t="array" ref="C14">IFERROR(C5/C13,0)</f>
        <v>0</v>
      </c>
      <c r="D14" s="341">
        <f t="array" ref="D14">IFERROR(D5/D13,0)</f>
        <v>0</v>
      </c>
      <c r="E14" s="341">
        <f t="array" ref="E14">IFERROR(E5/E13,0)</f>
        <v>0</v>
      </c>
      <c r="F14" s="341">
        <f t="array" ref="F14">IFERROR(F5/F13,0)</f>
        <v>0</v>
      </c>
      <c r="G14" s="341">
        <f t="array" ref="G14">IFERROR(G5/G13,0)</f>
        <v>0</v>
      </c>
      <c r="H14" s="341">
        <f t="array" ref="H14">IFERROR(H5/H13,0)</f>
        <v>0</v>
      </c>
      <c r="I14" s="341">
        <f t="array" ref="I14">IFERROR(I5/I13,0)</f>
        <v>0</v>
      </c>
      <c r="J14" s="341">
        <f t="array" ref="J14">IFERROR(J5/J13,0)</f>
        <v>0</v>
      </c>
      <c r="K14" s="341">
        <f t="array" ref="K14">IFERROR(K5/K13,0)</f>
        <v>0</v>
      </c>
      <c r="L14" s="341">
        <f t="array" ref="L14">IFERROR(L5/L13,0)</f>
        <v>0</v>
      </c>
      <c r="M14" s="341">
        <f t="array" ref="M14">IFERROR(M5/M13,0)</f>
        <v>0</v>
      </c>
      <c r="N14" s="346">
        <f t="array" ref="N14">IFERROR(N5/N13,0)</f>
        <v>0</v>
      </c>
      <c r="O14" s="346">
        <f t="array" ref="O14">IFERROR(O5/O13,0)</f>
        <v>0</v>
      </c>
      <c r="P14" s="346">
        <f>IFERROR(P5/P13,0)</f>
        <v>0</v>
      </c>
      <c r="Q14" s="341"/>
      <c r="R14" s="341"/>
      <c r="S14" s="341"/>
    </row>
    <row r="15" customHeight="1" spans="1:19">
      <c r="A15" s="341" t="s">
        <v>169</v>
      </c>
      <c r="B15" s="341">
        <v>1.216575</v>
      </c>
      <c r="C15" s="341"/>
      <c r="D15" s="341">
        <v>0.0321</v>
      </c>
      <c r="E15" s="341"/>
      <c r="F15" s="341"/>
      <c r="G15" s="341"/>
      <c r="H15" s="341"/>
      <c r="I15" s="341"/>
      <c r="J15" s="341"/>
      <c r="K15" s="341"/>
      <c r="L15" s="341"/>
      <c r="M15" s="341"/>
      <c r="N15" s="341">
        <f>SUM(B15:M15)</f>
        <v>1.248675</v>
      </c>
      <c r="O15" s="341"/>
      <c r="P15" s="341"/>
      <c r="Q15" s="341"/>
      <c r="R15" s="341"/>
      <c r="S15" s="341"/>
    </row>
    <row r="16" customHeight="1" spans="1:19">
      <c r="A16" s="341" t="s">
        <v>170</v>
      </c>
      <c r="B16" s="341">
        <v>5.53326</v>
      </c>
      <c r="C16" s="341"/>
      <c r="D16" s="341">
        <v>0.0257</v>
      </c>
      <c r="E16" s="341"/>
      <c r="F16" s="341"/>
      <c r="G16" s="341"/>
      <c r="H16" s="341"/>
      <c r="I16" s="341"/>
      <c r="J16" s="341"/>
      <c r="K16" s="341"/>
      <c r="L16" s="341"/>
      <c r="M16" s="341"/>
      <c r="N16" s="341">
        <f>SUM(B16:M16)</f>
        <v>5.55896</v>
      </c>
      <c r="O16" s="341"/>
      <c r="P16" s="341"/>
      <c r="Q16" s="341"/>
      <c r="R16" s="341"/>
      <c r="S16" s="341"/>
    </row>
    <row r="44" customHeight="1" spans="1:14">
      <c r="A44" s="335" t="s">
        <v>153</v>
      </c>
      <c r="B44" s="336" t="s">
        <v>171</v>
      </c>
      <c r="C44" s="336"/>
      <c r="D44" s="336"/>
      <c r="E44" s="336"/>
      <c r="F44" s="336"/>
      <c r="G44" s="336"/>
      <c r="H44" s="336"/>
      <c r="I44" s="336"/>
      <c r="J44" s="336"/>
      <c r="K44" s="336"/>
      <c r="L44" s="336"/>
      <c r="M44" s="336"/>
      <c r="N44" s="336"/>
    </row>
    <row r="45" customHeight="1" spans="1:14">
      <c r="A45" s="335"/>
      <c r="B45" s="336" t="s">
        <v>25</v>
      </c>
      <c r="C45" s="336" t="s">
        <v>26</v>
      </c>
      <c r="D45" s="336" t="s">
        <v>27</v>
      </c>
      <c r="E45" s="336" t="s">
        <v>28</v>
      </c>
      <c r="F45" s="336" t="s">
        <v>29</v>
      </c>
      <c r="G45" s="336" t="s">
        <v>30</v>
      </c>
      <c r="H45" s="336" t="s">
        <v>31</v>
      </c>
      <c r="I45" s="336" t="s">
        <v>32</v>
      </c>
      <c r="J45" s="336" t="s">
        <v>33</v>
      </c>
      <c r="K45" s="336" t="s">
        <v>34</v>
      </c>
      <c r="L45" s="336" t="s">
        <v>35</v>
      </c>
      <c r="M45" s="336" t="s">
        <v>36</v>
      </c>
      <c r="N45" s="336" t="s">
        <v>159</v>
      </c>
    </row>
    <row r="46" customHeight="1" spans="1:14">
      <c r="A46" s="340" t="s">
        <v>172</v>
      </c>
      <c r="B46" s="347"/>
      <c r="C46" s="348"/>
      <c r="D46" s="348"/>
      <c r="E46" s="349"/>
      <c r="F46" s="349"/>
      <c r="G46" s="349"/>
      <c r="H46" s="350"/>
      <c r="I46" s="351">
        <v>740000</v>
      </c>
      <c r="J46" s="351">
        <v>520000</v>
      </c>
      <c r="K46" s="351">
        <v>165000</v>
      </c>
      <c r="L46" s="351">
        <v>706000</v>
      </c>
      <c r="M46" s="351">
        <v>3240000</v>
      </c>
      <c r="N46" s="342">
        <f>SUBTOTAL(9,B46:M46)</f>
        <v>5371000</v>
      </c>
    </row>
    <row r="47" customHeight="1" spans="1:14">
      <c r="A47" s="352" t="s">
        <v>173</v>
      </c>
      <c r="B47" s="343"/>
      <c r="C47" s="343"/>
      <c r="D47" s="343"/>
      <c r="E47" s="343"/>
      <c r="F47" s="343"/>
      <c r="G47" s="343"/>
      <c r="H47" s="343"/>
      <c r="I47" s="353">
        <v>296000</v>
      </c>
      <c r="J47" s="353">
        <v>208000</v>
      </c>
      <c r="K47" s="353">
        <v>54000</v>
      </c>
      <c r="L47" s="353">
        <v>236026.9</v>
      </c>
      <c r="M47" s="353"/>
      <c r="N47" s="343"/>
    </row>
    <row r="48" customHeight="1" spans="1:14">
      <c r="A48" s="352" t="s">
        <v>174</v>
      </c>
      <c r="B48" s="343"/>
      <c r="C48" s="343"/>
      <c r="D48" s="343"/>
      <c r="E48" s="343"/>
      <c r="F48" s="343"/>
      <c r="G48" s="343"/>
      <c r="H48" s="343"/>
      <c r="I48" s="353">
        <v>303760</v>
      </c>
      <c r="J48" s="353">
        <v>206360</v>
      </c>
      <c r="K48" s="353">
        <v>50159.1</v>
      </c>
      <c r="L48" s="353">
        <v>231551.643</v>
      </c>
      <c r="M48" s="353"/>
      <c r="N48" s="343"/>
    </row>
    <row r="52" customHeight="1" spans="10:11">
      <c r="J52" s="49">
        <f>(I46+J46)*0.14</f>
        <v>176400</v>
      </c>
      <c r="K52" s="47">
        <f>'保费分析--产品'!L5*0.02</f>
        <v>0</v>
      </c>
    </row>
    <row r="53" customHeight="1" spans="10:11">
      <c r="K53" s="47">
        <f>('保费分析--产品'!K6+'保费分析--产品'!L6)*0.1</f>
        <v>0</v>
      </c>
    </row>
    <row r="54" customHeight="1" spans="10:11">
      <c r="K54" s="47">
        <f>'保费分析--产品'!L7*0.12</f>
        <v>0</v>
      </c>
    </row>
    <row r="55" customHeight="1" spans="10:11">
      <c r="K55" s="47">
        <f>('保费分析--产品'!K8+'保费分析--产品'!L8)*0.14</f>
        <v>0</v>
      </c>
    </row>
    <row r="56" customHeight="1" spans="10:11">
      <c r="K56" s="47">
        <f>4.6*0.14</f>
        <v>0.644</v>
      </c>
    </row>
    <row r="57" customHeight="1" spans="10:11">
      <c r="K57" s="47">
        <f>SUM(K52:K56)</f>
        <v>0.644</v>
      </c>
    </row>
  </sheetData>
  <mergeCells count="12">
    <mergeCell ref="A1:O1"/>
    <mergeCell ref="A2:F2"/>
    <mergeCell ref="I2:K2"/>
    <mergeCell ref="B3:N3"/>
    <mergeCell ref="B44:N44"/>
    <mergeCell ref="A3:A4"/>
    <mergeCell ref="A44:A45"/>
    <mergeCell ref="O3:O4"/>
    <mergeCell ref="P3:P4"/>
    <mergeCell ref="Q3:Q4"/>
    <mergeCell ref="R3:R4"/>
    <mergeCell ref="S3:S4"/>
  </mergeCells>
  <hyperlinks>
    <hyperlink ref="P1" location="目录!A1" display="返回目录"/>
  </hyperlinks>
  <pageMargins left="0.699305555555556" right="0.699305555555556" top="0.75" bottom="0.75" header="0.3" footer="0.3"/>
  <pageSetup paperSize="9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zoomScale="85" zoomScaleNormal="85" workbookViewId="0">
      <selection activeCell="E17" sqref="E17"/>
    </sheetView>
  </sheetViews>
  <sheetFormatPr defaultColWidth="8.87962962962963" defaultRowHeight="13.8"/>
  <cols>
    <col min="1" max="1" width="39.4722222222222" style="47" customWidth="1"/>
    <col min="2" max="5" width="15.5462962962963" style="47" customWidth="1"/>
    <col min="6" max="8" width="15.5462962962963" style="47" hidden="1" customWidth="1"/>
    <col min="9" max="9" width="15.5462962962963" style="306" hidden="1" customWidth="1"/>
    <col min="10" max="13" width="15.5462962962963" style="47" hidden="1" customWidth="1"/>
    <col min="14" max="15" width="15.5462962962963" style="47" customWidth="1"/>
    <col min="16" max="16" width="15.5462962962963" style="233" customWidth="1"/>
    <col min="17" max="18" width="15.5462962962963" style="271" customWidth="1"/>
    <col min="19" max="19" width="15.5462962962963" style="47" customWidth="1"/>
    <col min="20" max="20" width="37.5185185185185" style="47" customWidth="1"/>
    <col min="21" max="22" width="12.8888888888889" style="47" customWidth="1"/>
    <col min="23" max="23" width="12.8888888888889" style="47"/>
    <col min="24" max="24" width="12.8888888888889" style="47" customWidth="1"/>
    <col min="25" max="16384" width="8.87962962962963" style="47"/>
  </cols>
  <sheetData>
    <row r="1" ht="32.1" customHeight="1" spans="1:20">
      <c r="A1" s="235" t="s">
        <v>175</v>
      </c>
      <c r="B1" s="235"/>
      <c r="C1" s="235"/>
      <c r="D1" s="235"/>
      <c r="E1" s="235"/>
      <c r="F1" s="235"/>
      <c r="G1" s="235"/>
      <c r="H1" s="235"/>
      <c r="I1" s="307"/>
      <c r="J1" s="235"/>
      <c r="K1" s="235"/>
      <c r="L1" s="235"/>
      <c r="M1" s="235"/>
      <c r="N1" s="235"/>
      <c r="O1" s="235"/>
      <c r="P1" s="2" t="s">
        <v>19</v>
      </c>
    </row>
    <row r="2" s="49" customFormat="1" ht="22.5" customHeight="1" spans="1:20">
      <c r="A2" s="237" t="s">
        <v>20</v>
      </c>
      <c r="B2" s="237"/>
      <c r="C2" s="237"/>
      <c r="D2" s="237"/>
      <c r="E2" s="237"/>
      <c r="F2" s="238"/>
      <c r="G2" s="238"/>
      <c r="H2" s="238"/>
      <c r="I2" s="308" t="str">
        <f>目录!C3</f>
        <v>填报日期：2026-5-8</v>
      </c>
      <c r="J2" s="238"/>
      <c r="K2" s="276"/>
      <c r="L2" s="238"/>
      <c r="M2" s="238"/>
      <c r="N2" s="237"/>
      <c r="O2" s="237"/>
      <c r="P2" s="309"/>
      <c r="Q2" s="271"/>
      <c r="R2" s="271"/>
      <c r="T2" s="49" t="s">
        <v>22</v>
      </c>
    </row>
    <row r="3" ht="19" customHeight="1" spans="1:20">
      <c r="A3" s="310" t="s">
        <v>176</v>
      </c>
      <c r="B3" s="311" t="s">
        <v>73</v>
      </c>
      <c r="C3" s="311"/>
      <c r="D3" s="311"/>
      <c r="E3" s="311"/>
      <c r="F3" s="311"/>
      <c r="G3" s="311"/>
      <c r="H3" s="311"/>
      <c r="I3" s="312"/>
      <c r="J3" s="311"/>
      <c r="K3" s="311"/>
      <c r="L3" s="311"/>
      <c r="M3" s="311"/>
      <c r="N3" s="311"/>
      <c r="O3" s="310" t="s">
        <v>154</v>
      </c>
      <c r="P3" s="313" t="s">
        <v>155</v>
      </c>
      <c r="Q3" s="310" t="s">
        <v>156</v>
      </c>
      <c r="R3" s="310" t="s">
        <v>157</v>
      </c>
      <c r="S3" s="310" t="s">
        <v>157</v>
      </c>
    </row>
    <row r="4" ht="19" customHeight="1" spans="1:20">
      <c r="A4" s="310"/>
      <c r="B4" s="311" t="s">
        <v>25</v>
      </c>
      <c r="C4" s="311" t="s">
        <v>26</v>
      </c>
      <c r="D4" s="311" t="s">
        <v>27</v>
      </c>
      <c r="E4" s="311" t="s">
        <v>28</v>
      </c>
      <c r="F4" s="311" t="s">
        <v>29</v>
      </c>
      <c r="G4" s="311" t="s">
        <v>30</v>
      </c>
      <c r="H4" s="311" t="s">
        <v>31</v>
      </c>
      <c r="I4" s="312" t="s">
        <v>32</v>
      </c>
      <c r="J4" s="311" t="s">
        <v>33</v>
      </c>
      <c r="K4" s="311" t="s">
        <v>34</v>
      </c>
      <c r="L4" s="311" t="s">
        <v>35</v>
      </c>
      <c r="M4" s="311" t="s">
        <v>36</v>
      </c>
      <c r="N4" s="311" t="s">
        <v>159</v>
      </c>
      <c r="O4" s="310"/>
      <c r="P4" s="313"/>
      <c r="Q4" s="310"/>
      <c r="R4" s="310"/>
      <c r="S4" s="310"/>
    </row>
    <row r="5" s="305" customFormat="1" ht="19" customHeight="1" spans="1:20">
      <c r="A5" s="289" t="s">
        <v>177</v>
      </c>
      <c r="B5" s="314">
        <v>0.1105</v>
      </c>
      <c r="C5" s="315"/>
      <c r="D5" s="315">
        <v>0.3247</v>
      </c>
      <c r="E5" s="315"/>
      <c r="F5" s="315"/>
      <c r="G5" s="315"/>
      <c r="H5" s="315"/>
      <c r="I5" s="316"/>
      <c r="J5" s="317"/>
      <c r="K5" s="317"/>
      <c r="L5" s="317"/>
      <c r="M5" s="317"/>
      <c r="N5" s="317">
        <f t="shared" ref="N5:N17" si="0">SUM(B5:M5)</f>
        <v>0.4352</v>
      </c>
      <c r="O5" s="317">
        <v>0.0389</v>
      </c>
      <c r="P5" s="317">
        <v>0.0487</v>
      </c>
      <c r="Q5" s="318">
        <f t="array" ref="Q5">IFERROR(N5/$N$18,0)</f>
        <v>0.0585323864859049</v>
      </c>
      <c r="R5" s="318">
        <f t="array" ref="R5">IFERROR(O5/$O$18,0)</f>
        <v>0.00699778733202612</v>
      </c>
      <c r="S5" s="318">
        <f t="array" ref="S5">IFERROR(P5/$P$18,0)</f>
        <v>0.0390005605830063</v>
      </c>
    </row>
    <row r="6" s="305" customFormat="1" ht="19" customHeight="1" spans="1:20">
      <c r="A6" s="289" t="s">
        <v>178</v>
      </c>
      <c r="B6" s="314"/>
      <c r="C6" s="315"/>
      <c r="D6" s="319"/>
      <c r="E6" s="315"/>
      <c r="F6" s="315"/>
      <c r="G6" s="315"/>
      <c r="H6" s="315"/>
      <c r="I6" s="316"/>
      <c r="J6" s="317"/>
      <c r="K6" s="317"/>
      <c r="L6" s="317"/>
      <c r="M6" s="317"/>
      <c r="N6" s="317">
        <f t="shared" si="0"/>
        <v>0</v>
      </c>
      <c r="O6" s="317"/>
      <c r="P6" s="317"/>
      <c r="Q6" s="318">
        <f t="array" ref="Q6">IFERROR(N6/$N$18,0)</f>
        <v>0</v>
      </c>
      <c r="R6" s="318">
        <f t="array" ref="R6">IFERROR(O6/$O$18,0)</f>
        <v>0</v>
      </c>
      <c r="S6" s="318">
        <f t="array" ref="S6">IFERROR(P6/$P$18,0)</f>
        <v>0</v>
      </c>
    </row>
    <row r="7" s="305" customFormat="1" ht="19" customHeight="1" spans="1:20">
      <c r="A7" s="289" t="s">
        <v>179</v>
      </c>
      <c r="B7" s="314"/>
      <c r="C7" s="315"/>
      <c r="D7" s="319"/>
      <c r="E7" s="315"/>
      <c r="F7" s="315"/>
      <c r="G7" s="315"/>
      <c r="H7" s="315"/>
      <c r="I7" s="316"/>
      <c r="J7" s="317"/>
      <c r="K7" s="317"/>
      <c r="L7" s="317"/>
      <c r="M7" s="317"/>
      <c r="N7" s="317">
        <f t="shared" si="0"/>
        <v>0</v>
      </c>
      <c r="O7" s="317"/>
      <c r="P7" s="317"/>
      <c r="Q7" s="318">
        <f t="array" ref="Q7">IFERROR(N7/$N$18,0)</f>
        <v>0</v>
      </c>
      <c r="R7" s="318">
        <f t="array" ref="R7">IFERROR(O7/$O$18,0)</f>
        <v>0</v>
      </c>
      <c r="S7" s="318">
        <f t="array" ref="S7">IFERROR(P7/$P$18,0)</f>
        <v>0</v>
      </c>
    </row>
    <row r="8" s="305" customFormat="1" ht="19" customHeight="1" spans="1:20">
      <c r="A8" s="289" t="s">
        <v>180</v>
      </c>
      <c r="B8" s="314">
        <v>6</v>
      </c>
      <c r="C8" s="315"/>
      <c r="D8" s="319"/>
      <c r="E8" s="315"/>
      <c r="F8" s="315"/>
      <c r="G8" s="315"/>
      <c r="H8" s="315"/>
      <c r="I8" s="316"/>
      <c r="J8" s="317"/>
      <c r="K8" s="317"/>
      <c r="L8" s="317"/>
      <c r="M8" s="317"/>
      <c r="N8" s="317">
        <f t="shared" si="0"/>
        <v>6</v>
      </c>
      <c r="O8" s="317">
        <v>4.32</v>
      </c>
      <c r="P8" s="317">
        <v>0.9</v>
      </c>
      <c r="Q8" s="318">
        <f t="array" ref="Q8">IFERROR(N8/$N$18,0)</f>
        <v>0.806972240154939</v>
      </c>
      <c r="R8" s="318">
        <f t="array" ref="R8">IFERROR(O8/$O$18,0)</f>
        <v>0.777132166435806</v>
      </c>
      <c r="S8" s="318">
        <f t="array" ref="S8">IFERROR(P8/$P$18,0)</f>
        <v>0.720749579562745</v>
      </c>
    </row>
    <row r="9" s="305" customFormat="1" ht="19" customHeight="1" spans="1:20">
      <c r="A9" s="289" t="s">
        <v>181</v>
      </c>
      <c r="B9" s="314"/>
      <c r="C9" s="315"/>
      <c r="D9" s="319"/>
      <c r="E9" s="315"/>
      <c r="F9" s="315"/>
      <c r="G9" s="315"/>
      <c r="H9" s="315"/>
      <c r="I9" s="316"/>
      <c r="J9" s="317"/>
      <c r="K9" s="317"/>
      <c r="L9" s="317"/>
      <c r="M9" s="317"/>
      <c r="N9" s="317">
        <f t="shared" si="0"/>
        <v>0</v>
      </c>
      <c r="O9" s="317"/>
      <c r="P9" s="317"/>
      <c r="Q9" s="318">
        <f t="array" ref="Q9">IFERROR(N9/$N$18,0)</f>
        <v>0</v>
      </c>
      <c r="R9" s="318">
        <f t="array" ref="R9">IFERROR(O9/$O$18,0)</f>
        <v>0</v>
      </c>
      <c r="S9" s="318">
        <f t="array" ref="S9">IFERROR(P9/$P$18,0)</f>
        <v>0</v>
      </c>
    </row>
    <row r="10" s="305" customFormat="1" ht="19" customHeight="1" spans="1:20">
      <c r="A10" s="289" t="s">
        <v>182</v>
      </c>
      <c r="B10" s="314">
        <v>1</v>
      </c>
      <c r="C10" s="315"/>
      <c r="D10" s="319"/>
      <c r="E10" s="315"/>
      <c r="F10" s="315"/>
      <c r="G10" s="315"/>
      <c r="H10" s="315"/>
      <c r="I10" s="316"/>
      <c r="J10" s="317"/>
      <c r="K10" s="317"/>
      <c r="L10" s="317"/>
      <c r="M10" s="317"/>
      <c r="N10" s="317">
        <f t="shared" si="0"/>
        <v>1</v>
      </c>
      <c r="O10" s="317">
        <v>1.2</v>
      </c>
      <c r="P10" s="317">
        <v>0.3</v>
      </c>
      <c r="Q10" s="318">
        <f t="array" ref="Q10">IFERROR(N10/$N$18,0)</f>
        <v>0.134495373359156</v>
      </c>
      <c r="R10" s="318">
        <f t="array" ref="R10">IFERROR(O10/$O$18,0)</f>
        <v>0.215870046232168</v>
      </c>
      <c r="S10" s="318">
        <f t="array" ref="S10">IFERROR(P10/$P$18,0)</f>
        <v>0.240249859854248</v>
      </c>
    </row>
    <row r="11" s="305" customFormat="1" ht="19" customHeight="1" spans="1:20">
      <c r="A11" s="289" t="s">
        <v>183</v>
      </c>
      <c r="B11" s="320"/>
      <c r="C11" s="315"/>
      <c r="D11" s="319"/>
      <c r="E11" s="315"/>
      <c r="F11" s="315"/>
      <c r="G11" s="315"/>
      <c r="H11" s="315"/>
      <c r="I11" s="316"/>
      <c r="J11" s="317"/>
      <c r="K11" s="317"/>
      <c r="L11" s="317"/>
      <c r="M11" s="317"/>
      <c r="N11" s="317">
        <f t="shared" si="0"/>
        <v>0</v>
      </c>
      <c r="O11" s="317"/>
      <c r="P11" s="317"/>
      <c r="Q11" s="318">
        <f t="array" ref="Q11">IFERROR(N11/$N$18,0)</f>
        <v>0</v>
      </c>
      <c r="R11" s="318">
        <f t="array" ref="R11">IFERROR(O11/$O$18,0)</f>
        <v>0</v>
      </c>
      <c r="S11" s="318">
        <f t="array" ref="S11">IFERROR(P11/$P$18,0)</f>
        <v>0</v>
      </c>
    </row>
    <row r="12" s="305" customFormat="1" ht="19" customHeight="1" spans="1:20">
      <c r="A12" s="289" t="s">
        <v>184</v>
      </c>
      <c r="B12" s="321"/>
      <c r="C12" s="315"/>
      <c r="D12" s="319"/>
      <c r="E12" s="315"/>
      <c r="F12" s="315"/>
      <c r="G12" s="315"/>
      <c r="H12" s="315"/>
      <c r="I12" s="316"/>
      <c r="J12" s="317"/>
      <c r="K12" s="317"/>
      <c r="L12" s="317"/>
      <c r="M12" s="317"/>
      <c r="N12" s="317">
        <f t="shared" si="0"/>
        <v>0</v>
      </c>
      <c r="O12" s="317"/>
      <c r="P12" s="317"/>
      <c r="Q12" s="318">
        <f t="array" ref="Q12">IFERROR(N12/$N$18,0)</f>
        <v>0</v>
      </c>
      <c r="R12" s="318">
        <f t="array" ref="R12">IFERROR(O12/$O$18,0)</f>
        <v>0</v>
      </c>
      <c r="S12" s="318">
        <f t="array" ref="S12">IFERROR(P12/$P$18,0)</f>
        <v>0</v>
      </c>
    </row>
    <row r="13" s="305" customFormat="1" ht="19" customHeight="1" spans="1:20">
      <c r="A13" s="289" t="s">
        <v>185</v>
      </c>
      <c r="B13" s="321"/>
      <c r="C13" s="315"/>
      <c r="D13" s="319"/>
      <c r="E13" s="315"/>
      <c r="F13" s="315"/>
      <c r="G13" s="315"/>
      <c r="H13" s="315"/>
      <c r="I13" s="316"/>
      <c r="J13" s="317"/>
      <c r="K13" s="317"/>
      <c r="L13" s="317"/>
      <c r="M13" s="317"/>
      <c r="N13" s="317">
        <f t="shared" si="0"/>
        <v>0</v>
      </c>
      <c r="O13" s="317"/>
      <c r="P13" s="317"/>
      <c r="Q13" s="318">
        <f t="array" ref="Q13">IFERROR(N13/$N$18,0)</f>
        <v>0</v>
      </c>
      <c r="R13" s="318">
        <f t="array" ref="R13">IFERROR(O13/$O$18,0)</f>
        <v>0</v>
      </c>
      <c r="S13" s="318">
        <f t="array" ref="S13">IFERROR(P13/$P$18,0)</f>
        <v>0</v>
      </c>
    </row>
    <row r="14" s="305" customFormat="1" ht="19" customHeight="1" spans="1:20">
      <c r="A14" s="289" t="s">
        <v>186</v>
      </c>
      <c r="B14" s="321"/>
      <c r="C14" s="315"/>
      <c r="D14" s="319"/>
      <c r="E14" s="315"/>
      <c r="F14" s="315"/>
      <c r="G14" s="315"/>
      <c r="H14" s="315"/>
      <c r="I14" s="316"/>
      <c r="J14" s="317"/>
      <c r="K14" s="317"/>
      <c r="L14" s="317"/>
      <c r="M14" s="317"/>
      <c r="N14" s="317">
        <f t="shared" si="0"/>
        <v>0</v>
      </c>
      <c r="O14" s="317"/>
      <c r="P14" s="317"/>
      <c r="Q14" s="318">
        <f t="array" ref="Q14">IFERROR(N14/$N$18,0)</f>
        <v>0</v>
      </c>
      <c r="R14" s="318">
        <f t="array" ref="R14">IFERROR(O14/$O$18,0)</f>
        <v>0</v>
      </c>
      <c r="S14" s="318">
        <f t="array" ref="S14">IFERROR(P14/$P$18,0)</f>
        <v>0</v>
      </c>
    </row>
    <row r="15" s="305" customFormat="1" ht="19" customHeight="1" spans="1:20">
      <c r="A15" s="322" t="s">
        <v>187</v>
      </c>
      <c r="B15" s="314"/>
      <c r="C15" s="315"/>
      <c r="D15" s="319"/>
      <c r="E15" s="315"/>
      <c r="F15" s="315"/>
      <c r="G15" s="315"/>
      <c r="H15" s="315"/>
      <c r="I15" s="316"/>
      <c r="J15" s="317"/>
      <c r="K15" s="317"/>
      <c r="L15" s="317"/>
      <c r="M15" s="317"/>
      <c r="N15" s="317">
        <f t="shared" si="0"/>
        <v>0</v>
      </c>
      <c r="O15" s="317"/>
      <c r="P15" s="317"/>
      <c r="Q15" s="318">
        <f t="array" ref="Q15">IFERROR(N15/$N$18,0)</f>
        <v>0</v>
      </c>
      <c r="R15" s="318">
        <f t="array" ref="R15">IFERROR(O15/$O$18,0)</f>
        <v>0</v>
      </c>
      <c r="S15" s="318">
        <f t="array" ref="S15">IFERROR(P15/$P$18,0)</f>
        <v>0</v>
      </c>
    </row>
    <row r="16" s="305" customFormat="1" ht="19" customHeight="1" spans="1:20">
      <c r="A16" s="322" t="s">
        <v>188</v>
      </c>
      <c r="B16" s="320"/>
      <c r="C16" s="315"/>
      <c r="D16" s="319"/>
      <c r="E16" s="315"/>
      <c r="F16" s="315"/>
      <c r="G16" s="315"/>
      <c r="H16" s="315"/>
      <c r="I16" s="316"/>
      <c r="J16" s="317"/>
      <c r="K16" s="317"/>
      <c r="L16" s="317"/>
      <c r="M16" s="317"/>
      <c r="N16" s="317">
        <f t="shared" si="0"/>
        <v>0</v>
      </c>
      <c r="O16" s="317"/>
      <c r="P16" s="317"/>
      <c r="Q16" s="318">
        <f t="array" ref="Q16">IFERROR(N16/$N$18,0)</f>
        <v>0</v>
      </c>
      <c r="R16" s="318">
        <f t="array" ref="R16">IFERROR(O16/$O$18,0)</f>
        <v>0</v>
      </c>
      <c r="S16" s="318">
        <f t="array" ref="S16">IFERROR(P16/$P$18,0)</f>
        <v>0</v>
      </c>
    </row>
    <row r="17" s="305" customFormat="1" ht="19" customHeight="1" spans="1:19">
      <c r="A17" s="322" t="s">
        <v>189</v>
      </c>
      <c r="B17" s="320"/>
      <c r="C17" s="315"/>
      <c r="D17" s="323"/>
      <c r="E17" s="315"/>
      <c r="F17" s="315"/>
      <c r="G17" s="315"/>
      <c r="H17" s="315"/>
      <c r="I17" s="316"/>
      <c r="J17" s="317"/>
      <c r="K17" s="317"/>
      <c r="L17" s="317"/>
      <c r="M17" s="317"/>
      <c r="N17" s="317">
        <f t="shared" si="0"/>
        <v>0</v>
      </c>
      <c r="O17" s="317"/>
      <c r="P17" s="317"/>
      <c r="Q17" s="318">
        <f t="array" ref="Q17">IFERROR(N17/$N$18,0)</f>
        <v>0</v>
      </c>
      <c r="R17" s="318">
        <f t="array" ref="R17">IFERROR(O17/$O$18,0)</f>
        <v>0</v>
      </c>
      <c r="S17" s="318">
        <f t="array" ref="S17">IFERROR(P17/$P$18,0)</f>
        <v>0</v>
      </c>
    </row>
    <row r="18" ht="19" customHeight="1" spans="1:19">
      <c r="A18" s="324" t="s">
        <v>115</v>
      </c>
      <c r="B18" s="325">
        <f>SUM(B5:B17)</f>
        <v>7.1105</v>
      </c>
      <c r="C18" s="326">
        <f>SUM(C5:C17)</f>
        <v>0</v>
      </c>
      <c r="D18" s="326">
        <f>SUM(D5:D17)</f>
        <v>0.3247</v>
      </c>
      <c r="E18" s="326">
        <f>SUM(E5:E17)</f>
        <v>0</v>
      </c>
      <c r="F18" s="326">
        <f>SUM(F5:F17)</f>
        <v>0</v>
      </c>
      <c r="G18" s="326">
        <f t="shared" ref="C18:S18" si="1">SUM(G5:G17)</f>
        <v>0</v>
      </c>
      <c r="H18" s="326">
        <f t="shared" si="1"/>
        <v>0</v>
      </c>
      <c r="I18" s="316">
        <f t="shared" si="1"/>
        <v>0</v>
      </c>
      <c r="J18" s="327">
        <f t="shared" si="1"/>
        <v>0</v>
      </c>
      <c r="K18" s="327">
        <f t="shared" si="1"/>
        <v>0</v>
      </c>
      <c r="L18" s="327">
        <f t="shared" si="1"/>
        <v>0</v>
      </c>
      <c r="M18" s="327">
        <f t="shared" si="1"/>
        <v>0</v>
      </c>
      <c r="N18" s="327">
        <f t="shared" si="1"/>
        <v>7.4352</v>
      </c>
      <c r="O18" s="327">
        <f t="shared" si="1"/>
        <v>5.5589</v>
      </c>
      <c r="P18" s="327">
        <f t="shared" si="1"/>
        <v>1.2487</v>
      </c>
      <c r="Q18" s="328">
        <f t="shared" si="1"/>
        <v>1</v>
      </c>
      <c r="R18" s="328">
        <f t="shared" si="1"/>
        <v>1</v>
      </c>
      <c r="S18" s="328">
        <f t="shared" si="1"/>
        <v>1</v>
      </c>
    </row>
    <row r="19" spans="1:19">
      <c r="O19" s="271"/>
    </row>
    <row r="20" spans="1:19">
      <c r="O20" s="329"/>
      <c r="P20" s="330"/>
    </row>
    <row r="28" spans="1:19">
      <c r="P28" s="331"/>
    </row>
    <row r="30" spans="1:19">
      <c r="L30"/>
    </row>
    <row r="31" spans="1:19">
      <c r="L31"/>
    </row>
    <row r="32" spans="1:19">
      <c r="L32"/>
    </row>
    <row r="33" spans="12:12">
      <c r="L33"/>
    </row>
    <row r="34" spans="12:12">
      <c r="L34"/>
    </row>
    <row r="35" spans="12:12">
      <c r="L35"/>
    </row>
    <row r="36" spans="12:12">
      <c r="L36"/>
    </row>
  </sheetData>
  <mergeCells count="9">
    <mergeCell ref="A1:O1"/>
    <mergeCell ref="A2:E2"/>
    <mergeCell ref="B3:N3"/>
    <mergeCell ref="A3:A4"/>
    <mergeCell ref="O3:O4"/>
    <mergeCell ref="P3:P4"/>
    <mergeCell ref="Q3:Q4"/>
    <mergeCell ref="R3:R4"/>
    <mergeCell ref="S3:S4"/>
  </mergeCells>
  <hyperlinks>
    <hyperlink ref="P1" location="目录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zoomScale="70" zoomScaleNormal="70" workbookViewId="0">
      <selection activeCell="H10" sqref="H10"/>
    </sheetView>
  </sheetViews>
  <sheetFormatPr defaultColWidth="9" defaultRowHeight="20.1" customHeight="1"/>
  <cols>
    <col min="1" max="1" width="17" style="49" customWidth="1"/>
    <col min="2" max="7" width="13.1296296296296" style="274" customWidth="1"/>
    <col min="8" max="8" width="9.87962962962963" style="274" customWidth="1"/>
    <col min="9" max="9" width="9.62962962962963" style="274" customWidth="1"/>
    <col min="10" max="10" width="9.5" style="274" customWidth="1"/>
    <col min="11" max="11" width="9.62962962962963" style="274" customWidth="1"/>
    <col min="12" max="12" width="9.37962962962963" style="274" customWidth="1"/>
    <col min="13" max="13" width="9.75" style="274" customWidth="1"/>
    <col min="14" max="14" width="10.8796296296296" style="274" customWidth="1"/>
    <col min="15" max="15" width="11.1296296296296" style="274" customWidth="1"/>
    <col min="16" max="16" width="10" style="274" customWidth="1"/>
    <col min="17" max="17" width="11.1296296296296" style="275" hidden="1" customWidth="1"/>
    <col min="18" max="18" width="12.8888888888889" style="49" hidden="1" customWidth="1"/>
    <col min="19" max="16384" width="9" style="49"/>
  </cols>
  <sheetData>
    <row r="1" ht="32.1" customHeight="1" spans="1:18">
      <c r="A1" s="235" t="s">
        <v>190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" t="s">
        <v>19</v>
      </c>
    </row>
    <row r="2" ht="22.5" customHeight="1" spans="1:18">
      <c r="A2" s="237" t="s">
        <v>20</v>
      </c>
      <c r="B2" s="237"/>
      <c r="C2" s="237"/>
      <c r="D2" s="237"/>
      <c r="E2" s="238"/>
      <c r="F2" s="238"/>
      <c r="G2" s="238"/>
      <c r="H2" s="238" t="str">
        <f>目录!C3</f>
        <v>填报日期：2026-5-8</v>
      </c>
      <c r="I2" s="238"/>
      <c r="J2" s="276"/>
      <c r="K2" s="238"/>
      <c r="L2" s="238"/>
      <c r="M2" s="237"/>
      <c r="N2" s="237"/>
      <c r="O2" s="238"/>
      <c r="P2" s="277"/>
      <c r="R2" s="49" t="s">
        <v>22</v>
      </c>
    </row>
    <row r="3" customHeight="1" spans="1:18">
      <c r="A3" s="278" t="s">
        <v>176</v>
      </c>
      <c r="B3" s="279" t="s">
        <v>73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154</v>
      </c>
      <c r="P3" s="280" t="s">
        <v>155</v>
      </c>
      <c r="R3" s="280" t="s">
        <v>191</v>
      </c>
    </row>
    <row r="4" s="272" customFormat="1" customHeight="1" spans="1:18">
      <c r="A4" s="278"/>
      <c r="B4" s="279" t="s">
        <v>25</v>
      </c>
      <c r="C4" s="279" t="s">
        <v>26</v>
      </c>
      <c r="D4" s="279" t="s">
        <v>27</v>
      </c>
      <c r="E4" s="279" t="s">
        <v>28</v>
      </c>
      <c r="F4" s="279" t="s">
        <v>29</v>
      </c>
      <c r="G4" s="279" t="s">
        <v>30</v>
      </c>
      <c r="H4" s="279" t="s">
        <v>31</v>
      </c>
      <c r="I4" s="279" t="s">
        <v>32</v>
      </c>
      <c r="J4" s="279" t="s">
        <v>33</v>
      </c>
      <c r="K4" s="279" t="s">
        <v>34</v>
      </c>
      <c r="L4" s="279" t="s">
        <v>35</v>
      </c>
      <c r="M4" s="279" t="s">
        <v>36</v>
      </c>
      <c r="N4" s="279" t="s">
        <v>159</v>
      </c>
      <c r="O4" s="280"/>
      <c r="P4" s="280"/>
      <c r="Q4" s="281"/>
      <c r="R4" s="280"/>
    </row>
    <row r="5" s="272" customFormat="1" customHeight="1" spans="1:18">
      <c r="A5" s="282" t="s">
        <v>177</v>
      </c>
      <c r="B5" s="279"/>
      <c r="C5" s="279"/>
      <c r="D5" s="279"/>
      <c r="E5" s="279"/>
      <c r="F5" s="279"/>
      <c r="G5" s="279"/>
      <c r="H5" s="279"/>
      <c r="I5" s="283"/>
      <c r="J5" s="283"/>
      <c r="K5" s="283"/>
      <c r="L5" s="283"/>
      <c r="M5" s="283"/>
      <c r="N5" s="283">
        <f t="shared" ref="N5:N12" si="0">SUM(B5:M5)</f>
        <v>0</v>
      </c>
      <c r="O5" s="284"/>
      <c r="P5" s="285"/>
      <c r="Q5" s="281"/>
      <c r="R5" s="286" t="e">
        <f t="shared" ref="R5:R10" si="1">O5/$O$13</f>
        <v>#DIV/0!</v>
      </c>
    </row>
    <row r="6" s="272" customFormat="1" customHeight="1" spans="1:18">
      <c r="A6" s="287" t="s">
        <v>178</v>
      </c>
      <c r="B6" s="279"/>
      <c r="C6" s="279"/>
      <c r="D6" s="279"/>
      <c r="E6" s="279"/>
      <c r="F6" s="279"/>
      <c r="G6" s="279"/>
      <c r="H6" s="279"/>
      <c r="I6" s="283"/>
      <c r="J6" s="283"/>
      <c r="K6" s="283"/>
      <c r="L6" s="283"/>
      <c r="M6" s="283"/>
      <c r="N6" s="283">
        <f t="shared" si="0"/>
        <v>0</v>
      </c>
      <c r="O6" s="284"/>
      <c r="P6" s="285"/>
      <c r="Q6" s="281"/>
      <c r="R6" s="286" t="e">
        <f t="shared" si="1"/>
        <v>#DIV/0!</v>
      </c>
    </row>
    <row r="7" s="272" customFormat="1" customHeight="1" spans="1:18">
      <c r="A7" s="288" t="s">
        <v>179</v>
      </c>
      <c r="B7" s="279"/>
      <c r="C7" s="279"/>
      <c r="D7" s="279"/>
      <c r="E7" s="279"/>
      <c r="F7" s="279"/>
      <c r="G7" s="279"/>
      <c r="H7" s="279"/>
      <c r="I7" s="283"/>
      <c r="J7" s="283"/>
      <c r="K7" s="283"/>
      <c r="L7" s="283"/>
      <c r="M7" s="283"/>
      <c r="N7" s="283">
        <f t="shared" si="0"/>
        <v>0</v>
      </c>
      <c r="O7" s="284"/>
      <c r="P7" s="285"/>
      <c r="Q7" s="281"/>
      <c r="R7" s="286" t="e">
        <f t="shared" si="1"/>
        <v>#DIV/0!</v>
      </c>
    </row>
    <row r="8" s="273" customFormat="1" customHeight="1" spans="1:18">
      <c r="A8" s="289" t="s">
        <v>180</v>
      </c>
      <c r="B8" s="290"/>
      <c r="C8" s="290"/>
      <c r="D8" s="290"/>
      <c r="E8" s="290"/>
      <c r="F8" s="290"/>
      <c r="G8" s="290"/>
      <c r="H8" s="290"/>
      <c r="I8" s="291"/>
      <c r="J8" s="291"/>
      <c r="K8" s="291"/>
      <c r="L8" s="291"/>
      <c r="M8" s="291"/>
      <c r="N8" s="291">
        <f t="shared" si="0"/>
        <v>0</v>
      </c>
      <c r="O8" s="292"/>
      <c r="P8" s="293"/>
      <c r="Q8" s="294"/>
      <c r="R8" s="286" t="e">
        <f t="shared" si="1"/>
        <v>#DIV/0!</v>
      </c>
    </row>
    <row r="9" s="273" customFormat="1" customHeight="1" spans="1:18">
      <c r="A9" s="289" t="s">
        <v>181</v>
      </c>
      <c r="B9" s="290"/>
      <c r="C9" s="290"/>
      <c r="D9" s="290"/>
      <c r="E9" s="290"/>
      <c r="F9" s="290"/>
      <c r="G9" s="290"/>
      <c r="H9" s="290"/>
      <c r="I9" s="291"/>
      <c r="J9" s="291"/>
      <c r="K9" s="291"/>
      <c r="L9" s="291"/>
      <c r="M9" s="291"/>
      <c r="N9" s="291">
        <f t="shared" si="0"/>
        <v>0</v>
      </c>
      <c r="O9" s="292"/>
      <c r="P9" s="293"/>
      <c r="Q9" s="294"/>
      <c r="R9" s="286" t="e">
        <f t="shared" si="1"/>
        <v>#DIV/0!</v>
      </c>
    </row>
    <row r="10" s="273" customFormat="1" customHeight="1" spans="1:18">
      <c r="A10" s="289" t="s">
        <v>182</v>
      </c>
      <c r="B10" s="290"/>
      <c r="C10" s="290"/>
      <c r="D10" s="290"/>
      <c r="E10" s="290"/>
      <c r="F10" s="290"/>
      <c r="G10" s="290"/>
      <c r="H10" s="290"/>
      <c r="I10" s="291"/>
      <c r="J10" s="291"/>
      <c r="K10" s="291"/>
      <c r="L10" s="291"/>
      <c r="M10" s="291"/>
      <c r="N10" s="291">
        <f t="shared" si="0"/>
        <v>0</v>
      </c>
      <c r="O10" s="292"/>
      <c r="P10" s="293"/>
      <c r="Q10" s="294"/>
      <c r="R10" s="286" t="e">
        <f t="shared" si="1"/>
        <v>#DIV/0!</v>
      </c>
    </row>
    <row r="11" hidden="1" customHeight="1" spans="1:18">
      <c r="A11" s="282" t="s">
        <v>192</v>
      </c>
      <c r="B11" s="295"/>
      <c r="C11" s="295"/>
      <c r="D11" s="295"/>
      <c r="E11" s="295"/>
      <c r="F11" s="295"/>
      <c r="G11" s="295"/>
      <c r="H11" s="295"/>
      <c r="I11" s="296"/>
      <c r="J11" s="297"/>
      <c r="K11" s="297"/>
      <c r="L11" s="297"/>
      <c r="M11" s="296"/>
      <c r="N11" s="283">
        <f t="shared" si="0"/>
        <v>0</v>
      </c>
      <c r="O11" s="296"/>
      <c r="P11" s="295"/>
      <c r="R11" s="286" t="e">
        <f>P11/$P$13</f>
        <v>#DIV/0!</v>
      </c>
    </row>
    <row r="12" hidden="1" customHeight="1" spans="1:18">
      <c r="A12" s="288" t="s">
        <v>193</v>
      </c>
      <c r="B12" s="298"/>
      <c r="C12" s="298"/>
      <c r="D12" s="298"/>
      <c r="E12" s="298"/>
      <c r="F12" s="298"/>
      <c r="G12" s="298"/>
      <c r="H12" s="298"/>
      <c r="I12" s="297"/>
      <c r="J12" s="297"/>
      <c r="K12" s="297"/>
      <c r="L12" s="297"/>
      <c r="M12" s="297"/>
      <c r="N12" s="283">
        <f t="shared" si="0"/>
        <v>0</v>
      </c>
      <c r="O12" s="297"/>
      <c r="P12" s="298"/>
      <c r="Q12" s="275" t="e">
        <f>O12/O13</f>
        <v>#DIV/0!</v>
      </c>
      <c r="R12" s="298"/>
    </row>
    <row r="13" customHeight="1" spans="1:18">
      <c r="A13" s="299" t="s">
        <v>194</v>
      </c>
      <c r="B13" s="300">
        <f>SUM(B5:B12)</f>
        <v>0</v>
      </c>
      <c r="C13" s="300">
        <f t="shared" ref="C13:P13" si="2">SUM(C5:C12)</f>
        <v>0</v>
      </c>
      <c r="D13" s="300">
        <f t="shared" si="2"/>
        <v>0</v>
      </c>
      <c r="E13" s="300">
        <f t="shared" si="2"/>
        <v>0</v>
      </c>
      <c r="F13" s="300">
        <f t="shared" si="2"/>
        <v>0</v>
      </c>
      <c r="G13" s="300">
        <f t="shared" si="2"/>
        <v>0</v>
      </c>
      <c r="H13" s="300">
        <f t="shared" si="2"/>
        <v>0</v>
      </c>
      <c r="I13" s="301">
        <f t="shared" si="2"/>
        <v>0</v>
      </c>
      <c r="J13" s="301">
        <f t="shared" si="2"/>
        <v>0</v>
      </c>
      <c r="K13" s="301">
        <f t="shared" si="2"/>
        <v>0</v>
      </c>
      <c r="L13" s="301">
        <f t="shared" si="2"/>
        <v>0</v>
      </c>
      <c r="M13" s="301">
        <f t="shared" si="2"/>
        <v>0</v>
      </c>
      <c r="N13" s="301">
        <f t="shared" si="2"/>
        <v>0</v>
      </c>
      <c r="O13" s="301">
        <f t="shared" si="2"/>
        <v>0</v>
      </c>
      <c r="P13" s="301">
        <f t="shared" si="2"/>
        <v>0</v>
      </c>
      <c r="R13" s="302" t="e">
        <f>SUM(R5:R12)</f>
        <v>#DIV/0!</v>
      </c>
    </row>
    <row r="15" customHeight="1" spans="1:18">
      <c r="P15" s="303"/>
    </row>
    <row r="16" customHeight="1" spans="1:18">
      <c r="P16" s="304"/>
    </row>
  </sheetData>
  <mergeCells count="7">
    <mergeCell ref="A1:O1"/>
    <mergeCell ref="A2:D2"/>
    <mergeCell ref="B3:N3"/>
    <mergeCell ref="A3:A4"/>
    <mergeCell ref="O3:O4"/>
    <mergeCell ref="P3:P4"/>
    <mergeCell ref="R3:R4"/>
  </mergeCells>
  <hyperlinks>
    <hyperlink ref="P1" location="目录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zoomScale="80" zoomScaleNormal="80" workbookViewId="0">
      <selection activeCell="F17" sqref="F17"/>
    </sheetView>
  </sheetViews>
  <sheetFormatPr defaultColWidth="9" defaultRowHeight="20.1" customHeight="1"/>
  <cols>
    <col min="1" max="1" width="9" style="47"/>
    <col min="2" max="2" width="18.6296296296296" style="47" customWidth="1"/>
    <col min="3" max="12" width="12.7777777777778" style="233" customWidth="1"/>
    <col min="13" max="13" width="16.3888888888889" style="233" customWidth="1"/>
    <col min="14" max="14" width="12.7777777777778" style="233" customWidth="1"/>
    <col min="15" max="15" width="14.4444444444444" style="234" customWidth="1"/>
    <col min="16" max="16" width="11.7777777777778" style="47"/>
    <col min="17" max="17" width="14.5833333333333" style="47" customWidth="1"/>
    <col min="18" max="18" width="14.1111111111111" style="47"/>
    <col min="19" max="16384" width="9" style="47"/>
  </cols>
  <sheetData>
    <row r="1" customHeight="1" spans="1:17">
      <c r="A1" s="235" t="s">
        <v>195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" t="s">
        <v>19</v>
      </c>
      <c r="O1" s="236"/>
    </row>
    <row r="2" customHeight="1" spans="1:17">
      <c r="A2" s="237" t="s">
        <v>20</v>
      </c>
      <c r="B2" s="237"/>
      <c r="C2" s="237"/>
      <c r="D2" s="237"/>
      <c r="E2" s="237"/>
      <c r="F2" s="237"/>
      <c r="G2" s="238" t="str">
        <f>目录!C3</f>
        <v>填报日期：2026-5-8</v>
      </c>
      <c r="H2" s="238"/>
      <c r="I2" s="238"/>
      <c r="J2" s="238"/>
      <c r="K2" s="239"/>
      <c r="L2" s="239"/>
      <c r="M2" s="239"/>
      <c r="N2" s="238" t="s">
        <v>22</v>
      </c>
      <c r="O2" s="240"/>
    </row>
    <row r="3" customHeight="1" spans="1:17">
      <c r="A3" s="241" t="s">
        <v>23</v>
      </c>
      <c r="B3" s="241"/>
      <c r="C3" s="241" t="s">
        <v>25</v>
      </c>
      <c r="D3" s="241" t="s">
        <v>26</v>
      </c>
      <c r="E3" s="241" t="s">
        <v>27</v>
      </c>
      <c r="F3" s="241" t="s">
        <v>28</v>
      </c>
      <c r="G3" s="241" t="s">
        <v>29</v>
      </c>
      <c r="H3" s="241" t="s">
        <v>30</v>
      </c>
      <c r="I3" s="241" t="s">
        <v>31</v>
      </c>
      <c r="J3" s="242" t="s">
        <v>32</v>
      </c>
      <c r="K3" s="242" t="s">
        <v>33</v>
      </c>
      <c r="L3" s="242" t="s">
        <v>34</v>
      </c>
      <c r="M3" s="242" t="s">
        <v>35</v>
      </c>
      <c r="N3" s="242" t="s">
        <v>36</v>
      </c>
      <c r="O3" s="243" t="s">
        <v>196</v>
      </c>
      <c r="P3" s="243" t="s">
        <v>197</v>
      </c>
      <c r="Q3" s="243" t="s">
        <v>198</v>
      </c>
    </row>
    <row r="4" ht="22" customHeight="1" spans="1:17">
      <c r="A4" s="244" t="s">
        <v>199</v>
      </c>
      <c r="B4" s="245" t="s">
        <v>200</v>
      </c>
      <c r="C4" s="246">
        <f>'保费分析-公司'!B15</f>
        <v>1.216575</v>
      </c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7">
        <f>SUM(C4:N4)</f>
        <v>1.216575</v>
      </c>
      <c r="P4" s="247">
        <v>164.896</v>
      </c>
      <c r="Q4" s="248">
        <f>O4/P4</f>
        <v>0.00737783208810402</v>
      </c>
    </row>
    <row r="5" ht="22" customHeight="1" spans="1:17">
      <c r="A5" s="249"/>
      <c r="B5" s="245" t="s">
        <v>201</v>
      </c>
      <c r="C5" s="246">
        <f>'保费分析-公司'!B16</f>
        <v>5.53326</v>
      </c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7">
        <f>SUM(C5:N5)</f>
        <v>5.53326</v>
      </c>
      <c r="P5" s="247">
        <v>436.224</v>
      </c>
      <c r="Q5" s="248">
        <f>O5/P5</f>
        <v>0.0126844465228873</v>
      </c>
    </row>
    <row r="6" ht="22" customHeight="1" spans="1:17">
      <c r="A6" s="250"/>
      <c r="B6" s="245" t="s">
        <v>73</v>
      </c>
      <c r="C6" s="246">
        <f>'保费分析-公司'!B13</f>
        <v>7.11</v>
      </c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7">
        <f>SUM(C6:N6)</f>
        <v>7.11</v>
      </c>
      <c r="P6" s="247">
        <v>640</v>
      </c>
      <c r="Q6" s="248">
        <f>O6/P6</f>
        <v>0.011109375</v>
      </c>
    </row>
    <row r="7" ht="22" customHeight="1" spans="1:17">
      <c r="A7" s="251" t="s">
        <v>202</v>
      </c>
      <c r="B7" s="251"/>
      <c r="C7" s="252">
        <f>C8+C13+C18</f>
        <v>32.620633</v>
      </c>
      <c r="D7" s="252">
        <f t="shared" ref="D7:N7" si="0">D8+D13+D18</f>
        <v>19.682364</v>
      </c>
      <c r="E7" s="252">
        <f t="shared" si="0"/>
        <v>29.933562</v>
      </c>
      <c r="F7" s="252">
        <f t="shared" si="0"/>
        <v>23.451862</v>
      </c>
      <c r="G7" s="252">
        <f t="shared" si="0"/>
        <v>0</v>
      </c>
      <c r="H7" s="252">
        <f t="shared" si="0"/>
        <v>0</v>
      </c>
      <c r="I7" s="252">
        <f t="shared" si="0"/>
        <v>0</v>
      </c>
      <c r="J7" s="252">
        <f t="shared" si="0"/>
        <v>0</v>
      </c>
      <c r="K7" s="252">
        <f t="shared" si="0"/>
        <v>0</v>
      </c>
      <c r="L7" s="252">
        <f t="shared" si="0"/>
        <v>0</v>
      </c>
      <c r="M7" s="252">
        <f t="shared" si="0"/>
        <v>0</v>
      </c>
      <c r="N7" s="252">
        <f t="shared" si="0"/>
        <v>0</v>
      </c>
      <c r="O7" s="253">
        <f>O8+O18</f>
        <v>89.4948962075472</v>
      </c>
      <c r="P7" s="247">
        <v>654.52</v>
      </c>
      <c r="Q7" s="248">
        <f>O7/P7</f>
        <v>0.136733631069405</v>
      </c>
    </row>
    <row r="8" ht="22" customHeight="1" spans="1:17">
      <c r="A8" s="254" t="s">
        <v>203</v>
      </c>
      <c r="B8" s="255"/>
      <c r="C8" s="252">
        <f>C9+C10-C11</f>
        <v>2.691245</v>
      </c>
      <c r="D8" s="252">
        <f>D9+D10-D11</f>
        <v>0.461679</v>
      </c>
      <c r="E8" s="252">
        <f t="shared" ref="D8:O8" si="1">E9+E10-E11</f>
        <v>0.142642</v>
      </c>
      <c r="F8" s="256">
        <f t="shared" si="1"/>
        <v>0.040415</v>
      </c>
      <c r="G8" s="256">
        <f t="shared" si="1"/>
        <v>0</v>
      </c>
      <c r="H8" s="256">
        <f t="shared" si="1"/>
        <v>0</v>
      </c>
      <c r="I8" s="256">
        <f t="shared" si="1"/>
        <v>0</v>
      </c>
      <c r="J8" s="256">
        <f t="shared" si="1"/>
        <v>0</v>
      </c>
      <c r="K8" s="256">
        <f t="shared" si="1"/>
        <v>0</v>
      </c>
      <c r="L8" s="256">
        <f t="shared" si="1"/>
        <v>0</v>
      </c>
      <c r="M8" s="256">
        <f t="shared" si="1"/>
        <v>0</v>
      </c>
      <c r="N8" s="256">
        <f t="shared" si="1"/>
        <v>0</v>
      </c>
      <c r="O8" s="253">
        <f t="shared" si="1"/>
        <v>3.335981</v>
      </c>
      <c r="P8" s="247">
        <v>304.7192512</v>
      </c>
      <c r="Q8" s="248">
        <f>O8/P8</f>
        <v>0.0109477198662793</v>
      </c>
    </row>
    <row r="9" ht="22" customHeight="1" spans="1:17">
      <c r="A9" s="257" t="s">
        <v>204</v>
      </c>
      <c r="B9" s="258" t="s">
        <v>205</v>
      </c>
      <c r="C9" s="259"/>
      <c r="D9" s="259">
        <v>3.152924</v>
      </c>
      <c r="E9" s="259">
        <v>0.142642</v>
      </c>
      <c r="F9" s="260">
        <v>0.040415</v>
      </c>
      <c r="G9" s="260"/>
      <c r="H9" s="261"/>
      <c r="I9" s="261"/>
      <c r="J9" s="261"/>
      <c r="K9" s="261"/>
      <c r="L9" s="261"/>
      <c r="M9" s="262"/>
      <c r="N9" s="261"/>
      <c r="O9" s="263">
        <f>SUM(C9:N9)</f>
        <v>3.335981</v>
      </c>
      <c r="P9" s="247"/>
      <c r="Q9" s="248"/>
    </row>
    <row r="10" ht="22" customHeight="1" spans="1:17">
      <c r="A10" s="257"/>
      <c r="B10" s="245" t="s">
        <v>206</v>
      </c>
      <c r="C10" s="246">
        <v>2.691245</v>
      </c>
      <c r="D10" s="246"/>
      <c r="E10" s="246"/>
      <c r="F10" s="246"/>
      <c r="G10" s="246"/>
      <c r="H10" s="246"/>
      <c r="I10" s="246"/>
      <c r="J10" s="246"/>
      <c r="K10" s="264"/>
      <c r="L10" s="265"/>
      <c r="M10" s="264"/>
      <c r="N10" s="264"/>
      <c r="O10" s="266">
        <f t="shared" ref="O10:O11" si="2">SUM(C10:N10)</f>
        <v>2.691245</v>
      </c>
      <c r="P10" s="247"/>
      <c r="Q10" s="248"/>
    </row>
    <row r="11" ht="22" customHeight="1" spans="1:17">
      <c r="A11" s="257"/>
      <c r="B11" s="245" t="s">
        <v>207</v>
      </c>
      <c r="C11" s="267"/>
      <c r="D11" s="246">
        <v>2.691245</v>
      </c>
      <c r="E11" s="246"/>
      <c r="F11" s="246"/>
      <c r="G11" s="246"/>
      <c r="H11" s="246"/>
      <c r="I11" s="246"/>
      <c r="J11" s="246"/>
      <c r="K11" s="264"/>
      <c r="L11" s="264"/>
      <c r="M11" s="265"/>
      <c r="N11" s="264"/>
      <c r="O11" s="266">
        <f t="shared" si="2"/>
        <v>2.691245</v>
      </c>
      <c r="P11" s="247"/>
      <c r="Q11" s="248"/>
    </row>
    <row r="12" ht="22" customHeight="1" spans="1:17">
      <c r="A12" s="257"/>
      <c r="B12" s="268" t="s">
        <v>208</v>
      </c>
      <c r="C12" s="246">
        <f>C9-C11</f>
        <v>0</v>
      </c>
      <c r="D12" s="246">
        <f>D9-D11</f>
        <v>0.461679</v>
      </c>
      <c r="E12" s="246">
        <f>E9-E11</f>
        <v>0.142642</v>
      </c>
      <c r="F12" s="246">
        <f>F9-F11</f>
        <v>0.040415</v>
      </c>
      <c r="G12" s="246">
        <f t="shared" ref="G12:O12" si="3">G9-G11</f>
        <v>0</v>
      </c>
      <c r="H12" s="246">
        <f t="shared" si="3"/>
        <v>0</v>
      </c>
      <c r="I12" s="246">
        <f t="shared" si="3"/>
        <v>0</v>
      </c>
      <c r="J12" s="246">
        <f t="shared" si="3"/>
        <v>0</v>
      </c>
      <c r="K12" s="246">
        <f t="shared" si="3"/>
        <v>0</v>
      </c>
      <c r="L12" s="246">
        <f t="shared" si="3"/>
        <v>0</v>
      </c>
      <c r="M12" s="246">
        <f t="shared" si="3"/>
        <v>0</v>
      </c>
      <c r="N12" s="246">
        <f t="shared" si="3"/>
        <v>0</v>
      </c>
      <c r="O12" s="247">
        <f t="shared" si="3"/>
        <v>0.644736</v>
      </c>
      <c r="P12" s="247"/>
      <c r="Q12" s="248"/>
    </row>
    <row r="13" ht="22" customHeight="1" spans="1:17">
      <c r="A13" s="254" t="s">
        <v>209</v>
      </c>
      <c r="B13" s="255"/>
      <c r="C13" s="252">
        <f>C14+C15-C16</f>
        <v>1.542017</v>
      </c>
      <c r="D13" s="252">
        <f>D14+D15-D16</f>
        <v>3.18202679245283</v>
      </c>
      <c r="E13" s="252">
        <f t="shared" ref="D13:O13" si="4">E14+E15-E16</f>
        <v>7.051776</v>
      </c>
      <c r="F13" s="252">
        <f t="shared" si="4"/>
        <v>4.417705</v>
      </c>
      <c r="G13" s="252">
        <f t="shared" si="4"/>
        <v>0</v>
      </c>
      <c r="H13" s="252">
        <f t="shared" si="4"/>
        <v>0</v>
      </c>
      <c r="I13" s="252">
        <f t="shared" si="4"/>
        <v>0</v>
      </c>
      <c r="J13" s="252">
        <f t="shared" si="4"/>
        <v>0</v>
      </c>
      <c r="K13" s="252">
        <f t="shared" si="4"/>
        <v>0</v>
      </c>
      <c r="L13" s="252">
        <f t="shared" si="4"/>
        <v>0</v>
      </c>
      <c r="M13" s="252">
        <f t="shared" si="4"/>
        <v>0</v>
      </c>
      <c r="N13" s="252">
        <f t="shared" si="4"/>
        <v>0</v>
      </c>
      <c r="O13" s="252">
        <f t="shared" si="4"/>
        <v>16.1935247924528</v>
      </c>
      <c r="P13" s="247">
        <v>17.7290043393396</v>
      </c>
      <c r="Q13" s="248">
        <f>O13/P13</f>
        <v>0.913391665008529</v>
      </c>
    </row>
    <row r="14" ht="22" customHeight="1" spans="1:17">
      <c r="A14" s="244" t="s">
        <v>210</v>
      </c>
      <c r="B14" s="269" t="s">
        <v>205</v>
      </c>
      <c r="C14" s="246">
        <f>ROUND(7013.68/10000/1.06,6)</f>
        <v>0.661668</v>
      </c>
      <c r="D14" s="246">
        <f>D31-D9</f>
        <v>2.39551279245283</v>
      </c>
      <c r="E14" s="246">
        <f>ROUND(82326.88/10000/1.06,6)</f>
        <v>7.766687</v>
      </c>
      <c r="F14" s="246">
        <f>ROUND(54171.09/10000/1.06,6)</f>
        <v>5.11048</v>
      </c>
      <c r="G14" s="246"/>
      <c r="H14" s="246"/>
      <c r="I14" s="246"/>
      <c r="J14" s="246"/>
      <c r="K14" s="246"/>
      <c r="L14" s="246"/>
      <c r="M14" s="246"/>
      <c r="N14" s="267"/>
      <c r="O14" s="263">
        <f t="shared" ref="O14:O21" si="5">SUM(C14:N14)</f>
        <v>15.9343477924528</v>
      </c>
      <c r="P14" s="247"/>
      <c r="Q14" s="248"/>
    </row>
    <row r="15" ht="22" customHeight="1" spans="1:17">
      <c r="A15" s="249"/>
      <c r="B15" s="269" t="s">
        <v>206</v>
      </c>
      <c r="C15" s="246">
        <v>1.031977</v>
      </c>
      <c r="D15" s="246">
        <v>1.818491</v>
      </c>
      <c r="E15" s="246">
        <v>1.10358</v>
      </c>
      <c r="F15" s="246">
        <v>0.410805</v>
      </c>
      <c r="G15" s="246"/>
      <c r="H15" s="246"/>
      <c r="I15" s="246"/>
      <c r="J15" s="246"/>
      <c r="K15" s="246"/>
      <c r="L15" s="246"/>
      <c r="M15" s="246"/>
      <c r="N15" s="267"/>
      <c r="O15" s="263">
        <f t="shared" si="5"/>
        <v>4.364853</v>
      </c>
      <c r="P15" s="247"/>
      <c r="Q15" s="248"/>
    </row>
    <row r="16" ht="22" customHeight="1" spans="1:17">
      <c r="A16" s="249"/>
      <c r="B16" s="269" t="s">
        <v>207</v>
      </c>
      <c r="C16" s="269">
        <v>0.151628</v>
      </c>
      <c r="D16" s="246">
        <v>1.031977</v>
      </c>
      <c r="E16" s="246">
        <v>1.818491</v>
      </c>
      <c r="F16" s="246">
        <v>1.10358</v>
      </c>
      <c r="G16" s="246"/>
      <c r="H16" s="246"/>
      <c r="I16" s="246"/>
      <c r="J16" s="246"/>
      <c r="K16" s="246"/>
      <c r="L16" s="246"/>
      <c r="M16" s="246"/>
      <c r="N16" s="267"/>
      <c r="O16" s="247">
        <f t="shared" si="5"/>
        <v>4.105676</v>
      </c>
      <c r="P16" s="247"/>
      <c r="Q16" s="248"/>
    </row>
    <row r="17" ht="22" customHeight="1" spans="1:17">
      <c r="A17" s="249"/>
      <c r="B17" s="269" t="s">
        <v>208</v>
      </c>
      <c r="C17" s="246">
        <f>C14-C16</f>
        <v>0.51004</v>
      </c>
      <c r="D17" s="246">
        <f t="shared" ref="D17:N17" si="6">D14-D16</f>
        <v>1.36353579245283</v>
      </c>
      <c r="E17" s="246">
        <f t="shared" si="6"/>
        <v>5.948196</v>
      </c>
      <c r="F17" s="246">
        <f t="shared" si="6"/>
        <v>4.0069</v>
      </c>
      <c r="G17" s="246">
        <f t="shared" si="6"/>
        <v>0</v>
      </c>
      <c r="H17" s="246">
        <f t="shared" si="6"/>
        <v>0</v>
      </c>
      <c r="I17" s="246">
        <f t="shared" si="6"/>
        <v>0</v>
      </c>
      <c r="J17" s="246">
        <f t="shared" si="6"/>
        <v>0</v>
      </c>
      <c r="K17" s="246">
        <f t="shared" si="6"/>
        <v>0</v>
      </c>
      <c r="L17" s="246">
        <f t="shared" si="6"/>
        <v>0</v>
      </c>
      <c r="M17" s="246">
        <f t="shared" si="6"/>
        <v>0</v>
      </c>
      <c r="N17" s="246">
        <f t="shared" si="6"/>
        <v>0</v>
      </c>
      <c r="O17" s="247">
        <f t="shared" si="5"/>
        <v>11.8286717924528</v>
      </c>
      <c r="P17" s="247"/>
      <c r="Q17" s="248"/>
    </row>
    <row r="18" ht="22" customHeight="1" spans="1:17">
      <c r="A18" s="254" t="s">
        <v>211</v>
      </c>
      <c r="B18" s="255"/>
      <c r="C18" s="252">
        <f>C19+C20-C21-C23</f>
        <v>28.387371</v>
      </c>
      <c r="D18" s="252">
        <f>D19+D20-D21</f>
        <v>16.0386582075472</v>
      </c>
      <c r="E18" s="252">
        <f>E19+E20-E21</f>
        <v>22.739144</v>
      </c>
      <c r="F18" s="252">
        <f>F19+F20-F21</f>
        <v>18.993742</v>
      </c>
      <c r="G18" s="256">
        <f t="shared" ref="D18:I18" si="7">G19+G20-G21</f>
        <v>0</v>
      </c>
      <c r="H18" s="256">
        <f t="shared" si="7"/>
        <v>0</v>
      </c>
      <c r="I18" s="256">
        <f t="shared" si="7"/>
        <v>0</v>
      </c>
      <c r="J18" s="256">
        <f t="shared" ref="I18:N18" si="8">J19+J20-J21</f>
        <v>0</v>
      </c>
      <c r="K18" s="256">
        <f t="shared" si="8"/>
        <v>0</v>
      </c>
      <c r="L18" s="256">
        <f t="shared" si="8"/>
        <v>0</v>
      </c>
      <c r="M18" s="256">
        <f t="shared" si="8"/>
        <v>0</v>
      </c>
      <c r="N18" s="256">
        <f t="shared" si="8"/>
        <v>0</v>
      </c>
      <c r="O18" s="253">
        <f t="shared" si="5"/>
        <v>86.1589152075472</v>
      </c>
      <c r="P18" s="247">
        <v>290.857058154717</v>
      </c>
      <c r="Q18" s="248">
        <f>O18/P18</f>
        <v>0.296224254464254</v>
      </c>
    </row>
    <row r="19" ht="22" customHeight="1" spans="1:17">
      <c r="A19" s="257" t="s">
        <v>210</v>
      </c>
      <c r="B19" s="269" t="s">
        <v>205</v>
      </c>
      <c r="C19" s="269">
        <v>33.264408</v>
      </c>
      <c r="D19" s="269">
        <f>31.865909-D14</f>
        <v>29.4703962075472</v>
      </c>
      <c r="E19" s="267">
        <f>23.359106-E14</f>
        <v>15.592419</v>
      </c>
      <c r="F19" s="267">
        <f>29.565707-F14</f>
        <v>24.455227</v>
      </c>
      <c r="G19" s="269"/>
      <c r="H19" s="269"/>
      <c r="I19" s="269"/>
      <c r="J19" s="267"/>
      <c r="K19" s="269"/>
      <c r="L19" s="267"/>
      <c r="M19" s="269"/>
      <c r="N19" s="267"/>
      <c r="O19" s="267">
        <f t="shared" si="5"/>
        <v>102.782450207547</v>
      </c>
      <c r="P19" s="247"/>
      <c r="Q19" s="248"/>
    </row>
    <row r="20" ht="22" customHeight="1" spans="1:17">
      <c r="A20" s="257"/>
      <c r="B20" s="269" t="s">
        <v>206</v>
      </c>
      <c r="C20" s="269">
        <v>26.244476</v>
      </c>
      <c r="D20" s="269">
        <v>12.812738</v>
      </c>
      <c r="E20" s="269">
        <v>19.959463</v>
      </c>
      <c r="F20" s="269">
        <v>14.497978</v>
      </c>
      <c r="G20" s="269"/>
      <c r="H20" s="269"/>
      <c r="I20" s="269"/>
      <c r="J20" s="269"/>
      <c r="K20" s="269"/>
      <c r="L20" s="269"/>
      <c r="M20" s="269"/>
      <c r="N20" s="267"/>
      <c r="O20" s="267">
        <f t="shared" si="5"/>
        <v>73.514655</v>
      </c>
      <c r="P20" s="247"/>
      <c r="Q20" s="248"/>
    </row>
    <row r="21" ht="22" customHeight="1" spans="1:17">
      <c r="A21" s="257"/>
      <c r="B21" s="269" t="s">
        <v>207</v>
      </c>
      <c r="C21" s="269">
        <v>31.121513</v>
      </c>
      <c r="D21" s="269">
        <v>26.244476</v>
      </c>
      <c r="E21" s="269">
        <v>12.812738</v>
      </c>
      <c r="F21" s="269">
        <v>19.959463</v>
      </c>
      <c r="G21" s="269"/>
      <c r="H21" s="269"/>
      <c r="I21" s="269"/>
      <c r="J21" s="269"/>
      <c r="K21" s="269"/>
      <c r="L21" s="269"/>
      <c r="M21" s="269"/>
      <c r="N21" s="269"/>
      <c r="O21" s="269">
        <f t="shared" si="5"/>
        <v>90.13819</v>
      </c>
      <c r="P21" s="247"/>
      <c r="Q21" s="248"/>
    </row>
    <row r="22" ht="22" customHeight="1" spans="1:17">
      <c r="A22" s="257"/>
      <c r="B22" s="269" t="s">
        <v>208</v>
      </c>
      <c r="C22" s="269">
        <f>C19-C21</f>
        <v>2.142895</v>
      </c>
      <c r="D22" s="269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>
        <f>O19-O21</f>
        <v>12.6442602075472</v>
      </c>
      <c r="P22" s="247"/>
      <c r="Q22" s="248"/>
    </row>
    <row r="23" ht="30" customHeight="1" spans="1:17">
      <c r="A23" s="257"/>
      <c r="B23" s="269" t="s">
        <v>212</v>
      </c>
      <c r="C23" s="269"/>
      <c r="D23" s="269"/>
      <c r="E23" s="269">
        <v>1.741393</v>
      </c>
      <c r="F23" s="270"/>
      <c r="G23" s="269"/>
      <c r="H23" s="269"/>
      <c r="I23" s="269"/>
      <c r="J23" s="269"/>
      <c r="K23" s="269"/>
      <c r="L23" s="269"/>
      <c r="M23" s="269"/>
      <c r="N23" s="269"/>
      <c r="O23" s="269">
        <f>SUM(C23:N23)</f>
        <v>1.741393</v>
      </c>
      <c r="P23" s="247"/>
      <c r="Q23" s="248"/>
    </row>
    <row r="24" ht="30" customHeight="1"/>
    <row r="25" customHeight="1" spans="1:17">
      <c r="D25" s="233">
        <f>D19*0.06*0.12</f>
        <v>0.21218685269434</v>
      </c>
      <c r="E25" s="233">
        <f>E14*0.06*0.12</f>
        <v>0.0559201464</v>
      </c>
      <c r="F25" s="233">
        <f t="shared" ref="E25:L25" si="9">F14*0.06*0.12</f>
        <v>0.036795456</v>
      </c>
      <c r="G25" s="233">
        <f t="shared" si="9"/>
        <v>0</v>
      </c>
      <c r="H25" s="233">
        <f t="shared" si="9"/>
        <v>0</v>
      </c>
      <c r="I25" s="233">
        <f t="shared" si="9"/>
        <v>0</v>
      </c>
      <c r="J25" s="233">
        <f t="shared" si="9"/>
        <v>0</v>
      </c>
      <c r="K25" s="233">
        <f t="shared" si="9"/>
        <v>0</v>
      </c>
      <c r="L25" s="233">
        <f t="shared" si="9"/>
        <v>0</v>
      </c>
      <c r="M25" s="233">
        <f>(M14+M9)*0.06*0.12</f>
        <v>0</v>
      </c>
    </row>
    <row r="27" customHeight="1" spans="1:17">
      <c r="C27" s="233">
        <v>7.128603</v>
      </c>
      <c r="D27" s="233">
        <v>8.239593</v>
      </c>
      <c r="E27" s="233">
        <v>9.61693</v>
      </c>
      <c r="F27" s="233">
        <v>9.162125</v>
      </c>
      <c r="G27" s="233">
        <v>1.748176</v>
      </c>
      <c r="M27" s="233">
        <v>2.377074</v>
      </c>
      <c r="O27" s="234">
        <v>2.46512641509434</v>
      </c>
    </row>
    <row r="28" customHeight="1" spans="1:17">
      <c r="C28" s="233">
        <f>C27/C14</f>
        <v>10.7736855945882</v>
      </c>
      <c r="D28" s="233">
        <f>D27/D14</f>
        <v>3.43959465629205</v>
      </c>
      <c r="E28" s="233">
        <f>E27/E14</f>
        <v>1.23822808875908</v>
      </c>
      <c r="F28" s="233">
        <f>F27/F14</f>
        <v>1.79281104710321</v>
      </c>
      <c r="G28" s="233" t="e">
        <f>G27/G14</f>
        <v>#DIV/0!</v>
      </c>
      <c r="M28" s="233">
        <f>M27-M25</f>
        <v>2.377074</v>
      </c>
    </row>
    <row r="29" customHeight="1" spans="1:17">
      <c r="B29" s="47" t="s">
        <v>213</v>
      </c>
      <c r="C29" s="271">
        <f>(C14-C27)/C14</f>
        <v>-9.77368559458822</v>
      </c>
      <c r="D29" s="271">
        <f>(D14-D27)/D14</f>
        <v>-2.43959465629205</v>
      </c>
      <c r="E29" s="271">
        <f>(E14-E27)/E14</f>
        <v>-0.238228088759081</v>
      </c>
      <c r="F29" s="271">
        <f>(F14-F27)/F14</f>
        <v>-0.792811047103207</v>
      </c>
      <c r="G29" s="271" t="e">
        <f>(G14-G27)/G14</f>
        <v>#DIV/0!</v>
      </c>
    </row>
    <row r="30" customHeight="1" spans="1:17">
      <c r="J30" s="234"/>
    </row>
    <row r="31" customHeight="1" spans="1:17">
      <c r="D31" s="233">
        <f>5.881343/1.06</f>
        <v>5.54843679245283</v>
      </c>
    </row>
  </sheetData>
  <mergeCells count="13">
    <mergeCell ref="A1:M1"/>
    <mergeCell ref="N1:O1"/>
    <mergeCell ref="A2:F2"/>
    <mergeCell ref="K2:M2"/>
    <mergeCell ref="A3:B3"/>
    <mergeCell ref="A7:B7"/>
    <mergeCell ref="A8:B8"/>
    <mergeCell ref="A13:B13"/>
    <mergeCell ref="A18:B18"/>
    <mergeCell ref="A4:A6"/>
    <mergeCell ref="A9:A12"/>
    <mergeCell ref="A14:A17"/>
    <mergeCell ref="A19:A22"/>
  </mergeCells>
  <hyperlinks>
    <hyperlink ref="N1:O1" location="目录!A1" display="返回目录"/>
  </hyperlinks>
  <pageMargins left="0.699305555555556" right="0.699305555555556" top="0.75" bottom="0.75" header="0.3" footer="0.3"/>
  <pageSetup paperSize="9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zoomScale="98" zoomScaleNormal="98" topLeftCell="A7" workbookViewId="0">
      <selection activeCell="B17" sqref="B17:B27"/>
    </sheetView>
  </sheetViews>
  <sheetFormatPr defaultColWidth="9" defaultRowHeight="20.1" customHeight="1"/>
  <cols>
    <col min="1" max="1" width="38.4259259259259" customWidth="1"/>
    <col min="2" max="13" width="10.7777777777778" style="120" customWidth="1"/>
    <col min="14" max="14" width="10.6296296296296" style="120" customWidth="1"/>
    <col min="15" max="15" width="11.25" style="120" customWidth="1"/>
    <col min="16" max="16" width="13.8796296296296" customWidth="1"/>
    <col min="17" max="17" width="10.6666666666667"/>
  </cols>
  <sheetData>
    <row r="1" customHeight="1" spans="1:16">
      <c r="A1" s="144" t="s">
        <v>214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110" t="s">
        <v>19</v>
      </c>
      <c r="P1" s="2"/>
    </row>
    <row r="2" customHeight="1" spans="1:16">
      <c r="A2" s="145" t="s">
        <v>215</v>
      </c>
      <c r="G2" s="99" t="str">
        <f>目录!C3</f>
        <v>填报日期：2026-5-8</v>
      </c>
      <c r="O2" s="211" t="s">
        <v>216</v>
      </c>
      <c r="P2" s="212"/>
    </row>
    <row r="3" s="209" customFormat="1" customHeight="1" spans="1:16">
      <c r="A3" s="206" t="s">
        <v>23</v>
      </c>
      <c r="B3" s="213" t="s">
        <v>25</v>
      </c>
      <c r="C3" s="213" t="s">
        <v>26</v>
      </c>
      <c r="D3" s="213" t="s">
        <v>27</v>
      </c>
      <c r="E3" s="213" t="s">
        <v>28</v>
      </c>
      <c r="F3" s="213" t="s">
        <v>29</v>
      </c>
      <c r="G3" s="213" t="s">
        <v>30</v>
      </c>
      <c r="H3" s="213" t="s">
        <v>31</v>
      </c>
      <c r="I3" s="213" t="s">
        <v>32</v>
      </c>
      <c r="J3" s="213" t="s">
        <v>33</v>
      </c>
      <c r="K3" s="213" t="s">
        <v>34</v>
      </c>
      <c r="L3" s="213" t="s">
        <v>35</v>
      </c>
      <c r="M3" s="213" t="s">
        <v>36</v>
      </c>
      <c r="N3" s="213" t="s">
        <v>159</v>
      </c>
      <c r="O3" s="214" t="s">
        <v>217</v>
      </c>
      <c r="P3" s="206" t="s">
        <v>218</v>
      </c>
    </row>
    <row r="4" customHeight="1" spans="1:16">
      <c r="A4" s="172" t="s">
        <v>219</v>
      </c>
      <c r="B4" s="181"/>
      <c r="C4" s="181">
        <v>-0.17797</v>
      </c>
      <c r="D4" s="181"/>
      <c r="E4" s="181"/>
      <c r="F4" s="181"/>
      <c r="G4" s="181"/>
      <c r="H4" s="181"/>
      <c r="I4" s="181"/>
      <c r="J4" s="181"/>
      <c r="K4" s="181"/>
      <c r="L4" s="198"/>
      <c r="M4" s="181"/>
      <c r="N4" s="181">
        <f>SUM(B4:M4)</f>
        <v>-0.17797</v>
      </c>
      <c r="O4" s="215">
        <v>9.0410396328</v>
      </c>
      <c r="P4" s="216">
        <f>N8/O4</f>
        <v>0.68163123382874</v>
      </c>
    </row>
    <row r="5" customHeight="1" spans="1:16">
      <c r="A5" s="172" t="s">
        <v>220</v>
      </c>
      <c r="B5" s="181">
        <v>0.821917</v>
      </c>
      <c r="C5" s="181">
        <v>2.124786</v>
      </c>
      <c r="D5" s="181">
        <v>1.309293</v>
      </c>
      <c r="E5" s="181">
        <v>1.975538</v>
      </c>
      <c r="F5" s="181"/>
      <c r="G5" s="181"/>
      <c r="H5" s="181"/>
      <c r="I5" s="181"/>
      <c r="J5" s="181"/>
      <c r="K5" s="181"/>
      <c r="L5" s="198"/>
      <c r="M5" s="181"/>
      <c r="N5" s="181">
        <f>SUM(B5:M5)</f>
        <v>6.231534</v>
      </c>
      <c r="O5" s="215"/>
      <c r="P5" s="216"/>
    </row>
    <row r="6" customHeight="1" spans="1:16">
      <c r="A6" s="172" t="s">
        <v>221</v>
      </c>
      <c r="B6" s="181">
        <v>-0.62</v>
      </c>
      <c r="C6" s="181">
        <v>-1.383466</v>
      </c>
      <c r="D6" s="181">
        <v>-1.2569</v>
      </c>
      <c r="E6" s="181">
        <v>-1.557507</v>
      </c>
      <c r="F6" s="181"/>
      <c r="G6" s="181"/>
      <c r="H6" s="181"/>
      <c r="I6" s="181"/>
      <c r="J6" s="181"/>
      <c r="K6" s="181"/>
      <c r="L6" s="198"/>
      <c r="M6" s="198"/>
      <c r="N6" s="181">
        <f>SUM(B6:M6)</f>
        <v>-4.817873</v>
      </c>
      <c r="O6" s="215"/>
      <c r="P6" s="216"/>
    </row>
    <row r="7" customHeight="1" spans="1:16">
      <c r="A7" s="172" t="s">
        <v>222</v>
      </c>
      <c r="B7" s="181">
        <v>1.383466</v>
      </c>
      <c r="C7" s="181">
        <v>1.2569</v>
      </c>
      <c r="D7" s="181">
        <v>1.557507</v>
      </c>
      <c r="E7" s="181">
        <v>0.729091</v>
      </c>
      <c r="F7" s="181"/>
      <c r="G7" s="181"/>
      <c r="H7" s="181"/>
      <c r="I7" s="181"/>
      <c r="J7" s="181"/>
      <c r="K7" s="181"/>
      <c r="L7" s="198"/>
      <c r="M7" s="198"/>
      <c r="N7" s="181">
        <f>SUM(B7:M7)</f>
        <v>4.926964</v>
      </c>
      <c r="O7" s="215"/>
      <c r="P7" s="216"/>
    </row>
    <row r="8" customHeight="1" spans="1:16">
      <c r="A8" s="155" t="s">
        <v>115</v>
      </c>
      <c r="B8" s="217">
        <f>SUM(B4:B7)</f>
        <v>1.585383</v>
      </c>
      <c r="C8" s="217">
        <f>SUM(C4:C7)</f>
        <v>1.82025</v>
      </c>
      <c r="D8" s="217">
        <f t="shared" ref="C8:N8" si="0">SUM(D4:D7)</f>
        <v>1.6099</v>
      </c>
      <c r="E8" s="217">
        <f t="shared" si="0"/>
        <v>1.147122</v>
      </c>
      <c r="F8" s="217">
        <f t="shared" si="0"/>
        <v>0</v>
      </c>
      <c r="G8" s="217">
        <f t="shared" si="0"/>
        <v>0</v>
      </c>
      <c r="H8" s="217">
        <f t="shared" si="0"/>
        <v>0</v>
      </c>
      <c r="I8" s="217">
        <f t="shared" si="0"/>
        <v>0</v>
      </c>
      <c r="J8" s="217">
        <f t="shared" si="0"/>
        <v>0</v>
      </c>
      <c r="K8" s="217">
        <f t="shared" si="0"/>
        <v>0</v>
      </c>
      <c r="L8" s="217">
        <f t="shared" si="0"/>
        <v>0</v>
      </c>
      <c r="M8" s="217">
        <f t="shared" si="0"/>
        <v>0</v>
      </c>
      <c r="N8" s="217">
        <f t="shared" si="0"/>
        <v>6.162655</v>
      </c>
      <c r="O8" s="218">
        <v>27.55</v>
      </c>
      <c r="P8" s="219">
        <f>N8/O8</f>
        <v>0.223689836660617</v>
      </c>
    </row>
    <row r="9" customHeight="1" spans="1:16">
      <c r="A9" s="144" t="s">
        <v>223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</row>
    <row r="10" customHeight="1" spans="1:16">
      <c r="A10" s="206" t="s">
        <v>23</v>
      </c>
      <c r="B10" s="213" t="s">
        <v>25</v>
      </c>
      <c r="C10" s="213" t="s">
        <v>26</v>
      </c>
      <c r="D10" s="213" t="s">
        <v>27</v>
      </c>
      <c r="E10" s="213" t="s">
        <v>28</v>
      </c>
      <c r="F10" s="213" t="s">
        <v>29</v>
      </c>
      <c r="G10" s="213" t="s">
        <v>30</v>
      </c>
      <c r="H10" s="213" t="s">
        <v>31</v>
      </c>
      <c r="I10" s="213" t="s">
        <v>32</v>
      </c>
      <c r="J10" s="213" t="s">
        <v>33</v>
      </c>
      <c r="K10" s="213" t="s">
        <v>34</v>
      </c>
      <c r="L10" s="213" t="s">
        <v>35</v>
      </c>
      <c r="M10" s="213" t="s">
        <v>36</v>
      </c>
      <c r="N10" s="213" t="s">
        <v>159</v>
      </c>
      <c r="O10" s="213" t="s">
        <v>217</v>
      </c>
      <c r="P10" s="206" t="s">
        <v>218</v>
      </c>
    </row>
    <row r="11" customHeight="1" spans="1:16">
      <c r="A11" s="220" t="s">
        <v>224</v>
      </c>
      <c r="B11" s="221"/>
      <c r="C11" s="181">
        <v>1.68399</v>
      </c>
      <c r="D11" s="181"/>
      <c r="E11" s="181">
        <v>0.023462</v>
      </c>
      <c r="F11" s="181"/>
      <c r="G11" s="181"/>
      <c r="H11" s="181"/>
      <c r="I11" s="181"/>
      <c r="J11" s="181"/>
      <c r="K11" s="181"/>
      <c r="L11" s="181"/>
      <c r="M11" s="181"/>
      <c r="N11" s="217">
        <f t="shared" ref="N11:N16" si="1">SUM(B11:M11)</f>
        <v>1.707452</v>
      </c>
      <c r="O11" s="222">
        <v>196.729712</v>
      </c>
      <c r="P11" s="223">
        <f>(N11+N12+N13)/O11</f>
        <v>0.00867917704266247</v>
      </c>
    </row>
    <row r="12" customHeight="1" spans="1:16">
      <c r="A12" s="224" t="s">
        <v>225</v>
      </c>
      <c r="B12" s="181"/>
      <c r="C12" s="181">
        <v>-1.751664</v>
      </c>
      <c r="D12" s="181"/>
      <c r="E12" s="181"/>
      <c r="F12" s="181"/>
      <c r="G12" s="181"/>
      <c r="H12" s="181"/>
      <c r="I12" s="198"/>
      <c r="J12" s="181"/>
      <c r="K12" s="181"/>
      <c r="L12" s="181"/>
      <c r="M12" s="181"/>
      <c r="N12" s="217">
        <f t="shared" si="1"/>
        <v>-1.751664</v>
      </c>
      <c r="O12" s="225"/>
      <c r="P12" s="223"/>
    </row>
    <row r="13" customHeight="1" spans="1:16">
      <c r="A13" s="224" t="s">
        <v>226</v>
      </c>
      <c r="B13" s="181">
        <f>1.18318+0.568484</f>
        <v>1.751664</v>
      </c>
      <c r="C13" s="181"/>
      <c r="D13" s="181"/>
      <c r="E13" s="181"/>
      <c r="F13" s="181"/>
      <c r="G13" s="181"/>
      <c r="H13" s="181"/>
      <c r="I13" s="198"/>
      <c r="J13" s="181"/>
      <c r="K13" s="183"/>
      <c r="L13" s="181"/>
      <c r="M13" s="181"/>
      <c r="N13" s="217">
        <f t="shared" si="1"/>
        <v>1.751664</v>
      </c>
      <c r="O13" s="226"/>
      <c r="P13" s="223"/>
    </row>
    <row r="14" customHeight="1" spans="1:16">
      <c r="A14" s="227" t="s">
        <v>227</v>
      </c>
      <c r="B14" s="181">
        <v>0.1776</v>
      </c>
      <c r="C14" s="181"/>
      <c r="D14" s="181"/>
      <c r="E14" s="181"/>
      <c r="F14" s="181"/>
      <c r="G14" s="181"/>
      <c r="H14" s="181"/>
      <c r="I14" s="198"/>
      <c r="J14" s="181"/>
      <c r="K14" s="181"/>
      <c r="L14" s="181"/>
      <c r="M14" s="181"/>
      <c r="N14" s="217">
        <f t="shared" si="1"/>
        <v>0.1776</v>
      </c>
      <c r="O14" s="222">
        <v>21.43648</v>
      </c>
      <c r="P14" s="223">
        <f>N14/O14</f>
        <v>0.00828494230396035</v>
      </c>
    </row>
    <row r="15" customHeight="1" spans="1:16">
      <c r="A15" s="227" t="s">
        <v>228</v>
      </c>
      <c r="B15" s="181"/>
      <c r="C15" s="181">
        <v>-0.1776</v>
      </c>
      <c r="D15" s="181"/>
      <c r="E15" s="181">
        <v>-1.379833</v>
      </c>
      <c r="F15" s="181"/>
      <c r="G15" s="181"/>
      <c r="H15" s="181"/>
      <c r="I15" s="198"/>
      <c r="J15" s="198"/>
      <c r="K15" s="181"/>
      <c r="L15" s="181"/>
      <c r="M15" s="181"/>
      <c r="N15" s="217">
        <f t="shared" si="1"/>
        <v>-1.557433</v>
      </c>
      <c r="O15" s="225"/>
      <c r="P15" s="223"/>
    </row>
    <row r="16" customHeight="1" spans="1:16">
      <c r="A16" s="220" t="s">
        <v>229</v>
      </c>
      <c r="B16" s="221"/>
      <c r="C16" s="181">
        <v>0.1776</v>
      </c>
      <c r="D16" s="181"/>
      <c r="E16" s="181">
        <v>1.379832</v>
      </c>
      <c r="F16" s="181"/>
      <c r="G16" s="181"/>
      <c r="H16" s="181"/>
      <c r="I16" s="198"/>
      <c r="J16" s="181"/>
      <c r="K16" s="181"/>
      <c r="L16" s="181"/>
      <c r="M16" s="181"/>
      <c r="N16" s="217">
        <f t="shared" si="1"/>
        <v>1.557432</v>
      </c>
      <c r="O16" s="226"/>
      <c r="P16" s="223"/>
    </row>
    <row r="17" customHeight="1" spans="1:16">
      <c r="A17" s="172" t="s">
        <v>230</v>
      </c>
      <c r="B17" s="181">
        <f>职场成本!B9+职场成本!B17</f>
        <v>1.194006</v>
      </c>
      <c r="C17" s="181">
        <f>职场成本!C9+职场成本!C17</f>
        <v>0.978819</v>
      </c>
      <c r="D17" s="181">
        <f>职场成本!D9+职场成本!D17</f>
        <v>0.640288</v>
      </c>
      <c r="E17" s="181">
        <f>职场成本!E9+职场成本!E17</f>
        <v>0.614809</v>
      </c>
      <c r="F17" s="181">
        <f>职场成本!F9+职场成本!F17</f>
        <v>0</v>
      </c>
      <c r="G17" s="181">
        <f>职场成本!G9+职场成本!G17</f>
        <v>0</v>
      </c>
      <c r="H17" s="181">
        <f>职场成本!H9+职场成本!H17</f>
        <v>0</v>
      </c>
      <c r="I17" s="181">
        <f>职场成本!I9+职场成本!I17</f>
        <v>0</v>
      </c>
      <c r="J17" s="181">
        <f>职场成本!J9+职场成本!J17</f>
        <v>0</v>
      </c>
      <c r="K17" s="181">
        <f>职场成本!K9+职场成本!K17</f>
        <v>0</v>
      </c>
      <c r="L17" s="181">
        <f>职场成本!L9+职场成本!L17</f>
        <v>0</v>
      </c>
      <c r="M17" s="181">
        <f>职场成本!M9+职场成本!M17</f>
        <v>0</v>
      </c>
      <c r="N17" s="217">
        <f t="shared" ref="N17:N25" si="2">SUM(B17:M17)</f>
        <v>3.427922</v>
      </c>
      <c r="O17" s="228">
        <v>9.106746</v>
      </c>
      <c r="P17" s="219">
        <f t="shared" ref="P17:P26" si="3">N17/O17</f>
        <v>0.376415681298238</v>
      </c>
    </row>
    <row r="18" customHeight="1" spans="1:16">
      <c r="A18" s="172" t="s">
        <v>231</v>
      </c>
      <c r="B18" s="181">
        <f>人力成本!B20</f>
        <v>6.921186</v>
      </c>
      <c r="C18" s="181">
        <f>人力成本!C20</f>
        <v>6.621186</v>
      </c>
      <c r="D18" s="181">
        <f>人力成本!D20</f>
        <v>6.621186</v>
      </c>
      <c r="E18" s="181">
        <f>人力成本!E20</f>
        <v>6.781186</v>
      </c>
      <c r="F18" s="181">
        <f>人力成本!F20</f>
        <v>0</v>
      </c>
      <c r="G18" s="181">
        <f>人力成本!G20</f>
        <v>0</v>
      </c>
      <c r="H18" s="181">
        <f>人力成本!H20</f>
        <v>0</v>
      </c>
      <c r="I18" s="181">
        <f>人力成本!I20</f>
        <v>0</v>
      </c>
      <c r="J18" s="181">
        <f>人力成本!J20</f>
        <v>0</v>
      </c>
      <c r="K18" s="181">
        <f>人力成本!K20</f>
        <v>0</v>
      </c>
      <c r="L18" s="181">
        <f>人力成本!L20</f>
        <v>0</v>
      </c>
      <c r="M18" s="181">
        <f>人力成本!M20</f>
        <v>0</v>
      </c>
      <c r="N18" s="217">
        <f t="shared" si="2"/>
        <v>26.944744</v>
      </c>
      <c r="O18" s="228">
        <v>81.588744</v>
      </c>
      <c r="P18" s="219">
        <f t="shared" si="3"/>
        <v>0.33025075125559</v>
      </c>
    </row>
    <row r="19" customHeight="1" spans="1:16">
      <c r="A19" s="172" t="s">
        <v>232</v>
      </c>
      <c r="B19" s="181">
        <v>0.053187</v>
      </c>
      <c r="C19" s="181">
        <v>0.04527</v>
      </c>
      <c r="D19" s="181">
        <v>0.04527</v>
      </c>
      <c r="E19" s="181">
        <v>0.04527</v>
      </c>
      <c r="F19" s="181"/>
      <c r="G19" s="181"/>
      <c r="H19" s="181"/>
      <c r="I19" s="181"/>
      <c r="J19" s="181"/>
      <c r="K19" s="181"/>
      <c r="L19" s="181"/>
      <c r="M19" s="181"/>
      <c r="N19" s="217">
        <f t="shared" si="2"/>
        <v>0.188997</v>
      </c>
      <c r="O19" s="228">
        <v>0.638244</v>
      </c>
      <c r="P19" s="219">
        <f t="shared" si="3"/>
        <v>0.296120292552691</v>
      </c>
    </row>
    <row r="20" customHeight="1" spans="1:16">
      <c r="A20" s="172" t="s">
        <v>233</v>
      </c>
      <c r="B20" s="181">
        <f>B21+B22+B25+B26</f>
        <v>0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217">
        <f t="shared" si="2"/>
        <v>0</v>
      </c>
      <c r="O20" s="228">
        <v>0</v>
      </c>
      <c r="P20" s="219">
        <f t="array" ref="P20">IFERROR(N20/O20,0)</f>
        <v>0</v>
      </c>
    </row>
    <row r="21" hidden="1" customHeight="1" spans="1:16">
      <c r="A21" s="229" t="s">
        <v>234</v>
      </c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98"/>
      <c r="M21" s="181"/>
      <c r="N21" s="217">
        <f t="shared" si="2"/>
        <v>0</v>
      </c>
      <c r="O21" s="228">
        <v>0</v>
      </c>
      <c r="P21" s="219" t="e">
        <f t="shared" si="3"/>
        <v>#DIV/0!</v>
      </c>
    </row>
    <row r="22" hidden="1" customHeight="1" spans="1:16">
      <c r="A22" s="229" t="s">
        <v>235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98"/>
      <c r="M22" s="181"/>
      <c r="N22" s="230">
        <f t="shared" si="2"/>
        <v>0</v>
      </c>
      <c r="O22" s="222">
        <v>0</v>
      </c>
      <c r="P22" s="223" t="e">
        <f t="shared" si="3"/>
        <v>#DIV/0!</v>
      </c>
    </row>
    <row r="23" hidden="1" customHeight="1" spans="1:16">
      <c r="A23" s="231" t="s">
        <v>236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98"/>
      <c r="M23" s="181"/>
      <c r="N23" s="230"/>
      <c r="O23" s="225"/>
      <c r="P23" s="223"/>
    </row>
    <row r="24" hidden="1" customHeight="1" spans="1:16">
      <c r="A24" s="231" t="s">
        <v>150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98"/>
      <c r="M24" s="181"/>
      <c r="N24" s="230"/>
      <c r="O24" s="226"/>
      <c r="P24" s="223"/>
    </row>
    <row r="25" hidden="1" customHeight="1" spans="1:16">
      <c r="A25" s="229" t="s">
        <v>237</v>
      </c>
      <c r="B25" s="181"/>
      <c r="C25" s="181"/>
      <c r="E25" s="181"/>
      <c r="F25" s="181"/>
      <c r="G25" s="181"/>
      <c r="H25" s="181"/>
      <c r="I25" s="181"/>
      <c r="J25" s="181"/>
      <c r="K25" s="181"/>
      <c r="L25" s="198"/>
      <c r="M25" s="181"/>
      <c r="N25" s="217">
        <f>SUM(B25:M25)</f>
        <v>0</v>
      </c>
      <c r="O25" s="228">
        <v>0</v>
      </c>
      <c r="P25" s="219" t="e">
        <f>N25/O25</f>
        <v>#DIV/0!</v>
      </c>
    </row>
    <row r="26" hidden="1" customHeight="1" spans="1:16">
      <c r="A26" s="229" t="s">
        <v>238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98"/>
      <c r="M26" s="181"/>
      <c r="N26" s="217">
        <f>SUM(B26:M26)</f>
        <v>0</v>
      </c>
      <c r="O26" s="228">
        <v>0</v>
      </c>
      <c r="P26" s="219" t="e">
        <f>N26/O26</f>
        <v>#DIV/0!</v>
      </c>
    </row>
    <row r="27" customHeight="1" spans="1:16">
      <c r="A27" s="172" t="s">
        <v>239</v>
      </c>
      <c r="B27" s="181">
        <f>B29</f>
        <v>0.0047640096</v>
      </c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217">
        <f>SUM(B27:M27)</f>
        <v>0.0047640096</v>
      </c>
      <c r="O27" s="232">
        <v>2.32162743988324</v>
      </c>
      <c r="P27" s="219">
        <f>N27/O27</f>
        <v>0.00205201296218294</v>
      </c>
    </row>
    <row r="28" customHeight="1" spans="1:16">
      <c r="A28" s="155" t="s">
        <v>115</v>
      </c>
      <c r="B28" s="217">
        <f>B11+B12+B13+B14+B16+B17+B18+B19+B20+B26+B27</f>
        <v>10.1024070096</v>
      </c>
      <c r="C28" s="217">
        <f t="shared" ref="B28:M28" si="4">C11+C12+C13+C14+C16+C17+C18+C19+C20+C26+C27</f>
        <v>7.755201</v>
      </c>
      <c r="D28" s="217">
        <f t="shared" si="4"/>
        <v>7.306744</v>
      </c>
      <c r="E28" s="217">
        <f t="shared" si="4"/>
        <v>8.844559</v>
      </c>
      <c r="F28" s="217">
        <f t="shared" si="4"/>
        <v>0</v>
      </c>
      <c r="G28" s="217">
        <f t="shared" si="4"/>
        <v>0</v>
      </c>
      <c r="H28" s="217">
        <f t="shared" si="4"/>
        <v>0</v>
      </c>
      <c r="I28" s="217">
        <f t="shared" si="4"/>
        <v>0</v>
      </c>
      <c r="J28" s="217">
        <f t="shared" si="4"/>
        <v>0</v>
      </c>
      <c r="K28" s="217">
        <f t="shared" si="4"/>
        <v>0</v>
      </c>
      <c r="L28" s="217">
        <f t="shared" si="4"/>
        <v>0</v>
      </c>
      <c r="M28" s="217">
        <f t="shared" si="4"/>
        <v>0</v>
      </c>
      <c r="N28" s="217">
        <f>SUM(N11:N27)</f>
        <v>32.4514780096</v>
      </c>
      <c r="O28" s="232">
        <f>O11+O14+O17+O18+O19+O20+O27</f>
        <v>311.821553439883</v>
      </c>
      <c r="P28" s="219">
        <f>N28/O28</f>
        <v>0.104070670072704</v>
      </c>
    </row>
    <row r="29" customHeight="1" spans="1:16">
      <c r="A29" t="s">
        <v>240</v>
      </c>
      <c r="B29" s="120">
        <f>收入明细表!C14*0.06*0.12</f>
        <v>0.0047640096</v>
      </c>
    </row>
    <row r="30" customHeight="1" spans="1:16">
      <c r="A30" t="s">
        <v>241</v>
      </c>
      <c r="B30" s="120">
        <f>B31-B29</f>
        <v>0.2329029904</v>
      </c>
    </row>
    <row r="31" customHeight="1" spans="1:16">
      <c r="B31" s="120">
        <f>0.237667</f>
        <v>0.237667</v>
      </c>
    </row>
  </sheetData>
  <mergeCells count="13">
    <mergeCell ref="A1:N1"/>
    <mergeCell ref="O1:P1"/>
    <mergeCell ref="O2:P2"/>
    <mergeCell ref="A9:P9"/>
    <mergeCell ref="N22:N24"/>
    <mergeCell ref="O4:O7"/>
    <mergeCell ref="O11:O13"/>
    <mergeCell ref="O14:O16"/>
    <mergeCell ref="O22:O24"/>
    <mergeCell ref="P4:P7"/>
    <mergeCell ref="P11:P13"/>
    <mergeCell ref="P14:P16"/>
    <mergeCell ref="P22:P24"/>
  </mergeCells>
  <hyperlinks>
    <hyperlink ref="O1:P1" location="目录!A1" display="返回目录"/>
  </hyperlinks>
  <pageMargins left="0.699305555555556" right="0.699305555555556" top="0.75" bottom="0.75" header="0.3" footer="0.3"/>
  <pageSetup paperSize="9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workbookViewId="0">
      <selection activeCell="C5" sqref="C5"/>
    </sheetView>
  </sheetViews>
  <sheetFormatPr defaultColWidth="9" defaultRowHeight="20.1" customHeight="1" outlineLevelRow="7"/>
  <cols>
    <col min="1" max="1" width="20.25" customWidth="1"/>
    <col min="2" max="14" width="10.6296296296296" customWidth="1"/>
    <col min="15" max="15" width="14" customWidth="1"/>
    <col min="16" max="16" width="15.3796296296296" customWidth="1"/>
  </cols>
  <sheetData>
    <row r="1" customHeight="1" spans="1:16">
      <c r="A1" s="144" t="s">
        <v>242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2" t="s">
        <v>19</v>
      </c>
      <c r="P1" s="2"/>
    </row>
    <row r="2" customHeight="1" spans="1:16">
      <c r="A2" s="145" t="s">
        <v>243</v>
      </c>
      <c r="H2" s="3" t="str">
        <f>目录!C3</f>
        <v>填报日期：2026-5-8</v>
      </c>
      <c r="I2" s="3"/>
      <c r="P2" s="3" t="s">
        <v>244</v>
      </c>
    </row>
    <row r="3" customHeight="1" spans="1:16">
      <c r="A3" s="204" t="s">
        <v>23</v>
      </c>
      <c r="B3" s="204" t="s">
        <v>25</v>
      </c>
      <c r="C3" s="204" t="s">
        <v>26</v>
      </c>
      <c r="D3" s="204" t="s">
        <v>27</v>
      </c>
      <c r="E3" s="204" t="s">
        <v>28</v>
      </c>
      <c r="F3" s="204" t="s">
        <v>29</v>
      </c>
      <c r="G3" s="204" t="s">
        <v>30</v>
      </c>
      <c r="H3" s="204" t="s">
        <v>31</v>
      </c>
      <c r="I3" s="204" t="s">
        <v>32</v>
      </c>
      <c r="J3" s="204" t="s">
        <v>33</v>
      </c>
      <c r="K3" s="204" t="s">
        <v>34</v>
      </c>
      <c r="L3" s="204" t="s">
        <v>35</v>
      </c>
      <c r="M3" s="204" t="s">
        <v>36</v>
      </c>
      <c r="N3" s="204" t="s">
        <v>159</v>
      </c>
      <c r="O3" s="206" t="s">
        <v>217</v>
      </c>
      <c r="P3" s="206" t="s">
        <v>218</v>
      </c>
    </row>
    <row r="4" customHeight="1" spans="1:16">
      <c r="A4" s="172" t="s">
        <v>245</v>
      </c>
      <c r="B4" s="149"/>
      <c r="C4" s="149"/>
      <c r="D4" s="153"/>
      <c r="E4" s="149"/>
      <c r="F4" s="149"/>
      <c r="G4" s="149"/>
      <c r="H4" s="149"/>
      <c r="I4" s="149"/>
      <c r="J4" s="149"/>
      <c r="K4" s="149"/>
      <c r="L4" s="199"/>
      <c r="M4" s="149"/>
      <c r="N4" s="156">
        <f>SUM(B4:M4)</f>
        <v>0</v>
      </c>
      <c r="O4" s="173">
        <v>744.544</v>
      </c>
      <c r="P4" s="151">
        <f>(N4+N5)/O4</f>
        <v>0</v>
      </c>
    </row>
    <row r="5" customHeight="1" spans="1:16">
      <c r="A5" s="207" t="s">
        <v>246</v>
      </c>
      <c r="B5" s="149"/>
      <c r="C5" s="149"/>
      <c r="D5" s="153"/>
      <c r="E5" s="149"/>
      <c r="F5" s="149"/>
      <c r="G5" s="149"/>
      <c r="H5" s="149"/>
      <c r="I5" s="149"/>
      <c r="J5" s="149"/>
      <c r="K5" s="149"/>
      <c r="L5" s="199"/>
      <c r="M5" s="149"/>
      <c r="N5" s="156">
        <f>SUM(B5:M5)</f>
        <v>0</v>
      </c>
      <c r="O5" s="173"/>
      <c r="P5" s="151"/>
    </row>
    <row r="6" customHeight="1" spans="1:16">
      <c r="A6" s="172" t="s">
        <v>247</v>
      </c>
      <c r="B6" s="149"/>
      <c r="C6" s="149"/>
      <c r="D6" s="153"/>
      <c r="E6" s="149"/>
      <c r="F6" s="149"/>
      <c r="G6" s="149"/>
      <c r="H6" s="149"/>
      <c r="I6" s="149"/>
      <c r="J6" s="149"/>
      <c r="K6" s="149"/>
      <c r="L6" s="199"/>
      <c r="M6" s="199"/>
      <c r="N6" s="156">
        <f>SUM(B6:M6)</f>
        <v>0</v>
      </c>
      <c r="O6" s="208">
        <v>151.2</v>
      </c>
      <c r="P6" s="151">
        <f t="shared" ref="P6:P8" si="0">(N6+N7)/O6</f>
        <v>0</v>
      </c>
    </row>
    <row r="7" customHeight="1" spans="1:16">
      <c r="A7" s="207" t="s">
        <v>248</v>
      </c>
      <c r="B7" s="149"/>
      <c r="C7" s="149"/>
      <c r="D7" s="153"/>
      <c r="E7" s="149"/>
      <c r="F7" s="149"/>
      <c r="G7" s="149"/>
      <c r="H7" s="149"/>
      <c r="I7" s="149"/>
      <c r="J7" s="149"/>
      <c r="K7" s="149"/>
      <c r="L7" s="199"/>
      <c r="M7" s="199"/>
      <c r="N7" s="156">
        <f>SUM(B7:M7)</f>
        <v>0</v>
      </c>
      <c r="O7" s="173"/>
      <c r="P7" s="151"/>
    </row>
    <row r="8" customHeight="1" spans="1:16">
      <c r="A8" s="155" t="s">
        <v>115</v>
      </c>
      <c r="B8" s="156">
        <f>SUM(B4:B7)</f>
        <v>0</v>
      </c>
      <c r="C8" s="156">
        <f t="shared" ref="C8:N8" si="1">SUM(C4:C7)</f>
        <v>0</v>
      </c>
      <c r="D8" s="156">
        <f t="shared" si="1"/>
        <v>0</v>
      </c>
      <c r="E8" s="156">
        <f t="shared" si="1"/>
        <v>0</v>
      </c>
      <c r="F8" s="156">
        <f t="shared" si="1"/>
        <v>0</v>
      </c>
      <c r="G8" s="156">
        <f t="shared" si="1"/>
        <v>0</v>
      </c>
      <c r="H8" s="156">
        <f t="shared" si="1"/>
        <v>0</v>
      </c>
      <c r="I8" s="156">
        <f t="shared" si="1"/>
        <v>0</v>
      </c>
      <c r="J8" s="156">
        <f t="shared" si="1"/>
        <v>0</v>
      </c>
      <c r="K8" s="156">
        <f t="shared" si="1"/>
        <v>0</v>
      </c>
      <c r="L8" s="156">
        <f t="shared" si="1"/>
        <v>0</v>
      </c>
      <c r="M8" s="156">
        <f t="shared" si="1"/>
        <v>0</v>
      </c>
      <c r="N8" s="156">
        <f t="shared" si="1"/>
        <v>0</v>
      </c>
      <c r="O8" s="173">
        <f>SUM(O4:O6)</f>
        <v>895.744</v>
      </c>
      <c r="P8" s="151">
        <f t="shared" si="0"/>
        <v>0</v>
      </c>
    </row>
  </sheetData>
  <mergeCells count="2">
    <mergeCell ref="A1:N1"/>
    <mergeCell ref="O1:P1"/>
  </mergeCells>
  <hyperlinks>
    <hyperlink ref="O1:P1" location="目录!A1" display="返回目录"/>
  </hyperlinks>
  <pageMargins left="0.699305555555556" right="0.699305555555556" top="0.75" bottom="0.75" header="0.3" footer="0.3"/>
  <pageSetup paperSize="9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/>
  </sheetPr>
  <dimension ref="A1:H25"/>
  <sheetViews>
    <sheetView zoomScale="80" zoomScaleNormal="80" workbookViewId="0">
      <selection activeCell="G11" sqref="G11"/>
    </sheetView>
  </sheetViews>
  <sheetFormatPr defaultColWidth="9" defaultRowHeight="13.8" outlineLevelCol="7"/>
  <cols>
    <col min="1" max="1" width="8.12962962962963" customWidth="1"/>
    <col min="2" max="2" width="15.3796296296296" customWidth="1"/>
    <col min="3" max="3" width="21.3796296296296" customWidth="1"/>
    <col min="4" max="4" width="22.25" customWidth="1"/>
    <col min="5" max="5" width="14" customWidth="1"/>
    <col min="6" max="6" width="12.5" customWidth="1"/>
    <col min="7" max="7" width="15.6296296296296" customWidth="1"/>
  </cols>
  <sheetData>
    <row r="1" ht="20.1" customHeight="1" spans="1:8">
      <c r="A1" s="144" t="s">
        <v>249</v>
      </c>
      <c r="B1" s="144"/>
      <c r="C1" s="144"/>
      <c r="D1" s="144"/>
      <c r="E1" s="144"/>
      <c r="F1" s="144"/>
      <c r="G1" s="2" t="s">
        <v>19</v>
      </c>
      <c r="H1" s="200"/>
    </row>
    <row r="2" ht="25.5" customHeight="1" spans="1:8">
      <c r="A2" s="201" t="s">
        <v>122</v>
      </c>
      <c r="B2" s="201"/>
      <c r="C2" s="201"/>
      <c r="D2" s="202" t="str">
        <f>目录!C3</f>
        <v>填报日期：2026-5-8</v>
      </c>
      <c r="E2" s="202"/>
      <c r="F2" s="203"/>
      <c r="G2" s="201" t="s">
        <v>22</v>
      </c>
    </row>
    <row r="3" ht="20.1" customHeight="1" spans="1:8">
      <c r="A3" s="204" t="s">
        <v>250</v>
      </c>
      <c r="B3" s="204" t="s">
        <v>251</v>
      </c>
      <c r="C3" s="204" t="s">
        <v>252</v>
      </c>
      <c r="D3" s="204" t="s">
        <v>253</v>
      </c>
      <c r="E3" s="204" t="s">
        <v>254</v>
      </c>
      <c r="F3" s="204" t="s">
        <v>255</v>
      </c>
      <c r="G3" s="204" t="s">
        <v>256</v>
      </c>
    </row>
    <row r="4" ht="20.25" customHeight="1" spans="1:8">
      <c r="A4" s="205">
        <v>1</v>
      </c>
      <c r="B4" s="161"/>
      <c r="C4" s="161"/>
      <c r="D4" s="161"/>
      <c r="E4" s="161"/>
      <c r="F4" s="161"/>
      <c r="G4" s="161"/>
    </row>
    <row r="5" ht="20.25" customHeight="1" spans="1:8">
      <c r="A5" s="205">
        <v>2</v>
      </c>
      <c r="B5" s="161"/>
      <c r="C5" s="161"/>
      <c r="D5" s="161"/>
      <c r="E5" s="161"/>
      <c r="F5" s="161"/>
      <c r="G5" s="161"/>
    </row>
    <row r="6" ht="20.25" customHeight="1" spans="1:8">
      <c r="A6" s="205">
        <v>3</v>
      </c>
      <c r="B6" s="161"/>
      <c r="C6" s="161"/>
      <c r="D6" s="161"/>
      <c r="E6" s="161"/>
      <c r="F6" s="161"/>
      <c r="G6" s="161"/>
    </row>
    <row r="7" ht="20.25" customHeight="1" spans="1:8">
      <c r="A7" s="205">
        <v>4</v>
      </c>
      <c r="B7" s="161"/>
      <c r="C7" s="161"/>
      <c r="D7" s="161"/>
      <c r="E7" s="161"/>
      <c r="F7" s="161"/>
      <c r="G7" s="161"/>
    </row>
    <row r="8" ht="20.25" customHeight="1" spans="1:8">
      <c r="A8" s="205">
        <v>5</v>
      </c>
      <c r="B8" s="161"/>
      <c r="C8" s="161"/>
      <c r="D8" s="161"/>
      <c r="E8" s="161"/>
      <c r="F8" s="161"/>
      <c r="G8" s="161"/>
    </row>
    <row r="9" ht="20.25" customHeight="1" spans="1:8">
      <c r="A9" s="205">
        <v>6</v>
      </c>
      <c r="B9" s="161"/>
      <c r="C9" s="161"/>
      <c r="D9" s="161"/>
      <c r="E9" s="161"/>
      <c r="F9" s="161"/>
      <c r="G9" s="161"/>
    </row>
    <row r="10" ht="20.25" customHeight="1" spans="1:8">
      <c r="A10" s="205">
        <v>7</v>
      </c>
      <c r="B10" s="161"/>
      <c r="C10" s="161"/>
      <c r="D10" s="161"/>
      <c r="E10" s="161"/>
      <c r="F10" s="161"/>
      <c r="G10" s="161"/>
    </row>
    <row r="11" ht="20.25" customHeight="1" spans="1:8">
      <c r="A11" s="205">
        <v>8</v>
      </c>
      <c r="B11" s="161"/>
      <c r="C11" s="161"/>
      <c r="D11" s="161"/>
      <c r="E11" s="161"/>
      <c r="F11" s="161"/>
      <c r="G11" s="161"/>
    </row>
    <row r="12" ht="20.25" customHeight="1" spans="1:8">
      <c r="A12" s="205">
        <v>9</v>
      </c>
      <c r="B12" s="161"/>
      <c r="C12" s="161"/>
      <c r="D12" s="161"/>
      <c r="E12" s="161"/>
      <c r="F12" s="161"/>
      <c r="G12" s="161"/>
    </row>
    <row r="13" ht="20.25" customHeight="1" spans="1:8">
      <c r="A13" s="205">
        <v>10</v>
      </c>
      <c r="B13" s="161"/>
      <c r="C13" s="161"/>
      <c r="D13" s="161"/>
      <c r="E13" s="161"/>
      <c r="F13" s="161"/>
      <c r="G13" s="161"/>
    </row>
    <row r="14" ht="20.25" customHeight="1" spans="1:8">
      <c r="A14" s="205">
        <v>11</v>
      </c>
      <c r="B14" s="161"/>
      <c r="C14" s="161"/>
      <c r="D14" s="161"/>
      <c r="E14" s="161"/>
      <c r="F14" s="161"/>
      <c r="G14" s="161"/>
    </row>
    <row r="15" ht="20.25" customHeight="1" spans="1:8">
      <c r="A15" s="205">
        <v>12</v>
      </c>
      <c r="B15" s="161"/>
      <c r="C15" s="161"/>
      <c r="D15" s="161"/>
      <c r="E15" s="161"/>
      <c r="F15" s="161"/>
      <c r="G15" s="161"/>
    </row>
    <row r="16" ht="20.25" customHeight="1" spans="1:8">
      <c r="A16" s="205">
        <v>13</v>
      </c>
      <c r="B16" s="161"/>
      <c r="C16" s="161"/>
      <c r="D16" s="161"/>
      <c r="E16" s="161"/>
      <c r="F16" s="161"/>
      <c r="G16" s="161"/>
    </row>
    <row r="17" ht="20.25" customHeight="1" spans="1:7">
      <c r="A17" s="205">
        <v>14</v>
      </c>
      <c r="B17" s="161"/>
      <c r="C17" s="161"/>
      <c r="D17" s="161"/>
      <c r="E17" s="161"/>
      <c r="F17" s="161"/>
      <c r="G17" s="161"/>
    </row>
    <row r="18" ht="20.25" customHeight="1" spans="1:7">
      <c r="A18" s="205">
        <v>15</v>
      </c>
      <c r="B18" s="161"/>
      <c r="C18" s="161"/>
      <c r="D18" s="161"/>
      <c r="E18" s="161"/>
      <c r="F18" s="161"/>
      <c r="G18" s="161"/>
    </row>
    <row r="19" ht="20.25" customHeight="1" spans="1:7">
      <c r="A19" s="205">
        <v>16</v>
      </c>
      <c r="B19" s="161"/>
      <c r="C19" s="161"/>
      <c r="D19" s="161"/>
      <c r="E19" s="161"/>
      <c r="F19" s="161"/>
      <c r="G19" s="161"/>
    </row>
    <row r="20" ht="20.25" customHeight="1" spans="1:7">
      <c r="A20" s="205">
        <v>17</v>
      </c>
      <c r="B20" s="161"/>
      <c r="C20" s="161"/>
      <c r="D20" s="161"/>
      <c r="E20" s="161"/>
      <c r="F20" s="161"/>
      <c r="G20" s="161"/>
    </row>
    <row r="21" ht="20.25" customHeight="1" spans="1:7">
      <c r="A21" s="205">
        <v>18</v>
      </c>
      <c r="B21" s="161"/>
      <c r="C21" s="161"/>
      <c r="D21" s="161"/>
      <c r="E21" s="161"/>
      <c r="F21" s="161"/>
      <c r="G21" s="161"/>
    </row>
    <row r="22" ht="20.25" customHeight="1" spans="1:7">
      <c r="A22" s="205">
        <v>19</v>
      </c>
      <c r="B22" s="161"/>
      <c r="C22" s="161"/>
      <c r="D22" s="161"/>
      <c r="E22" s="161"/>
      <c r="F22" s="161"/>
      <c r="G22" s="161"/>
    </row>
    <row r="23" ht="20.25" customHeight="1" spans="1:7">
      <c r="A23" s="205">
        <v>20</v>
      </c>
      <c r="B23" s="161"/>
      <c r="C23" s="161"/>
      <c r="D23" s="161"/>
      <c r="E23" s="161"/>
      <c r="F23" s="161"/>
      <c r="G23" s="161"/>
    </row>
    <row r="24" ht="20.25" customHeight="1" spans="1:7">
      <c r="A24" s="205">
        <v>21</v>
      </c>
      <c r="B24" s="161"/>
      <c r="C24" s="161"/>
      <c r="D24" s="161"/>
      <c r="E24" s="161"/>
      <c r="F24" s="161"/>
      <c r="G24" s="161"/>
    </row>
    <row r="25" ht="20.25" customHeight="1" spans="1:7">
      <c r="A25" s="205">
        <v>22</v>
      </c>
      <c r="B25" s="161"/>
      <c r="C25" s="161"/>
      <c r="D25" s="161"/>
      <c r="E25" s="161"/>
      <c r="F25" s="161"/>
      <c r="G25" s="161"/>
    </row>
  </sheetData>
  <mergeCells count="3">
    <mergeCell ref="A1:F1"/>
    <mergeCell ref="A2:C2"/>
    <mergeCell ref="D2:E2"/>
  </mergeCells>
  <hyperlinks>
    <hyperlink ref="G1:H1" location="目录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zoomScale="80" zoomScaleNormal="80" workbookViewId="0">
      <selection activeCell="P5" sqref="P5"/>
    </sheetView>
  </sheetViews>
  <sheetFormatPr defaultColWidth="9" defaultRowHeight="20.1" customHeight="1"/>
  <cols>
    <col min="1" max="1" width="21.25" customWidth="1"/>
    <col min="2" max="4" width="10.6296296296296" customWidth="1"/>
    <col min="5" max="5" width="11.75" customWidth="1"/>
    <col min="6" max="12" width="10.6296296296296" customWidth="1"/>
    <col min="13" max="13" width="10.75" customWidth="1"/>
    <col min="14" max="14" width="10.6296296296296" customWidth="1"/>
    <col min="15" max="15" width="12.5" customWidth="1"/>
    <col min="16" max="16" width="14.5" customWidth="1"/>
  </cols>
  <sheetData>
    <row r="1" customHeight="1" spans="1:16">
      <c r="A1" s="144" t="s">
        <v>257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2" t="s">
        <v>19</v>
      </c>
      <c r="P1" s="2"/>
    </row>
    <row r="2" customHeight="1" spans="1:16">
      <c r="A2" s="145" t="s">
        <v>258</v>
      </c>
      <c r="G2" s="3" t="str">
        <f>目录!C3</f>
        <v>填报日期：2026-5-8</v>
      </c>
      <c r="H2" s="145"/>
      <c r="I2" s="194"/>
      <c r="P2" s="165" t="s">
        <v>259</v>
      </c>
    </row>
    <row r="3" ht="18.15" spans="1:16">
      <c r="A3" s="146" t="s">
        <v>23</v>
      </c>
      <c r="B3" s="146" t="s">
        <v>25</v>
      </c>
      <c r="C3" s="146" t="s">
        <v>26</v>
      </c>
      <c r="D3" s="146" t="s">
        <v>27</v>
      </c>
      <c r="E3" s="146" t="s">
        <v>28</v>
      </c>
      <c r="F3" s="146" t="s">
        <v>29</v>
      </c>
      <c r="G3" s="146" t="s">
        <v>30</v>
      </c>
      <c r="H3" s="146" t="s">
        <v>31</v>
      </c>
      <c r="I3" s="146" t="s">
        <v>32</v>
      </c>
      <c r="J3" s="146" t="s">
        <v>33</v>
      </c>
      <c r="K3" s="146" t="s">
        <v>34</v>
      </c>
      <c r="L3" s="146" t="s">
        <v>35</v>
      </c>
      <c r="M3" s="146" t="s">
        <v>36</v>
      </c>
      <c r="N3" s="146" t="s">
        <v>115</v>
      </c>
      <c r="O3" s="195" t="s">
        <v>217</v>
      </c>
      <c r="P3" s="195" t="s">
        <v>218</v>
      </c>
    </row>
    <row r="4" customHeight="1" spans="1:16">
      <c r="A4" s="172" t="s">
        <v>260</v>
      </c>
      <c r="B4" s="149">
        <f>SUM(B5:B10)</f>
        <v>0</v>
      </c>
      <c r="C4" s="149">
        <f t="shared" ref="C4:O4" si="0">SUM(C5:C10)</f>
        <v>0</v>
      </c>
      <c r="D4" s="153">
        <f t="shared" si="0"/>
        <v>0</v>
      </c>
      <c r="E4" s="149">
        <v>0</v>
      </c>
      <c r="F4" s="149">
        <f t="shared" si="0"/>
        <v>0</v>
      </c>
      <c r="G4" s="149">
        <f t="shared" si="0"/>
        <v>0</v>
      </c>
      <c r="H4" s="149">
        <f t="shared" si="0"/>
        <v>0</v>
      </c>
      <c r="I4" s="149">
        <f t="shared" si="0"/>
        <v>0</v>
      </c>
      <c r="J4" s="149">
        <f t="shared" si="0"/>
        <v>0</v>
      </c>
      <c r="K4" s="149">
        <f t="shared" si="0"/>
        <v>0</v>
      </c>
      <c r="L4" s="149">
        <f t="shared" si="0"/>
        <v>0</v>
      </c>
      <c r="M4" s="149">
        <f t="shared" si="0"/>
        <v>0</v>
      </c>
      <c r="N4" s="196">
        <f t="shared" si="0"/>
        <v>0</v>
      </c>
      <c r="O4" s="197">
        <f t="shared" si="0"/>
        <v>0</v>
      </c>
      <c r="P4" s="151">
        <f>IFERROR(N4/O4,0)</f>
        <v>0</v>
      </c>
    </row>
    <row r="5" customHeight="1" spans="1:16">
      <c r="A5" s="172" t="s">
        <v>261</v>
      </c>
      <c r="B5" s="149">
        <v>0</v>
      </c>
      <c r="C5" s="149">
        <v>0</v>
      </c>
      <c r="D5" s="153">
        <v>0</v>
      </c>
      <c r="E5" s="149">
        <v>0</v>
      </c>
      <c r="F5" s="149">
        <v>0</v>
      </c>
      <c r="G5" s="149">
        <v>0</v>
      </c>
      <c r="H5" s="149">
        <v>0</v>
      </c>
      <c r="I5" s="149">
        <v>0</v>
      </c>
      <c r="J5" s="149">
        <v>0</v>
      </c>
      <c r="K5" s="149">
        <v>0</v>
      </c>
      <c r="L5" s="149">
        <v>0</v>
      </c>
      <c r="M5" s="149">
        <v>0</v>
      </c>
      <c r="N5" s="196">
        <f>SUM(B5:M5)</f>
        <v>0</v>
      </c>
      <c r="O5" s="198">
        <v>0</v>
      </c>
      <c r="P5" s="151">
        <f t="shared" ref="P5:P17" si="1">IFERROR(N5/O5,0)</f>
        <v>0</v>
      </c>
    </row>
    <row r="6" customHeight="1" spans="1:16">
      <c r="A6" s="172" t="s">
        <v>262</v>
      </c>
      <c r="B6" s="149">
        <v>0</v>
      </c>
      <c r="C6" s="149">
        <v>0</v>
      </c>
      <c r="D6" s="153">
        <v>0</v>
      </c>
      <c r="E6" s="149">
        <v>0</v>
      </c>
      <c r="F6" s="149">
        <v>0</v>
      </c>
      <c r="G6" s="149">
        <v>0</v>
      </c>
      <c r="H6" s="149">
        <v>0</v>
      </c>
      <c r="I6" s="149">
        <v>0</v>
      </c>
      <c r="J6" s="149">
        <v>0</v>
      </c>
      <c r="K6" s="149">
        <v>0</v>
      </c>
      <c r="L6" s="149">
        <v>0</v>
      </c>
      <c r="M6" s="149">
        <v>0</v>
      </c>
      <c r="N6" s="156">
        <f t="shared" ref="N6:N16" si="2">SUM(B6:M6)</f>
        <v>0</v>
      </c>
      <c r="O6" s="197">
        <v>0</v>
      </c>
      <c r="P6" s="151">
        <f t="shared" si="1"/>
        <v>0</v>
      </c>
    </row>
    <row r="7" customHeight="1" spans="1:16">
      <c r="A7" s="172" t="s">
        <v>263</v>
      </c>
      <c r="B7" s="149">
        <v>0</v>
      </c>
      <c r="C7" s="149">
        <v>0</v>
      </c>
      <c r="D7" s="153">
        <v>0</v>
      </c>
      <c r="E7" s="149">
        <v>0</v>
      </c>
      <c r="F7" s="149">
        <v>0</v>
      </c>
      <c r="G7" s="149">
        <v>0</v>
      </c>
      <c r="H7" s="149">
        <v>0</v>
      </c>
      <c r="I7" s="149">
        <v>0</v>
      </c>
      <c r="J7" s="149">
        <v>0</v>
      </c>
      <c r="K7" s="149">
        <v>0</v>
      </c>
      <c r="L7" s="149">
        <v>0</v>
      </c>
      <c r="M7" s="149">
        <v>0</v>
      </c>
      <c r="N7" s="156">
        <f t="shared" si="2"/>
        <v>0</v>
      </c>
      <c r="O7" s="197">
        <v>0</v>
      </c>
      <c r="P7" s="151">
        <f t="shared" si="1"/>
        <v>0</v>
      </c>
    </row>
    <row r="8" customHeight="1" spans="1:16">
      <c r="A8" s="172" t="s">
        <v>264</v>
      </c>
      <c r="B8" s="149">
        <v>0</v>
      </c>
      <c r="C8" s="149">
        <v>0</v>
      </c>
      <c r="D8" s="153">
        <v>0</v>
      </c>
      <c r="E8" s="149">
        <v>0</v>
      </c>
      <c r="F8" s="149">
        <v>0</v>
      </c>
      <c r="G8" s="149">
        <v>0</v>
      </c>
      <c r="H8" s="149">
        <v>0</v>
      </c>
      <c r="I8" s="149">
        <v>0</v>
      </c>
      <c r="J8" s="149">
        <v>0</v>
      </c>
      <c r="K8" s="149">
        <v>0</v>
      </c>
      <c r="L8" s="149">
        <v>0</v>
      </c>
      <c r="M8" s="149">
        <v>0</v>
      </c>
      <c r="N8" s="156">
        <f t="shared" si="2"/>
        <v>0</v>
      </c>
      <c r="O8" s="198">
        <v>0</v>
      </c>
      <c r="P8" s="151">
        <f t="shared" si="1"/>
        <v>0</v>
      </c>
    </row>
    <row r="9" customHeight="1" spans="1:16">
      <c r="A9" s="172" t="s">
        <v>265</v>
      </c>
      <c r="B9" s="149">
        <v>0</v>
      </c>
      <c r="C9" s="149">
        <v>0</v>
      </c>
      <c r="D9" s="153">
        <v>0</v>
      </c>
      <c r="E9" s="149">
        <v>0</v>
      </c>
      <c r="F9" s="149">
        <v>0</v>
      </c>
      <c r="G9" s="149">
        <v>0</v>
      </c>
      <c r="H9" s="149">
        <v>0</v>
      </c>
      <c r="I9" s="149">
        <v>0</v>
      </c>
      <c r="J9" s="149">
        <v>0</v>
      </c>
      <c r="K9" s="149">
        <v>0</v>
      </c>
      <c r="L9" s="149">
        <v>0</v>
      </c>
      <c r="M9" s="199">
        <v>0</v>
      </c>
      <c r="N9" s="156">
        <f t="shared" si="2"/>
        <v>0</v>
      </c>
      <c r="O9" s="197">
        <v>0</v>
      </c>
      <c r="P9" s="151">
        <f t="shared" si="1"/>
        <v>0</v>
      </c>
    </row>
    <row r="10" customHeight="1" spans="1:16">
      <c r="A10" s="172" t="s">
        <v>266</v>
      </c>
      <c r="B10" s="149">
        <v>0</v>
      </c>
      <c r="C10" s="149">
        <v>0</v>
      </c>
      <c r="D10" s="153">
        <v>0</v>
      </c>
      <c r="E10" s="149">
        <v>0</v>
      </c>
      <c r="F10" s="149">
        <v>0</v>
      </c>
      <c r="G10" s="149">
        <v>0</v>
      </c>
      <c r="H10" s="149">
        <v>0</v>
      </c>
      <c r="I10" s="149">
        <v>0</v>
      </c>
      <c r="J10" s="149">
        <v>0</v>
      </c>
      <c r="K10" s="149">
        <v>0</v>
      </c>
      <c r="L10" s="149">
        <v>0</v>
      </c>
      <c r="M10" s="199">
        <v>0</v>
      </c>
      <c r="N10" s="156">
        <f t="shared" si="2"/>
        <v>0</v>
      </c>
      <c r="O10" s="197">
        <v>0</v>
      </c>
      <c r="P10" s="151">
        <f t="shared" si="1"/>
        <v>0</v>
      </c>
    </row>
    <row r="11" customHeight="1" spans="1:16">
      <c r="A11" s="172" t="s">
        <v>267</v>
      </c>
      <c r="B11" s="149">
        <v>0</v>
      </c>
      <c r="C11" s="149">
        <f t="shared" ref="B11:M11" si="3">SUM(C12:C16)</f>
        <v>0</v>
      </c>
      <c r="D11" s="153">
        <f t="shared" si="3"/>
        <v>0</v>
      </c>
      <c r="E11" s="149">
        <f t="shared" si="3"/>
        <v>0</v>
      </c>
      <c r="F11" s="149">
        <v>0</v>
      </c>
      <c r="G11" s="149">
        <v>0</v>
      </c>
      <c r="H11" s="149">
        <f t="shared" si="3"/>
        <v>0</v>
      </c>
      <c r="I11" s="149">
        <f t="shared" si="3"/>
        <v>0</v>
      </c>
      <c r="J11" s="149">
        <v>0</v>
      </c>
      <c r="K11" s="149">
        <v>0</v>
      </c>
      <c r="L11" s="149">
        <f t="shared" si="3"/>
        <v>0</v>
      </c>
      <c r="M11" s="199">
        <v>0</v>
      </c>
      <c r="N11" s="156">
        <f t="shared" si="2"/>
        <v>0</v>
      </c>
      <c r="O11" s="199">
        <f>SUM(O12:O16)</f>
        <v>0</v>
      </c>
      <c r="P11" s="151">
        <f t="shared" si="1"/>
        <v>0</v>
      </c>
    </row>
    <row r="12" customHeight="1" spans="1:16">
      <c r="A12" s="172" t="s">
        <v>268</v>
      </c>
      <c r="B12" s="149">
        <v>0</v>
      </c>
      <c r="C12" s="149">
        <v>0</v>
      </c>
      <c r="D12" s="153">
        <v>0</v>
      </c>
      <c r="E12" s="149">
        <v>0</v>
      </c>
      <c r="F12" s="149">
        <v>0</v>
      </c>
      <c r="G12" s="149">
        <v>0</v>
      </c>
      <c r="H12" s="149">
        <v>0</v>
      </c>
      <c r="I12" s="149">
        <v>0</v>
      </c>
      <c r="J12" s="149">
        <v>0</v>
      </c>
      <c r="K12" s="149">
        <v>0</v>
      </c>
      <c r="L12" s="149">
        <v>0</v>
      </c>
      <c r="M12" s="149">
        <v>0</v>
      </c>
      <c r="N12" s="156">
        <f t="shared" si="2"/>
        <v>0</v>
      </c>
      <c r="O12" s="197">
        <v>0</v>
      </c>
      <c r="P12" s="151">
        <f t="shared" si="1"/>
        <v>0</v>
      </c>
    </row>
    <row r="13" customHeight="1" spans="1:16">
      <c r="A13" s="172" t="s">
        <v>269</v>
      </c>
      <c r="B13" s="149">
        <v>0</v>
      </c>
      <c r="C13" s="149">
        <v>0</v>
      </c>
      <c r="D13" s="153">
        <v>0</v>
      </c>
      <c r="E13" s="149">
        <v>0</v>
      </c>
      <c r="F13" s="149">
        <v>0</v>
      </c>
      <c r="G13" s="149">
        <v>0</v>
      </c>
      <c r="H13" s="149">
        <v>0</v>
      </c>
      <c r="I13" s="149">
        <v>0</v>
      </c>
      <c r="J13" s="149">
        <v>0</v>
      </c>
      <c r="K13" s="149">
        <v>0</v>
      </c>
      <c r="L13" s="149">
        <v>0</v>
      </c>
      <c r="M13" s="149">
        <v>0</v>
      </c>
      <c r="N13" s="156">
        <f t="shared" si="2"/>
        <v>0</v>
      </c>
      <c r="O13" s="197">
        <v>0</v>
      </c>
      <c r="P13" s="151">
        <f t="shared" si="1"/>
        <v>0</v>
      </c>
    </row>
    <row r="14" customHeight="1" spans="1:16">
      <c r="A14" s="172" t="s">
        <v>270</v>
      </c>
      <c r="B14" s="149">
        <v>0</v>
      </c>
      <c r="C14" s="149">
        <v>0</v>
      </c>
      <c r="D14" s="153">
        <v>0</v>
      </c>
      <c r="E14" s="149">
        <v>0</v>
      </c>
      <c r="F14" s="149">
        <v>0</v>
      </c>
      <c r="G14" s="149">
        <v>0</v>
      </c>
      <c r="H14" s="149">
        <v>0</v>
      </c>
      <c r="I14" s="149">
        <v>0</v>
      </c>
      <c r="J14" s="149">
        <v>0</v>
      </c>
      <c r="K14" s="149">
        <v>0</v>
      </c>
      <c r="L14" s="149">
        <v>0</v>
      </c>
      <c r="M14" s="149">
        <v>0</v>
      </c>
      <c r="N14" s="156">
        <f t="shared" si="2"/>
        <v>0</v>
      </c>
      <c r="O14" s="197">
        <v>0</v>
      </c>
      <c r="P14" s="151">
        <f t="shared" si="1"/>
        <v>0</v>
      </c>
    </row>
    <row r="15" customHeight="1" spans="1:16">
      <c r="A15" s="172" t="s">
        <v>271</v>
      </c>
      <c r="B15" s="149">
        <v>0</v>
      </c>
      <c r="C15" s="149">
        <v>0</v>
      </c>
      <c r="D15" s="153">
        <v>0</v>
      </c>
      <c r="E15" s="149">
        <v>0</v>
      </c>
      <c r="F15" s="149">
        <v>0</v>
      </c>
      <c r="G15" s="149">
        <v>0</v>
      </c>
      <c r="H15" s="149">
        <v>0</v>
      </c>
      <c r="I15" s="149">
        <v>0</v>
      </c>
      <c r="J15" s="149">
        <v>0</v>
      </c>
      <c r="K15" s="149">
        <v>0</v>
      </c>
      <c r="L15" s="149">
        <v>0</v>
      </c>
      <c r="M15" s="149">
        <v>0</v>
      </c>
      <c r="N15" s="156">
        <f t="shared" si="2"/>
        <v>0</v>
      </c>
      <c r="O15" s="197">
        <v>0</v>
      </c>
      <c r="P15" s="151">
        <f t="shared" si="1"/>
        <v>0</v>
      </c>
    </row>
    <row r="16" customHeight="1" spans="1:16">
      <c r="A16" s="172" t="s">
        <v>272</v>
      </c>
      <c r="B16" s="149">
        <v>0</v>
      </c>
      <c r="C16" s="149">
        <v>0</v>
      </c>
      <c r="D16" s="153">
        <v>0</v>
      </c>
      <c r="E16" s="149">
        <v>0</v>
      </c>
      <c r="F16" s="149">
        <v>0</v>
      </c>
      <c r="G16" s="149">
        <v>0</v>
      </c>
      <c r="H16" s="149">
        <v>0</v>
      </c>
      <c r="I16" s="149">
        <v>0</v>
      </c>
      <c r="J16" s="149">
        <v>0</v>
      </c>
      <c r="K16" s="149">
        <v>0</v>
      </c>
      <c r="L16" s="149">
        <v>0</v>
      </c>
      <c r="M16" s="149">
        <v>0</v>
      </c>
      <c r="N16" s="156">
        <f t="shared" si="2"/>
        <v>0</v>
      </c>
      <c r="O16" s="197">
        <v>0</v>
      </c>
      <c r="P16" s="151">
        <f t="shared" si="1"/>
        <v>0</v>
      </c>
    </row>
    <row r="17" customHeight="1" spans="1:16">
      <c r="A17" s="155" t="s">
        <v>115</v>
      </c>
      <c r="B17" s="156">
        <f t="shared" ref="B17:O17" si="4">B4+B11</f>
        <v>0</v>
      </c>
      <c r="C17" s="156">
        <f t="shared" si="4"/>
        <v>0</v>
      </c>
      <c r="D17" s="156">
        <f t="shared" si="4"/>
        <v>0</v>
      </c>
      <c r="E17" s="156">
        <f t="shared" si="4"/>
        <v>0</v>
      </c>
      <c r="F17" s="156">
        <f t="shared" si="4"/>
        <v>0</v>
      </c>
      <c r="G17" s="156">
        <f t="shared" si="4"/>
        <v>0</v>
      </c>
      <c r="H17" s="156">
        <f t="shared" si="4"/>
        <v>0</v>
      </c>
      <c r="I17" s="156">
        <f t="shared" si="4"/>
        <v>0</v>
      </c>
      <c r="J17" s="156">
        <f t="shared" si="4"/>
        <v>0</v>
      </c>
      <c r="K17" s="156">
        <f t="shared" si="4"/>
        <v>0</v>
      </c>
      <c r="L17" s="156">
        <f t="shared" si="4"/>
        <v>0</v>
      </c>
      <c r="M17" s="156">
        <f t="shared" si="4"/>
        <v>0</v>
      </c>
      <c r="N17" s="156">
        <f t="shared" si="4"/>
        <v>0</v>
      </c>
      <c r="O17" s="197">
        <f t="shared" si="4"/>
        <v>0</v>
      </c>
      <c r="P17" s="151">
        <f t="shared" si="1"/>
        <v>0</v>
      </c>
    </row>
    <row r="18" customHeight="1" spans="1:16">
      <c r="N18" s="120"/>
    </row>
    <row r="19" ht="19.5" customHeight="1" spans="1:16">
      <c r="N19" s="120"/>
    </row>
  </sheetData>
  <mergeCells count="2">
    <mergeCell ref="A1:N1"/>
    <mergeCell ref="O1:P1"/>
  </mergeCells>
  <hyperlinks>
    <hyperlink ref="O1:P1" location="目录!A1" display="返回目录"/>
  </hyperlinks>
  <pageMargins left="0.699305555555556" right="0.699305555555556" top="0.75" bottom="0.75" header="0.3" footer="0.3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zoomScale="80" zoomScaleNormal="80" workbookViewId="0">
      <selection activeCell="D9" sqref="D9:E9"/>
    </sheetView>
  </sheetViews>
  <sheetFormatPr defaultColWidth="9" defaultRowHeight="20.1" customHeight="1"/>
  <cols>
    <col min="1" max="1" width="52.9166666666667" customWidth="1"/>
    <col min="2" max="2" width="10.6296296296296" customWidth="1"/>
    <col min="3" max="3" width="10.1296296296296" customWidth="1"/>
    <col min="4" max="6" width="10.6296296296296" customWidth="1"/>
    <col min="7" max="7" width="13.3333333333333" customWidth="1"/>
    <col min="8" max="8" width="10.6296296296296" customWidth="1"/>
    <col min="9" max="9" width="9.37962962962963" customWidth="1"/>
    <col min="10" max="13" width="10.6296296296296" customWidth="1"/>
    <col min="14" max="14" width="14.1296296296296" customWidth="1"/>
    <col min="15" max="15" width="12.8888888888889" hidden="1" customWidth="1"/>
  </cols>
  <sheetData>
    <row r="1" customHeight="1" spans="1:15">
      <c r="A1" s="144" t="s">
        <v>273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2" t="s">
        <v>19</v>
      </c>
      <c r="N1" s="2"/>
    </row>
    <row r="2" customHeight="1" spans="1:15">
      <c r="A2" s="145" t="s">
        <v>274</v>
      </c>
      <c r="G2" s="3" t="str">
        <f>目录!C3</f>
        <v>填报日期：2026-5-8</v>
      </c>
      <c r="N2" s="165" t="s">
        <v>216</v>
      </c>
    </row>
    <row r="3" customHeight="1" spans="1:15">
      <c r="A3" s="146" t="s">
        <v>23</v>
      </c>
      <c r="B3" s="146" t="s">
        <v>25</v>
      </c>
      <c r="C3" s="146" t="s">
        <v>26</v>
      </c>
      <c r="D3" s="146" t="s">
        <v>27</v>
      </c>
      <c r="E3" s="146" t="s">
        <v>28</v>
      </c>
      <c r="F3" s="146" t="s">
        <v>29</v>
      </c>
      <c r="G3" s="146" t="s">
        <v>30</v>
      </c>
      <c r="H3" s="146" t="s">
        <v>31</v>
      </c>
      <c r="I3" s="146" t="s">
        <v>32</v>
      </c>
      <c r="J3" s="146" t="s">
        <v>33</v>
      </c>
      <c r="K3" s="146" t="s">
        <v>34</v>
      </c>
      <c r="L3" s="146" t="s">
        <v>35</v>
      </c>
      <c r="M3" s="146" t="s">
        <v>36</v>
      </c>
      <c r="N3" s="146" t="s">
        <v>159</v>
      </c>
      <c r="O3" s="166"/>
    </row>
    <row r="4" customHeight="1" spans="1:15">
      <c r="A4" s="146" t="s">
        <v>275</v>
      </c>
      <c r="B4" s="167">
        <f>B5+B9+B17</f>
        <v>4.103085</v>
      </c>
      <c r="C4" s="167">
        <f t="shared" ref="C4:M4" si="0">C5+C9+C17</f>
        <v>3.606612</v>
      </c>
      <c r="D4" s="167">
        <f t="shared" si="0"/>
        <v>3.636947</v>
      </c>
      <c r="E4" s="167">
        <f t="shared" si="0"/>
        <v>3.391893</v>
      </c>
      <c r="F4" s="167">
        <f t="shared" si="0"/>
        <v>0</v>
      </c>
      <c r="G4" s="167">
        <f t="shared" si="0"/>
        <v>0</v>
      </c>
      <c r="H4" s="167">
        <f t="shared" si="0"/>
        <v>0</v>
      </c>
      <c r="I4" s="167">
        <f t="shared" si="0"/>
        <v>0</v>
      </c>
      <c r="J4" s="167">
        <f t="shared" si="0"/>
        <v>0</v>
      </c>
      <c r="K4" s="167">
        <f t="shared" si="0"/>
        <v>0</v>
      </c>
      <c r="L4" s="167">
        <f t="shared" si="0"/>
        <v>0</v>
      </c>
      <c r="M4" s="167">
        <f t="shared" si="0"/>
        <v>0</v>
      </c>
      <c r="N4" s="168">
        <f>SUM(B4:M4)</f>
        <v>14.738537</v>
      </c>
      <c r="O4" s="166"/>
    </row>
    <row r="5" customHeight="1" spans="1:15">
      <c r="A5" s="169" t="s">
        <v>276</v>
      </c>
      <c r="B5" s="170">
        <f t="shared" ref="B5:L5" si="1">B6+B7+B8</f>
        <v>2.909079</v>
      </c>
      <c r="C5" s="170">
        <f t="shared" si="1"/>
        <v>2.627793</v>
      </c>
      <c r="D5" s="170">
        <f t="shared" si="1"/>
        <v>2.996659</v>
      </c>
      <c r="E5" s="170">
        <f t="shared" si="1"/>
        <v>2.777084</v>
      </c>
      <c r="F5" s="170">
        <f t="shared" si="1"/>
        <v>0</v>
      </c>
      <c r="G5" s="170">
        <f t="shared" si="1"/>
        <v>0</v>
      </c>
      <c r="H5" s="170">
        <f t="shared" si="1"/>
        <v>0</v>
      </c>
      <c r="I5" s="170">
        <f t="shared" si="1"/>
        <v>0</v>
      </c>
      <c r="J5" s="170">
        <f t="shared" si="1"/>
        <v>0</v>
      </c>
      <c r="K5" s="170">
        <f t="shared" si="1"/>
        <v>0</v>
      </c>
      <c r="L5" s="170">
        <f t="shared" si="1"/>
        <v>0</v>
      </c>
      <c r="M5" s="170">
        <f>M6++M7+M8</f>
        <v>0</v>
      </c>
      <c r="N5" s="170">
        <f>N6+N7+N8</f>
        <v>11.310615</v>
      </c>
      <c r="O5" s="171">
        <v>0.3441</v>
      </c>
    </row>
    <row r="6" customHeight="1" spans="1:15">
      <c r="A6" s="172" t="s">
        <v>277</v>
      </c>
      <c r="B6" s="173">
        <v>2.829976</v>
      </c>
      <c r="C6" s="173">
        <v>2.556107</v>
      </c>
      <c r="D6" s="173">
        <v>2.829976</v>
      </c>
      <c r="E6" s="173">
        <v>2.738686</v>
      </c>
      <c r="F6" s="173"/>
      <c r="G6" s="174"/>
      <c r="H6" s="174"/>
      <c r="I6" s="174"/>
      <c r="J6" s="174"/>
      <c r="K6" s="174"/>
      <c r="L6" s="174"/>
      <c r="M6" s="173"/>
      <c r="N6" s="175">
        <f>SUM(B6:M6)</f>
        <v>10.954745</v>
      </c>
      <c r="O6" s="171">
        <f>1-O5</f>
        <v>0.6559</v>
      </c>
    </row>
    <row r="7" customHeight="1" spans="1:15">
      <c r="A7" s="172" t="s">
        <v>278</v>
      </c>
      <c r="B7" s="173"/>
      <c r="C7" s="173"/>
      <c r="D7" s="173">
        <v>0.1</v>
      </c>
      <c r="E7" s="173"/>
      <c r="F7" s="173"/>
      <c r="G7" s="173"/>
      <c r="H7" s="173"/>
      <c r="I7" s="173"/>
      <c r="J7" s="173"/>
      <c r="K7" s="173"/>
      <c r="L7" s="173"/>
      <c r="M7" s="173"/>
      <c r="N7" s="175">
        <f>SUM(B7:M7)</f>
        <v>0.1</v>
      </c>
    </row>
    <row r="8" customHeight="1" spans="1:15">
      <c r="A8" s="172" t="s">
        <v>279</v>
      </c>
      <c r="B8" s="173">
        <v>0.079103</v>
      </c>
      <c r="C8" s="173">
        <v>0.071686</v>
      </c>
      <c r="D8" s="173">
        <v>0.066683</v>
      </c>
      <c r="E8" s="173">
        <v>0.038398</v>
      </c>
      <c r="F8" s="173"/>
      <c r="G8" s="173"/>
      <c r="H8" s="173"/>
      <c r="I8" s="173"/>
      <c r="J8" s="173"/>
      <c r="K8" s="173"/>
      <c r="L8" s="173"/>
      <c r="M8" s="173"/>
      <c r="N8" s="175">
        <f>SUM(B8:M8)</f>
        <v>0.25587</v>
      </c>
    </row>
    <row r="9" s="81" customFormat="1" customHeight="1" spans="1:15">
      <c r="A9" s="176" t="s">
        <v>280</v>
      </c>
      <c r="B9" s="177">
        <f>SUM(B10:B16)</f>
        <v>0.64168</v>
      </c>
      <c r="C9" s="177">
        <f>SUM(C10:C16)</f>
        <v>0.941819</v>
      </c>
      <c r="D9" s="177">
        <f t="shared" ref="C9:N9" si="2">SUM(D10:D16)</f>
        <v>0.640288</v>
      </c>
      <c r="E9" s="177">
        <f t="shared" si="2"/>
        <v>0.614809</v>
      </c>
      <c r="F9" s="177">
        <f t="shared" si="2"/>
        <v>0</v>
      </c>
      <c r="G9" s="177">
        <f t="shared" si="2"/>
        <v>0</v>
      </c>
      <c r="H9" s="177">
        <f t="shared" si="2"/>
        <v>0</v>
      </c>
      <c r="I9" s="177">
        <f t="shared" si="2"/>
        <v>0</v>
      </c>
      <c r="J9" s="177">
        <f t="shared" si="2"/>
        <v>0</v>
      </c>
      <c r="K9" s="177">
        <f t="shared" si="2"/>
        <v>0</v>
      </c>
      <c r="L9" s="177">
        <f t="shared" si="2"/>
        <v>0</v>
      </c>
      <c r="M9" s="177">
        <f t="shared" si="2"/>
        <v>0</v>
      </c>
      <c r="N9" s="175">
        <f t="shared" si="2"/>
        <v>2.838596</v>
      </c>
    </row>
    <row r="10" s="81" customFormat="1" customHeight="1" spans="1:15">
      <c r="A10" s="176" t="s">
        <v>277</v>
      </c>
      <c r="B10" s="178">
        <v>0.627284</v>
      </c>
      <c r="C10" s="178">
        <v>0.566579</v>
      </c>
      <c r="D10" s="178">
        <v>0.627284</v>
      </c>
      <c r="E10" s="178">
        <v>0.607049</v>
      </c>
      <c r="F10" s="178"/>
      <c r="G10" s="179"/>
      <c r="H10" s="178"/>
      <c r="I10" s="178"/>
      <c r="J10" s="178"/>
      <c r="K10" s="178"/>
      <c r="L10" s="178"/>
      <c r="M10" s="178"/>
      <c r="N10" s="175">
        <f t="shared" ref="N10:N16" si="3">SUM(B10:M10)</f>
        <v>2.428196</v>
      </c>
    </row>
    <row r="11" s="81" customFormat="1" customHeight="1" spans="1:15">
      <c r="A11" s="180" t="s">
        <v>281</v>
      </c>
      <c r="B11" s="178">
        <v>0.014396</v>
      </c>
      <c r="C11" s="178">
        <v>0.011706</v>
      </c>
      <c r="D11" s="178">
        <v>0.013004</v>
      </c>
      <c r="E11" s="178">
        <v>0.00776</v>
      </c>
      <c r="F11" s="178"/>
      <c r="G11" s="179"/>
      <c r="H11" s="178"/>
      <c r="I11" s="178"/>
      <c r="J11" s="178"/>
      <c r="K11" s="178"/>
      <c r="L11" s="178"/>
      <c r="M11" s="178"/>
      <c r="N11" s="175">
        <f t="shared" si="3"/>
        <v>0.046866</v>
      </c>
    </row>
    <row r="12" s="81" customFormat="1" customHeight="1" spans="1:15">
      <c r="A12" s="180" t="s">
        <v>282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5">
        <f t="shared" si="3"/>
        <v>0</v>
      </c>
    </row>
    <row r="13" s="81" customFormat="1" customHeight="1" spans="1:15">
      <c r="A13" s="180" t="s">
        <v>283</v>
      </c>
      <c r="B13" s="178"/>
      <c r="C13" s="178">
        <v>0.086634</v>
      </c>
      <c r="D13" s="178"/>
      <c r="E13" s="178"/>
      <c r="F13" s="178"/>
      <c r="G13" s="179"/>
      <c r="H13" s="178"/>
      <c r="I13" s="178"/>
      <c r="J13" s="178"/>
      <c r="K13" s="178"/>
      <c r="L13" s="178"/>
      <c r="M13" s="178"/>
      <c r="N13" s="175">
        <f t="shared" si="3"/>
        <v>0.086634</v>
      </c>
    </row>
    <row r="14" s="81" customFormat="1" customHeight="1" spans="1:15">
      <c r="A14" s="176" t="s">
        <v>284</v>
      </c>
      <c r="B14" s="181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5">
        <f t="shared" si="3"/>
        <v>0</v>
      </c>
    </row>
    <row r="15" s="81" customFormat="1" customHeight="1" spans="1:15">
      <c r="A15" s="180" t="s">
        <v>285</v>
      </c>
      <c r="B15" s="178"/>
      <c r="C15" s="178">
        <v>0.2769</v>
      </c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5">
        <f t="shared" si="3"/>
        <v>0.2769</v>
      </c>
    </row>
    <row r="16" s="81" customFormat="1" customHeight="1" spans="1:15">
      <c r="A16" s="180" t="s">
        <v>286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5">
        <f t="shared" si="3"/>
        <v>0</v>
      </c>
    </row>
    <row r="17" s="81" customFormat="1" customHeight="1" spans="1:14">
      <c r="A17" s="176" t="s">
        <v>287</v>
      </c>
      <c r="B17" s="182">
        <f t="shared" ref="B17:N17" si="4">SUM(B18:B24)</f>
        <v>0.552326</v>
      </c>
      <c r="C17" s="182">
        <f t="shared" si="4"/>
        <v>0.037</v>
      </c>
      <c r="D17" s="182">
        <f t="shared" si="4"/>
        <v>0</v>
      </c>
      <c r="E17" s="182">
        <f t="shared" si="4"/>
        <v>0</v>
      </c>
      <c r="F17" s="182">
        <f t="shared" si="4"/>
        <v>0</v>
      </c>
      <c r="G17" s="182">
        <f t="shared" si="4"/>
        <v>0</v>
      </c>
      <c r="H17" s="182">
        <f t="shared" si="4"/>
        <v>0</v>
      </c>
      <c r="I17" s="182">
        <f t="shared" si="4"/>
        <v>0</v>
      </c>
      <c r="J17" s="182">
        <f t="shared" si="4"/>
        <v>0</v>
      </c>
      <c r="K17" s="182">
        <f t="shared" si="4"/>
        <v>0</v>
      </c>
      <c r="L17" s="182">
        <f t="shared" si="4"/>
        <v>0</v>
      </c>
      <c r="M17" s="182">
        <f t="shared" si="4"/>
        <v>0</v>
      </c>
      <c r="N17" s="175">
        <f t="shared" si="4"/>
        <v>0.589326</v>
      </c>
    </row>
    <row r="18" customFormat="1" customHeight="1" spans="1:14">
      <c r="A18" s="176" t="s">
        <v>277</v>
      </c>
      <c r="B18" s="181">
        <v>0.552326</v>
      </c>
      <c r="C18" s="181"/>
      <c r="D18" s="181"/>
      <c r="E18" s="181"/>
      <c r="F18" s="181"/>
      <c r="G18" s="183"/>
      <c r="H18" s="181"/>
      <c r="I18" s="181"/>
      <c r="J18" s="181"/>
      <c r="K18" s="181"/>
      <c r="L18" s="181"/>
      <c r="M18" s="181"/>
      <c r="N18" s="175">
        <f t="shared" ref="N18:N24" si="5">SUM(B18:M18)</f>
        <v>0.552326</v>
      </c>
    </row>
    <row r="19" customFormat="1" customHeight="1" spans="1:14">
      <c r="A19" s="180" t="s">
        <v>281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75">
        <f t="shared" si="5"/>
        <v>0</v>
      </c>
    </row>
    <row r="20" customFormat="1" customHeight="1" spans="1:14">
      <c r="A20" s="180" t="s">
        <v>282</v>
      </c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75">
        <f t="shared" si="5"/>
        <v>0</v>
      </c>
    </row>
    <row r="21" customFormat="1" customHeight="1" spans="1:14">
      <c r="A21" s="180" t="s">
        <v>283</v>
      </c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75">
        <f t="shared" si="5"/>
        <v>0</v>
      </c>
    </row>
    <row r="22" customHeight="1" spans="1:14">
      <c r="A22" s="184" t="s">
        <v>284</v>
      </c>
      <c r="B22" s="181"/>
      <c r="C22" s="181">
        <v>0.037</v>
      </c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75">
        <f t="shared" si="5"/>
        <v>0.037</v>
      </c>
    </row>
    <row r="23" customHeight="1" spans="1:14">
      <c r="A23" s="180" t="s">
        <v>285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75">
        <f t="shared" si="5"/>
        <v>0</v>
      </c>
    </row>
    <row r="24" customHeight="1" spans="1:14">
      <c r="A24" s="180" t="s">
        <v>286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75">
        <f t="shared" si="5"/>
        <v>0</v>
      </c>
    </row>
    <row r="28" customHeight="1" spans="1:14">
      <c r="A28" s="185" t="s">
        <v>140</v>
      </c>
      <c r="B28" s="186" t="s">
        <v>25</v>
      </c>
      <c r="C28" s="186" t="s">
        <v>26</v>
      </c>
      <c r="D28" s="186" t="s">
        <v>27</v>
      </c>
      <c r="E28" s="186" t="s">
        <v>28</v>
      </c>
      <c r="F28" s="186" t="s">
        <v>29</v>
      </c>
      <c r="G28" s="186" t="s">
        <v>30</v>
      </c>
      <c r="H28" s="186" t="s">
        <v>31</v>
      </c>
      <c r="I28" s="186" t="s">
        <v>32</v>
      </c>
      <c r="J28" s="186" t="s">
        <v>33</v>
      </c>
      <c r="K28" s="186" t="s">
        <v>34</v>
      </c>
      <c r="L28" s="186" t="s">
        <v>35</v>
      </c>
      <c r="M28" s="186" t="s">
        <v>36</v>
      </c>
      <c r="N28" s="186" t="s">
        <v>159</v>
      </c>
    </row>
    <row r="29" customHeight="1" spans="1:14">
      <c r="A29" s="185" t="s">
        <v>236</v>
      </c>
      <c r="B29" s="187">
        <f t="shared" ref="B29:N29" si="6">SUM(B30:B34)</f>
        <v>0.552326</v>
      </c>
      <c r="C29" s="187">
        <f t="shared" si="6"/>
        <v>0.037</v>
      </c>
      <c r="D29" s="187">
        <f t="shared" si="6"/>
        <v>0</v>
      </c>
      <c r="E29" s="187">
        <f t="shared" si="6"/>
        <v>0</v>
      </c>
      <c r="F29" s="187">
        <f t="shared" si="6"/>
        <v>0</v>
      </c>
      <c r="G29" s="187">
        <f t="shared" si="6"/>
        <v>0</v>
      </c>
      <c r="H29" s="187">
        <f t="shared" si="6"/>
        <v>0</v>
      </c>
      <c r="I29" s="187">
        <f t="shared" si="6"/>
        <v>0</v>
      </c>
      <c r="J29" s="187">
        <f t="shared" si="6"/>
        <v>0</v>
      </c>
      <c r="K29" s="187">
        <f t="shared" si="6"/>
        <v>0</v>
      </c>
      <c r="L29" s="187">
        <f t="shared" si="6"/>
        <v>0</v>
      </c>
      <c r="M29" s="187">
        <f t="shared" si="6"/>
        <v>0</v>
      </c>
      <c r="N29" s="187">
        <f t="shared" si="6"/>
        <v>0.589326</v>
      </c>
    </row>
    <row r="30" customHeight="1" spans="1:14">
      <c r="A30" s="188" t="s">
        <v>288</v>
      </c>
      <c r="B30" s="28">
        <f>B18+B19+B20</f>
        <v>0.552326</v>
      </c>
      <c r="C30" s="28">
        <f t="shared" ref="C30:M30" si="7">C18+C19+C20</f>
        <v>0</v>
      </c>
      <c r="D30" s="28">
        <f t="shared" si="7"/>
        <v>0</v>
      </c>
      <c r="E30" s="28">
        <f t="shared" si="7"/>
        <v>0</v>
      </c>
      <c r="F30" s="28">
        <f t="shared" si="7"/>
        <v>0</v>
      </c>
      <c r="G30" s="28">
        <f t="shared" si="7"/>
        <v>0</v>
      </c>
      <c r="H30" s="28">
        <f t="shared" si="7"/>
        <v>0</v>
      </c>
      <c r="I30" s="28">
        <f t="shared" si="7"/>
        <v>0</v>
      </c>
      <c r="J30" s="28">
        <f t="shared" si="7"/>
        <v>0</v>
      </c>
      <c r="K30" s="28">
        <f t="shared" si="7"/>
        <v>0</v>
      </c>
      <c r="L30" s="28">
        <f t="shared" si="7"/>
        <v>0</v>
      </c>
      <c r="M30" s="28">
        <f t="shared" si="7"/>
        <v>0</v>
      </c>
      <c r="N30" s="28">
        <f t="shared" ref="N30:N34" si="8">SUM(B30:M30)</f>
        <v>0.552326</v>
      </c>
    </row>
    <row r="31" customHeight="1" spans="1:14">
      <c r="A31" s="188" t="s">
        <v>289</v>
      </c>
      <c r="B31" s="28">
        <f>B21</f>
        <v>0</v>
      </c>
      <c r="C31" s="28">
        <f t="shared" ref="C31:M31" si="9">C21</f>
        <v>0</v>
      </c>
      <c r="D31" s="28">
        <f t="shared" si="9"/>
        <v>0</v>
      </c>
      <c r="E31" s="28">
        <f t="shared" si="9"/>
        <v>0</v>
      </c>
      <c r="F31" s="28">
        <f t="shared" si="9"/>
        <v>0</v>
      </c>
      <c r="G31" s="28">
        <f t="shared" si="9"/>
        <v>0</v>
      </c>
      <c r="H31" s="28">
        <f t="shared" si="9"/>
        <v>0</v>
      </c>
      <c r="I31" s="28">
        <f t="shared" si="9"/>
        <v>0</v>
      </c>
      <c r="J31" s="28">
        <f t="shared" si="9"/>
        <v>0</v>
      </c>
      <c r="K31" s="28">
        <f t="shared" si="9"/>
        <v>0</v>
      </c>
      <c r="L31" s="28">
        <f t="shared" si="9"/>
        <v>0</v>
      </c>
      <c r="M31" s="28">
        <f t="shared" si="9"/>
        <v>0</v>
      </c>
      <c r="N31" s="28">
        <f t="shared" si="8"/>
        <v>0</v>
      </c>
    </row>
    <row r="32" customHeight="1" spans="1:14">
      <c r="A32" s="188" t="s">
        <v>290</v>
      </c>
      <c r="B32" s="28">
        <f>B22</f>
        <v>0</v>
      </c>
      <c r="C32" s="28">
        <f t="shared" ref="C32:M32" si="10">C22</f>
        <v>0.037</v>
      </c>
      <c r="D32" s="28">
        <f t="shared" si="10"/>
        <v>0</v>
      </c>
      <c r="E32" s="28">
        <f t="shared" si="10"/>
        <v>0</v>
      </c>
      <c r="F32" s="28">
        <f t="shared" si="10"/>
        <v>0</v>
      </c>
      <c r="G32" s="28">
        <f t="shared" si="10"/>
        <v>0</v>
      </c>
      <c r="H32" s="28">
        <f t="shared" si="10"/>
        <v>0</v>
      </c>
      <c r="I32" s="28">
        <f t="shared" si="10"/>
        <v>0</v>
      </c>
      <c r="J32" s="28">
        <f t="shared" si="10"/>
        <v>0</v>
      </c>
      <c r="K32" s="28">
        <f t="shared" si="10"/>
        <v>0</v>
      </c>
      <c r="L32" s="28">
        <f t="shared" si="10"/>
        <v>0</v>
      </c>
      <c r="M32" s="28">
        <f t="shared" si="10"/>
        <v>0</v>
      </c>
      <c r="N32" s="28">
        <f t="shared" si="8"/>
        <v>0.037</v>
      </c>
    </row>
    <row r="33" customHeight="1" spans="1:14">
      <c r="A33" s="188" t="s">
        <v>291</v>
      </c>
      <c r="B33" s="28">
        <f>B23</f>
        <v>0</v>
      </c>
      <c r="C33" s="28">
        <f t="shared" ref="C33:M33" si="11">C23</f>
        <v>0</v>
      </c>
      <c r="D33" s="28">
        <f t="shared" si="11"/>
        <v>0</v>
      </c>
      <c r="E33" s="28">
        <f t="shared" si="11"/>
        <v>0</v>
      </c>
      <c r="F33" s="28">
        <f t="shared" si="11"/>
        <v>0</v>
      </c>
      <c r="G33" s="28">
        <f t="shared" si="11"/>
        <v>0</v>
      </c>
      <c r="H33" s="28">
        <f t="shared" si="11"/>
        <v>0</v>
      </c>
      <c r="I33" s="28">
        <f t="shared" si="11"/>
        <v>0</v>
      </c>
      <c r="J33" s="28">
        <f t="shared" si="11"/>
        <v>0</v>
      </c>
      <c r="K33" s="28">
        <f t="shared" si="11"/>
        <v>0</v>
      </c>
      <c r="L33" s="28">
        <f t="shared" si="11"/>
        <v>0</v>
      </c>
      <c r="M33" s="28">
        <f t="shared" si="11"/>
        <v>0</v>
      </c>
      <c r="N33" s="28">
        <f t="shared" si="8"/>
        <v>0</v>
      </c>
    </row>
    <row r="34" customHeight="1" spans="1:14">
      <c r="A34" s="188" t="s">
        <v>292</v>
      </c>
      <c r="B34" s="28">
        <f>B24</f>
        <v>0</v>
      </c>
      <c r="C34" s="28">
        <f t="shared" ref="C34:M34" si="12">C24</f>
        <v>0</v>
      </c>
      <c r="D34" s="28">
        <f t="shared" si="12"/>
        <v>0</v>
      </c>
      <c r="E34" s="28">
        <f t="shared" si="12"/>
        <v>0</v>
      </c>
      <c r="F34" s="28">
        <f t="shared" si="12"/>
        <v>0</v>
      </c>
      <c r="G34" s="28">
        <f t="shared" si="12"/>
        <v>0</v>
      </c>
      <c r="H34" s="28">
        <f t="shared" si="12"/>
        <v>0</v>
      </c>
      <c r="I34" s="28">
        <f t="shared" si="12"/>
        <v>0</v>
      </c>
      <c r="J34" s="28">
        <f t="shared" si="12"/>
        <v>0</v>
      </c>
      <c r="K34" s="28">
        <f t="shared" si="12"/>
        <v>0</v>
      </c>
      <c r="L34" s="28">
        <f t="shared" si="12"/>
        <v>0</v>
      </c>
      <c r="M34" s="28">
        <f t="shared" si="12"/>
        <v>0</v>
      </c>
      <c r="N34" s="28">
        <f t="shared" si="8"/>
        <v>0</v>
      </c>
    </row>
    <row r="35" customHeight="1" spans="1:14">
      <c r="A35" s="185" t="s">
        <v>147</v>
      </c>
      <c r="B35" s="187">
        <f>SUM(B36:B40)</f>
        <v>0.64168</v>
      </c>
      <c r="C35" s="187">
        <f t="shared" ref="B35:N35" si="13">SUM(C36:C40)</f>
        <v>0.941819</v>
      </c>
      <c r="D35" s="187">
        <f t="shared" si="13"/>
        <v>0.640288</v>
      </c>
      <c r="E35" s="187">
        <f t="shared" si="13"/>
        <v>0.614809</v>
      </c>
      <c r="F35" s="187">
        <f t="shared" si="13"/>
        <v>0</v>
      </c>
      <c r="G35" s="187">
        <f t="shared" si="13"/>
        <v>0</v>
      </c>
      <c r="H35" s="187">
        <f t="shared" si="13"/>
        <v>0</v>
      </c>
      <c r="I35" s="187">
        <f t="shared" si="13"/>
        <v>0</v>
      </c>
      <c r="J35" s="187">
        <f t="shared" si="13"/>
        <v>0</v>
      </c>
      <c r="K35" s="187">
        <f t="shared" si="13"/>
        <v>0</v>
      </c>
      <c r="L35" s="187">
        <f t="shared" si="13"/>
        <v>0</v>
      </c>
      <c r="M35" s="187">
        <f t="shared" si="13"/>
        <v>0</v>
      </c>
      <c r="N35" s="187">
        <f t="shared" si="13"/>
        <v>2.838596</v>
      </c>
    </row>
    <row r="36" customHeight="1" spans="1:14">
      <c r="A36" s="188" t="s">
        <v>288</v>
      </c>
      <c r="B36" s="28">
        <f>B10+B11+B12</f>
        <v>0.64168</v>
      </c>
      <c r="C36" s="28">
        <f t="shared" ref="C36:M36" si="14">C10+C11+C12</f>
        <v>0.578285</v>
      </c>
      <c r="D36" s="28">
        <f t="shared" si="14"/>
        <v>0.640288</v>
      </c>
      <c r="E36" s="28">
        <f t="shared" si="14"/>
        <v>0.614809</v>
      </c>
      <c r="F36" s="28">
        <f t="shared" si="14"/>
        <v>0</v>
      </c>
      <c r="G36" s="28">
        <f t="shared" si="14"/>
        <v>0</v>
      </c>
      <c r="H36" s="28">
        <f t="shared" si="14"/>
        <v>0</v>
      </c>
      <c r="I36" s="28">
        <f t="shared" si="14"/>
        <v>0</v>
      </c>
      <c r="J36" s="28">
        <f t="shared" si="14"/>
        <v>0</v>
      </c>
      <c r="K36" s="28">
        <f t="shared" si="14"/>
        <v>0</v>
      </c>
      <c r="L36" s="28">
        <f t="shared" si="14"/>
        <v>0</v>
      </c>
      <c r="M36" s="28">
        <f t="shared" si="14"/>
        <v>0</v>
      </c>
      <c r="N36" s="28">
        <f t="shared" ref="N36:N40" si="15">SUM(B36:M36)</f>
        <v>2.475062</v>
      </c>
    </row>
    <row r="37" customHeight="1" spans="1:14">
      <c r="A37" s="188" t="s">
        <v>289</v>
      </c>
      <c r="B37" s="28">
        <f>B13</f>
        <v>0</v>
      </c>
      <c r="C37" s="28">
        <f t="shared" ref="C37:M37" si="16">C13</f>
        <v>0.086634</v>
      </c>
      <c r="D37" s="28">
        <f t="shared" si="16"/>
        <v>0</v>
      </c>
      <c r="E37" s="28">
        <f t="shared" si="16"/>
        <v>0</v>
      </c>
      <c r="F37" s="28">
        <f t="shared" si="16"/>
        <v>0</v>
      </c>
      <c r="G37" s="28">
        <f t="shared" si="16"/>
        <v>0</v>
      </c>
      <c r="H37" s="28">
        <f t="shared" si="16"/>
        <v>0</v>
      </c>
      <c r="I37" s="28">
        <f t="shared" si="16"/>
        <v>0</v>
      </c>
      <c r="J37" s="28">
        <f t="shared" si="16"/>
        <v>0</v>
      </c>
      <c r="K37" s="28">
        <f t="shared" si="16"/>
        <v>0</v>
      </c>
      <c r="L37" s="28">
        <f t="shared" si="16"/>
        <v>0</v>
      </c>
      <c r="M37" s="28">
        <f t="shared" si="16"/>
        <v>0</v>
      </c>
      <c r="N37" s="28">
        <f t="shared" si="15"/>
        <v>0.086634</v>
      </c>
    </row>
    <row r="38" customHeight="1" spans="1:14">
      <c r="A38" s="188" t="s">
        <v>290</v>
      </c>
      <c r="B38" s="28">
        <f>B14</f>
        <v>0</v>
      </c>
      <c r="C38" s="28">
        <f t="shared" ref="C38:M38" si="17">C14</f>
        <v>0</v>
      </c>
      <c r="D38" s="28">
        <f t="shared" si="17"/>
        <v>0</v>
      </c>
      <c r="E38" s="28">
        <f t="shared" si="17"/>
        <v>0</v>
      </c>
      <c r="F38" s="28">
        <f t="shared" si="17"/>
        <v>0</v>
      </c>
      <c r="G38" s="28">
        <f t="shared" si="17"/>
        <v>0</v>
      </c>
      <c r="H38" s="28">
        <f t="shared" si="17"/>
        <v>0</v>
      </c>
      <c r="I38" s="28">
        <f t="shared" si="17"/>
        <v>0</v>
      </c>
      <c r="J38" s="28">
        <f t="shared" si="17"/>
        <v>0</v>
      </c>
      <c r="K38" s="28">
        <f t="shared" si="17"/>
        <v>0</v>
      </c>
      <c r="L38" s="28">
        <f t="shared" si="17"/>
        <v>0</v>
      </c>
      <c r="M38" s="28">
        <f t="shared" si="17"/>
        <v>0</v>
      </c>
      <c r="N38" s="28">
        <f t="shared" si="15"/>
        <v>0</v>
      </c>
    </row>
    <row r="39" customHeight="1" spans="1:14">
      <c r="A39" s="188" t="s">
        <v>291</v>
      </c>
      <c r="B39" s="28">
        <f>B15</f>
        <v>0</v>
      </c>
      <c r="C39" s="28">
        <f t="shared" ref="C39:M39" si="18">C15</f>
        <v>0.2769</v>
      </c>
      <c r="D39" s="28">
        <f t="shared" si="18"/>
        <v>0</v>
      </c>
      <c r="E39" s="28">
        <f t="shared" si="18"/>
        <v>0</v>
      </c>
      <c r="F39" s="28">
        <f t="shared" si="18"/>
        <v>0</v>
      </c>
      <c r="G39" s="28">
        <f t="shared" si="18"/>
        <v>0</v>
      </c>
      <c r="H39" s="28">
        <f t="shared" si="18"/>
        <v>0</v>
      </c>
      <c r="I39" s="28">
        <f t="shared" si="18"/>
        <v>0</v>
      </c>
      <c r="J39" s="28">
        <f t="shared" si="18"/>
        <v>0</v>
      </c>
      <c r="K39" s="28">
        <f t="shared" si="18"/>
        <v>0</v>
      </c>
      <c r="L39" s="28">
        <f t="shared" si="18"/>
        <v>0</v>
      </c>
      <c r="M39" s="28">
        <f t="shared" si="18"/>
        <v>0</v>
      </c>
      <c r="N39" s="28">
        <f t="shared" si="15"/>
        <v>0.2769</v>
      </c>
    </row>
    <row r="40" customHeight="1" spans="1:14">
      <c r="A40" s="188" t="s">
        <v>292</v>
      </c>
      <c r="B40" s="28">
        <f>B16</f>
        <v>0</v>
      </c>
      <c r="C40" s="28">
        <f t="shared" ref="C40:M40" si="19">C16</f>
        <v>0</v>
      </c>
      <c r="D40" s="28">
        <f t="shared" si="19"/>
        <v>0</v>
      </c>
      <c r="E40" s="28">
        <f t="shared" si="19"/>
        <v>0</v>
      </c>
      <c r="F40" s="28">
        <f t="shared" si="19"/>
        <v>0</v>
      </c>
      <c r="G40" s="28">
        <f t="shared" si="19"/>
        <v>0</v>
      </c>
      <c r="H40" s="28">
        <f t="shared" si="19"/>
        <v>0</v>
      </c>
      <c r="I40" s="28">
        <f t="shared" si="19"/>
        <v>0</v>
      </c>
      <c r="J40" s="28">
        <f t="shared" si="19"/>
        <v>0</v>
      </c>
      <c r="K40" s="28">
        <f t="shared" si="19"/>
        <v>0</v>
      </c>
      <c r="L40" s="28">
        <f t="shared" si="19"/>
        <v>0</v>
      </c>
      <c r="M40" s="28">
        <f t="shared" si="19"/>
        <v>0</v>
      </c>
      <c r="N40" s="28">
        <f t="shared" si="15"/>
        <v>0</v>
      </c>
    </row>
    <row r="41" customHeight="1" spans="1:14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</row>
    <row r="42" customHeight="1" spans="1:14">
      <c r="A42" s="189" t="s">
        <v>293</v>
      </c>
      <c r="B42" s="40">
        <f>B29</f>
        <v>0.552326</v>
      </c>
      <c r="C42" s="40">
        <f t="shared" ref="C42:N42" si="20">C29</f>
        <v>0.037</v>
      </c>
      <c r="D42" s="40">
        <f t="shared" si="20"/>
        <v>0</v>
      </c>
      <c r="E42" s="40">
        <f t="shared" si="20"/>
        <v>0</v>
      </c>
      <c r="F42" s="40">
        <f t="shared" si="20"/>
        <v>0</v>
      </c>
      <c r="G42" s="40">
        <f t="shared" si="20"/>
        <v>0</v>
      </c>
      <c r="H42" s="40">
        <f t="shared" si="20"/>
        <v>0</v>
      </c>
      <c r="I42" s="40">
        <f t="shared" si="20"/>
        <v>0</v>
      </c>
      <c r="J42" s="40">
        <f t="shared" si="20"/>
        <v>0</v>
      </c>
      <c r="K42" s="40">
        <f t="shared" si="20"/>
        <v>0</v>
      </c>
      <c r="L42" s="40">
        <f t="shared" si="20"/>
        <v>0</v>
      </c>
      <c r="M42" s="40">
        <f t="shared" si="20"/>
        <v>0</v>
      </c>
      <c r="N42" s="40">
        <f t="shared" si="20"/>
        <v>0.589326</v>
      </c>
    </row>
    <row r="43" customHeight="1" spans="1:14">
      <c r="A43" s="189" t="s">
        <v>294</v>
      </c>
      <c r="B43" s="40">
        <f>B35</f>
        <v>0.64168</v>
      </c>
      <c r="C43" s="40">
        <f t="shared" ref="C43:H43" si="21">C35</f>
        <v>0.941819</v>
      </c>
      <c r="D43" s="40">
        <f t="shared" si="21"/>
        <v>0.640288</v>
      </c>
      <c r="E43" s="40">
        <f t="shared" si="21"/>
        <v>0.614809</v>
      </c>
      <c r="F43" s="40">
        <f t="shared" si="21"/>
        <v>0</v>
      </c>
      <c r="G43" s="40">
        <f t="shared" si="21"/>
        <v>0</v>
      </c>
      <c r="H43" s="40">
        <f t="shared" si="21"/>
        <v>0</v>
      </c>
      <c r="I43" s="40">
        <f t="shared" ref="C43:N43" si="22">I36</f>
        <v>0</v>
      </c>
      <c r="J43" s="40">
        <f t="shared" si="22"/>
        <v>0</v>
      </c>
      <c r="K43" s="40">
        <f t="shared" si="22"/>
        <v>0</v>
      </c>
      <c r="L43" s="40">
        <f t="shared" si="22"/>
        <v>0</v>
      </c>
      <c r="M43" s="40">
        <f t="shared" si="22"/>
        <v>0</v>
      </c>
      <c r="N43" s="40">
        <f t="shared" si="22"/>
        <v>2.475062</v>
      </c>
    </row>
    <row r="44" customHeight="1" spans="1:14">
      <c r="A44" s="190" t="s">
        <v>115</v>
      </c>
      <c r="B44" s="191">
        <f>SUM(B42:B43)</f>
        <v>1.194006</v>
      </c>
      <c r="C44" s="191">
        <f>SUM(C42:C43)</f>
        <v>0.978819</v>
      </c>
      <c r="D44" s="191">
        <f t="shared" ref="C44:N44" si="23">SUM(D42:D43)</f>
        <v>0.640288</v>
      </c>
      <c r="E44" s="191">
        <f t="shared" si="23"/>
        <v>0.614809</v>
      </c>
      <c r="F44" s="191">
        <f t="shared" si="23"/>
        <v>0</v>
      </c>
      <c r="G44" s="191">
        <f t="shared" si="23"/>
        <v>0</v>
      </c>
      <c r="H44" s="191">
        <f t="shared" si="23"/>
        <v>0</v>
      </c>
      <c r="I44" s="191">
        <f t="shared" si="23"/>
        <v>0</v>
      </c>
      <c r="J44" s="191">
        <f t="shared" si="23"/>
        <v>0</v>
      </c>
      <c r="K44" s="191">
        <f t="shared" si="23"/>
        <v>0</v>
      </c>
      <c r="L44" s="191">
        <f t="shared" si="23"/>
        <v>0</v>
      </c>
      <c r="M44" s="191">
        <f t="shared" si="23"/>
        <v>0</v>
      </c>
      <c r="N44" s="192">
        <f t="shared" si="23"/>
        <v>3.064388</v>
      </c>
    </row>
    <row r="45" customHeight="1" spans="1:14">
      <c r="A45" s="193" t="s">
        <v>295</v>
      </c>
      <c r="B45" s="40">
        <f>B6+B10+B18</f>
        <v>4.009586</v>
      </c>
      <c r="C45" s="40">
        <f t="shared" ref="C45:N45" si="24">C6+C10+C18</f>
        <v>3.122686</v>
      </c>
      <c r="D45" s="40">
        <f t="shared" si="24"/>
        <v>3.45726</v>
      </c>
      <c r="E45" s="40">
        <f t="shared" si="24"/>
        <v>3.345735</v>
      </c>
      <c r="F45" s="40">
        <f t="shared" si="24"/>
        <v>0</v>
      </c>
      <c r="G45" s="40">
        <f t="shared" si="24"/>
        <v>0</v>
      </c>
      <c r="H45" s="40">
        <f t="shared" si="24"/>
        <v>0</v>
      </c>
      <c r="I45" s="40">
        <f t="shared" si="24"/>
        <v>0</v>
      </c>
      <c r="J45" s="40">
        <f t="shared" si="24"/>
        <v>0</v>
      </c>
      <c r="K45" s="40">
        <f t="shared" si="24"/>
        <v>0</v>
      </c>
      <c r="L45" s="40">
        <f t="shared" si="24"/>
        <v>0</v>
      </c>
      <c r="M45" s="40">
        <f t="shared" si="24"/>
        <v>0</v>
      </c>
      <c r="N45" s="40">
        <f t="shared" si="24"/>
        <v>13.935267</v>
      </c>
    </row>
    <row r="46" customHeight="1" spans="1:14">
      <c r="A46" s="193" t="s">
        <v>296</v>
      </c>
      <c r="B46" s="40">
        <f>B8+B11+B19</f>
        <v>0.093499</v>
      </c>
      <c r="C46" s="40">
        <f t="shared" ref="C46:N46" si="25">C8+C11+C19</f>
        <v>0.083392</v>
      </c>
      <c r="D46" s="40">
        <f t="shared" si="25"/>
        <v>0.079687</v>
      </c>
      <c r="E46" s="40">
        <f t="shared" si="25"/>
        <v>0.046158</v>
      </c>
      <c r="F46" s="40">
        <f t="shared" si="25"/>
        <v>0</v>
      </c>
      <c r="G46" s="40">
        <f t="shared" si="25"/>
        <v>0</v>
      </c>
      <c r="H46" s="40">
        <f t="shared" si="25"/>
        <v>0</v>
      </c>
      <c r="I46" s="40">
        <f t="shared" si="25"/>
        <v>0</v>
      </c>
      <c r="J46" s="40">
        <f t="shared" si="25"/>
        <v>0</v>
      </c>
      <c r="K46" s="40">
        <f t="shared" si="25"/>
        <v>0</v>
      </c>
      <c r="L46" s="40">
        <f t="shared" si="25"/>
        <v>0</v>
      </c>
      <c r="M46" s="40">
        <f t="shared" si="25"/>
        <v>0</v>
      </c>
      <c r="N46" s="40">
        <f t="shared" si="25"/>
        <v>0.302736</v>
      </c>
    </row>
    <row r="47" customHeight="1" spans="1:14">
      <c r="N47">
        <f>N46*10000</f>
        <v>3027.36</v>
      </c>
    </row>
  </sheetData>
  <mergeCells count="4">
    <mergeCell ref="A1:L1"/>
    <mergeCell ref="M1:N1"/>
    <mergeCell ref="A41:N41"/>
    <mergeCell ref="O3:O4"/>
  </mergeCells>
  <hyperlinks>
    <hyperlink ref="M1:N1" location="目录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90" zoomScaleNormal="90" workbookViewId="0">
      <selection activeCell="F13" sqref="F13"/>
    </sheetView>
  </sheetViews>
  <sheetFormatPr defaultColWidth="9" defaultRowHeight="20.1" customHeight="1"/>
  <cols>
    <col min="1" max="1" width="26.5462962962963" customWidth="1"/>
    <col min="2" max="7" width="10.6296296296296" customWidth="1"/>
    <col min="8" max="8" width="9.75" customWidth="1"/>
    <col min="9" max="13" width="10.6296296296296" customWidth="1"/>
    <col min="14" max="14" width="10.3796296296296" customWidth="1"/>
    <col min="15" max="15" width="11" customWidth="1"/>
    <col min="16" max="16" width="15.6296296296296" customWidth="1"/>
    <col min="17" max="17" width="10.6666666666667"/>
    <col min="18" max="18" width="9.37962962962963"/>
  </cols>
  <sheetData>
    <row r="1" customHeight="1" spans="1:16">
      <c r="A1" s="144" t="s">
        <v>297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2" t="s">
        <v>19</v>
      </c>
      <c r="P1" s="2"/>
    </row>
    <row r="2" customHeight="1" spans="1:16">
      <c r="A2" s="145" t="s">
        <v>298</v>
      </c>
      <c r="H2" s="3" t="str">
        <f>目录!C3</f>
        <v>填报日期：2026-5-8</v>
      </c>
      <c r="I2" s="3"/>
      <c r="P2" s="3" t="s">
        <v>22</v>
      </c>
    </row>
    <row r="3" customHeight="1" spans="1:16">
      <c r="A3" s="146" t="s">
        <v>23</v>
      </c>
      <c r="B3" s="147" t="s">
        <v>25</v>
      </c>
      <c r="C3" s="147" t="s">
        <v>26</v>
      </c>
      <c r="D3" s="147" t="s">
        <v>27</v>
      </c>
      <c r="E3" s="147" t="s">
        <v>28</v>
      </c>
      <c r="F3" s="147" t="s">
        <v>29</v>
      </c>
      <c r="G3" s="147" t="s">
        <v>30</v>
      </c>
      <c r="H3" s="147" t="s">
        <v>31</v>
      </c>
      <c r="I3" s="147" t="s">
        <v>32</v>
      </c>
      <c r="J3" s="147" t="s">
        <v>33</v>
      </c>
      <c r="K3" s="147" t="s">
        <v>34</v>
      </c>
      <c r="L3" s="147" t="s">
        <v>35</v>
      </c>
      <c r="M3" s="147" t="s">
        <v>36</v>
      </c>
      <c r="N3" s="147" t="s">
        <v>115</v>
      </c>
      <c r="O3" s="147" t="s">
        <v>217</v>
      </c>
      <c r="P3" s="147" t="s">
        <v>218</v>
      </c>
    </row>
    <row r="4" customHeight="1" spans="1:16">
      <c r="A4" s="148" t="s">
        <v>299</v>
      </c>
      <c r="B4" s="149">
        <v>11.691625</v>
      </c>
      <c r="C4" s="149">
        <v>11.691625</v>
      </c>
      <c r="D4" s="149">
        <v>11.691625</v>
      </c>
      <c r="E4" s="149">
        <v>11.691625</v>
      </c>
      <c r="F4" s="149"/>
      <c r="G4" s="149"/>
      <c r="H4" s="149"/>
      <c r="I4" s="149"/>
      <c r="J4" s="149"/>
      <c r="K4" s="149"/>
      <c r="L4" s="149"/>
      <c r="M4" s="149"/>
      <c r="N4" s="149">
        <f t="shared" ref="N4:N10" si="0">SUM(B4:M4)</f>
        <v>46.7665</v>
      </c>
      <c r="O4" s="150">
        <v>140.2995</v>
      </c>
      <c r="P4" s="151">
        <f t="shared" ref="P4:P11" si="1">IFERROR(N4/O4,0)</f>
        <v>0.333333333333333</v>
      </c>
    </row>
    <row r="5" customHeight="1" spans="1:16">
      <c r="A5" s="148" t="s">
        <v>300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>
        <f t="shared" si="0"/>
        <v>0</v>
      </c>
      <c r="O5" s="152"/>
      <c r="P5" s="151">
        <f t="shared" si="1"/>
        <v>0</v>
      </c>
    </row>
    <row r="6" customHeight="1" spans="1:16">
      <c r="A6" s="148" t="s">
        <v>301</v>
      </c>
      <c r="B6" s="149">
        <v>2.687738</v>
      </c>
      <c r="C6" s="149">
        <v>2.687738</v>
      </c>
      <c r="D6" s="149">
        <v>2.687738</v>
      </c>
      <c r="E6" s="149">
        <v>2.687738</v>
      </c>
      <c r="F6" s="149"/>
      <c r="G6" s="149"/>
      <c r="H6" s="153"/>
      <c r="I6" s="149"/>
      <c r="J6" s="149"/>
      <c r="K6" s="149"/>
      <c r="L6" s="149"/>
      <c r="M6" s="149"/>
      <c r="N6" s="149">
        <f t="shared" si="0"/>
        <v>10.750952</v>
      </c>
      <c r="O6" s="150">
        <v>33.140058</v>
      </c>
      <c r="P6" s="151">
        <f t="shared" si="1"/>
        <v>0.324409571039375</v>
      </c>
    </row>
    <row r="7" customHeight="1" spans="1:16">
      <c r="A7" s="148" t="s">
        <v>302</v>
      </c>
      <c r="B7" s="149">
        <v>1.217</v>
      </c>
      <c r="C7" s="149">
        <v>1.217</v>
      </c>
      <c r="D7" s="149">
        <v>1.217</v>
      </c>
      <c r="E7" s="149">
        <v>1.217</v>
      </c>
      <c r="F7" s="149"/>
      <c r="G7" s="149"/>
      <c r="H7" s="149"/>
      <c r="I7" s="149"/>
      <c r="J7" s="149"/>
      <c r="K7" s="149"/>
      <c r="L7" s="149"/>
      <c r="M7" s="149"/>
      <c r="N7" s="149">
        <f t="shared" si="0"/>
        <v>4.868</v>
      </c>
      <c r="O7" s="150">
        <v>15.0066</v>
      </c>
      <c r="P7" s="151">
        <f t="shared" si="1"/>
        <v>0.324390601468687</v>
      </c>
    </row>
    <row r="8" customHeight="1" spans="1:16">
      <c r="A8" s="148" t="s">
        <v>303</v>
      </c>
      <c r="B8" s="149">
        <v>0.95</v>
      </c>
      <c r="C8" s="149">
        <v>0.08</v>
      </c>
      <c r="D8" s="149"/>
      <c r="E8" s="149">
        <v>0.5</v>
      </c>
      <c r="F8" s="149"/>
      <c r="G8" s="149"/>
      <c r="H8" s="149"/>
      <c r="I8" s="149"/>
      <c r="J8" s="149"/>
      <c r="K8" s="149"/>
      <c r="L8" s="154"/>
      <c r="M8" s="149"/>
      <c r="N8" s="149">
        <f t="shared" si="0"/>
        <v>1.53</v>
      </c>
      <c r="O8" s="150">
        <v>2.53</v>
      </c>
      <c r="P8" s="151">
        <f t="shared" si="1"/>
        <v>0.604743083003953</v>
      </c>
    </row>
    <row r="9" customHeight="1" spans="1:16">
      <c r="A9" s="148" t="s">
        <v>304</v>
      </c>
      <c r="B9" s="149"/>
      <c r="C9" s="149"/>
      <c r="D9" s="149"/>
      <c r="E9" s="149"/>
      <c r="F9" s="153"/>
      <c r="G9" s="149"/>
      <c r="H9" s="149"/>
      <c r="I9" s="149"/>
      <c r="J9" s="149"/>
      <c r="K9" s="149"/>
      <c r="L9" s="149"/>
      <c r="M9" s="149"/>
      <c r="N9" s="149">
        <f t="shared" si="0"/>
        <v>0</v>
      </c>
      <c r="O9" s="150">
        <v>1.52964</v>
      </c>
      <c r="P9" s="151">
        <f t="shared" si="1"/>
        <v>0</v>
      </c>
    </row>
    <row r="10" customHeight="1" spans="1:16">
      <c r="A10" s="148" t="s">
        <v>305</v>
      </c>
      <c r="B10" s="149">
        <v>0.215</v>
      </c>
      <c r="C10" s="149">
        <v>0.215</v>
      </c>
      <c r="D10" s="149">
        <v>0.215</v>
      </c>
      <c r="E10" s="149">
        <v>0.215</v>
      </c>
      <c r="F10" s="149"/>
      <c r="G10" s="149"/>
      <c r="H10" s="149"/>
      <c r="I10" s="149"/>
      <c r="J10" s="149"/>
      <c r="K10" s="149"/>
      <c r="L10" s="149"/>
      <c r="M10" s="149"/>
      <c r="N10" s="149">
        <f t="shared" si="0"/>
        <v>0.86</v>
      </c>
      <c r="O10" s="150">
        <v>2.58</v>
      </c>
      <c r="P10" s="151">
        <f t="shared" si="1"/>
        <v>0.333333333333333</v>
      </c>
    </row>
    <row r="11" customHeight="1" spans="1:16">
      <c r="A11" s="155" t="s">
        <v>115</v>
      </c>
      <c r="B11" s="156">
        <f>SUM(B4:B10)</f>
        <v>16.761363</v>
      </c>
      <c r="C11" s="156">
        <f t="shared" ref="B11:H11" si="2">SUM(C4:C10)</f>
        <v>15.891363</v>
      </c>
      <c r="D11" s="156">
        <f t="shared" si="2"/>
        <v>15.811363</v>
      </c>
      <c r="E11" s="156">
        <f t="shared" si="2"/>
        <v>16.311363</v>
      </c>
      <c r="F11" s="156">
        <f t="shared" si="2"/>
        <v>0</v>
      </c>
      <c r="G11" s="156">
        <f t="shared" si="2"/>
        <v>0</v>
      </c>
      <c r="H11" s="156">
        <f t="shared" si="2"/>
        <v>0</v>
      </c>
      <c r="I11" s="156">
        <f t="shared" ref="I11:O11" si="3">SUM(I4:I10)</f>
        <v>0</v>
      </c>
      <c r="J11" s="156">
        <f t="shared" si="3"/>
        <v>0</v>
      </c>
      <c r="K11" s="156">
        <f t="shared" si="3"/>
        <v>0</v>
      </c>
      <c r="L11" s="156">
        <f t="shared" si="3"/>
        <v>0</v>
      </c>
      <c r="M11" s="156">
        <f t="shared" si="3"/>
        <v>0</v>
      </c>
      <c r="N11" s="156">
        <f t="shared" si="3"/>
        <v>64.775452</v>
      </c>
      <c r="O11" s="156">
        <f t="shared" si="3"/>
        <v>195.085798</v>
      </c>
      <c r="P11" s="151">
        <f t="shared" si="1"/>
        <v>0.332035712820059</v>
      </c>
    </row>
    <row r="12" customHeight="1" spans="1:16">
      <c r="A12" s="146" t="s">
        <v>23</v>
      </c>
      <c r="B12" s="147" t="s">
        <v>25</v>
      </c>
      <c r="C12" s="147" t="s">
        <v>26</v>
      </c>
      <c r="D12" s="147" t="s">
        <v>27</v>
      </c>
      <c r="E12" s="147" t="s">
        <v>28</v>
      </c>
      <c r="F12" s="147" t="s">
        <v>29</v>
      </c>
      <c r="G12" s="147" t="s">
        <v>30</v>
      </c>
      <c r="H12" s="147" t="s">
        <v>31</v>
      </c>
      <c r="I12" s="147" t="s">
        <v>32</v>
      </c>
      <c r="J12" s="147" t="s">
        <v>33</v>
      </c>
      <c r="K12" s="147" t="s">
        <v>34</v>
      </c>
      <c r="L12" s="147" t="s">
        <v>35</v>
      </c>
      <c r="M12" s="147" t="s">
        <v>36</v>
      </c>
      <c r="N12" s="147" t="s">
        <v>115</v>
      </c>
      <c r="O12" s="147" t="s">
        <v>217</v>
      </c>
      <c r="P12" s="147" t="s">
        <v>218</v>
      </c>
    </row>
    <row r="13" customHeight="1" spans="1:16">
      <c r="A13" s="148" t="s">
        <v>299</v>
      </c>
      <c r="B13" s="153">
        <v>4.7</v>
      </c>
      <c r="C13" s="149">
        <v>4.7</v>
      </c>
      <c r="D13" s="149">
        <v>4.7</v>
      </c>
      <c r="E13" s="149">
        <v>4.7</v>
      </c>
      <c r="F13" s="149"/>
      <c r="G13" s="149"/>
      <c r="H13" s="149"/>
      <c r="I13" s="149"/>
      <c r="J13" s="149"/>
      <c r="K13" s="153"/>
      <c r="L13" s="153"/>
      <c r="M13" s="153"/>
      <c r="N13" s="149">
        <f>SUM(B13:M13)</f>
        <v>18.8</v>
      </c>
      <c r="O13" s="150">
        <v>56.4</v>
      </c>
      <c r="P13" s="151">
        <f>IFERROR(N13/O13,0)</f>
        <v>0.333333333333333</v>
      </c>
    </row>
    <row r="14" customHeight="1" spans="1:16">
      <c r="A14" s="148" t="s">
        <v>300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53"/>
      <c r="L14" s="153"/>
      <c r="M14" s="149"/>
      <c r="N14" s="149">
        <f t="shared" ref="N14:N19" si="4">SUM(B14:M14)</f>
        <v>0</v>
      </c>
      <c r="O14" s="152"/>
      <c r="P14" s="151">
        <f t="shared" ref="P14:P20" si="5">IFERROR(N14/O14,0)</f>
        <v>0</v>
      </c>
    </row>
    <row r="15" customHeight="1" spans="1:16">
      <c r="A15" s="148" t="s">
        <v>301</v>
      </c>
      <c r="B15" s="149">
        <v>1.301786</v>
      </c>
      <c r="C15" s="149">
        <v>1.301786</v>
      </c>
      <c r="D15" s="149">
        <v>1.301786</v>
      </c>
      <c r="E15" s="149">
        <v>1.301786</v>
      </c>
      <c r="F15" s="149"/>
      <c r="G15" s="149"/>
      <c r="H15" s="149"/>
      <c r="I15" s="149"/>
      <c r="J15" s="149"/>
      <c r="K15" s="153"/>
      <c r="L15" s="149"/>
      <c r="M15" s="149"/>
      <c r="N15" s="149">
        <f t="shared" si="4"/>
        <v>5.207144</v>
      </c>
      <c r="O15" s="150">
        <v>16.297344</v>
      </c>
      <c r="P15" s="151">
        <f t="shared" si="5"/>
        <v>0.319508749401129</v>
      </c>
    </row>
    <row r="16" customHeight="1" spans="1:16">
      <c r="A16" s="148" t="s">
        <v>302</v>
      </c>
      <c r="B16" s="149">
        <v>0.5894</v>
      </c>
      <c r="C16" s="149">
        <v>0.5894</v>
      </c>
      <c r="D16" s="149">
        <v>0.5894</v>
      </c>
      <c r="E16" s="149">
        <v>0.5894</v>
      </c>
      <c r="F16" s="149"/>
      <c r="G16" s="149"/>
      <c r="H16" s="149"/>
      <c r="I16" s="149"/>
      <c r="J16" s="149"/>
      <c r="K16" s="153"/>
      <c r="L16" s="149"/>
      <c r="M16" s="149"/>
      <c r="N16" s="149">
        <f t="shared" si="4"/>
        <v>2.3576</v>
      </c>
      <c r="O16" s="150">
        <v>7.3794</v>
      </c>
      <c r="P16" s="151">
        <f t="shared" si="5"/>
        <v>0.319483968886359</v>
      </c>
    </row>
    <row r="17" customHeight="1" spans="1:16">
      <c r="A17" s="148" t="s">
        <v>303</v>
      </c>
      <c r="B17" s="149">
        <v>0.3</v>
      </c>
      <c r="C17" s="149"/>
      <c r="D17" s="149"/>
      <c r="E17" s="149">
        <v>0.16</v>
      </c>
      <c r="F17" s="149"/>
      <c r="G17" s="149"/>
      <c r="H17" s="149"/>
      <c r="I17" s="149"/>
      <c r="J17" s="149"/>
      <c r="K17" s="153"/>
      <c r="L17" s="149"/>
      <c r="M17" s="149"/>
      <c r="N17" s="149">
        <f t="shared" si="4"/>
        <v>0.46</v>
      </c>
      <c r="O17" s="150">
        <v>0.78</v>
      </c>
      <c r="P17" s="151">
        <f t="shared" si="5"/>
        <v>0.58974358974359</v>
      </c>
    </row>
    <row r="18" customHeight="1" spans="1:16">
      <c r="A18" s="148" t="s">
        <v>304</v>
      </c>
      <c r="B18" s="149"/>
      <c r="C18" s="149"/>
      <c r="D18" s="149"/>
      <c r="E18" s="149"/>
      <c r="F18" s="153"/>
      <c r="G18" s="149"/>
      <c r="H18" s="149"/>
      <c r="I18" s="149"/>
      <c r="J18" s="149"/>
      <c r="K18" s="153"/>
      <c r="L18" s="149"/>
      <c r="M18" s="149"/>
      <c r="N18" s="149">
        <f t="shared" si="4"/>
        <v>0</v>
      </c>
      <c r="O18" s="150">
        <v>0.372</v>
      </c>
      <c r="P18" s="151">
        <f t="shared" si="5"/>
        <v>0</v>
      </c>
    </row>
    <row r="19" customHeight="1" spans="1:16">
      <c r="A19" s="148" t="s">
        <v>306</v>
      </c>
      <c r="B19" s="149">
        <v>0.03</v>
      </c>
      <c r="C19" s="149">
        <v>0.03</v>
      </c>
      <c r="D19" s="149">
        <v>0.03</v>
      </c>
      <c r="E19" s="149">
        <v>0.03</v>
      </c>
      <c r="F19" s="149"/>
      <c r="G19" s="149"/>
      <c r="H19" s="149"/>
      <c r="I19" s="149"/>
      <c r="J19" s="149"/>
      <c r="K19" s="149"/>
      <c r="L19" s="149"/>
      <c r="M19" s="149"/>
      <c r="N19" s="149">
        <f t="shared" si="4"/>
        <v>0.12</v>
      </c>
      <c r="O19" s="150">
        <v>0.36</v>
      </c>
      <c r="P19" s="151">
        <f t="shared" si="5"/>
        <v>0.333333333333333</v>
      </c>
    </row>
    <row r="20" customHeight="1" spans="1:16">
      <c r="A20" s="155" t="s">
        <v>115</v>
      </c>
      <c r="B20" s="156">
        <f>SUM(B13:B19)</f>
        <v>6.921186</v>
      </c>
      <c r="C20" s="156">
        <f t="shared" ref="B20:O20" si="6">SUM(C13:C19)</f>
        <v>6.621186</v>
      </c>
      <c r="D20" s="156">
        <f t="shared" si="6"/>
        <v>6.621186</v>
      </c>
      <c r="E20" s="156">
        <f t="shared" si="6"/>
        <v>6.781186</v>
      </c>
      <c r="F20" s="156">
        <f t="shared" si="6"/>
        <v>0</v>
      </c>
      <c r="G20" s="156">
        <f t="shared" si="6"/>
        <v>0</v>
      </c>
      <c r="H20" s="156">
        <f t="shared" si="6"/>
        <v>0</v>
      </c>
      <c r="I20" s="156">
        <f t="shared" si="6"/>
        <v>0</v>
      </c>
      <c r="J20" s="156">
        <f t="shared" si="6"/>
        <v>0</v>
      </c>
      <c r="K20" s="156">
        <f t="shared" si="6"/>
        <v>0</v>
      </c>
      <c r="L20" s="156">
        <f t="shared" si="6"/>
        <v>0</v>
      </c>
      <c r="M20" s="156">
        <f t="shared" si="6"/>
        <v>0</v>
      </c>
      <c r="N20" s="156">
        <f t="shared" si="6"/>
        <v>26.944744</v>
      </c>
      <c r="O20" s="156">
        <f t="shared" si="6"/>
        <v>81.588744</v>
      </c>
      <c r="P20" s="151">
        <f t="shared" si="5"/>
        <v>0.33025075125559</v>
      </c>
    </row>
    <row r="21" customHeight="1" spans="1:16">
      <c r="A21" s="157" t="s">
        <v>307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9"/>
    </row>
    <row r="22" customHeight="1" spans="1:16">
      <c r="A22" s="160" t="s">
        <v>308</v>
      </c>
      <c r="B22" s="161">
        <v>8</v>
      </c>
      <c r="C22" s="161">
        <v>8</v>
      </c>
      <c r="D22" s="161">
        <v>8</v>
      </c>
      <c r="E22" s="161">
        <v>8</v>
      </c>
      <c r="F22" s="161">
        <v>8</v>
      </c>
      <c r="G22" s="161">
        <v>8</v>
      </c>
      <c r="H22" s="161">
        <v>8</v>
      </c>
      <c r="I22" s="161">
        <v>8</v>
      </c>
      <c r="J22" s="161">
        <v>8</v>
      </c>
      <c r="K22" s="161">
        <v>8</v>
      </c>
      <c r="L22" s="161">
        <v>8</v>
      </c>
      <c r="M22" s="161">
        <v>8</v>
      </c>
      <c r="N22" s="162"/>
      <c r="O22" s="162"/>
      <c r="P22" s="162"/>
    </row>
    <row r="23" customHeight="1" spans="1:16">
      <c r="A23" s="160" t="s">
        <v>115</v>
      </c>
      <c r="B23" s="163">
        <f>B11+B20</f>
        <v>23.682549</v>
      </c>
      <c r="C23" s="163">
        <f t="shared" ref="C23:O23" si="7">C11+C20</f>
        <v>22.512549</v>
      </c>
      <c r="D23" s="163">
        <f t="shared" si="7"/>
        <v>22.432549</v>
      </c>
      <c r="E23" s="163">
        <f t="shared" si="7"/>
        <v>23.092549</v>
      </c>
      <c r="F23" s="163">
        <f t="shared" si="7"/>
        <v>0</v>
      </c>
      <c r="G23" s="163">
        <f t="shared" si="7"/>
        <v>0</v>
      </c>
      <c r="H23" s="163">
        <f t="shared" si="7"/>
        <v>0</v>
      </c>
      <c r="I23" s="163">
        <f t="shared" si="7"/>
        <v>0</v>
      </c>
      <c r="J23" s="163">
        <f t="shared" si="7"/>
        <v>0</v>
      </c>
      <c r="K23" s="163">
        <f t="shared" si="7"/>
        <v>0</v>
      </c>
      <c r="L23" s="163">
        <f t="shared" si="7"/>
        <v>0</v>
      </c>
      <c r="M23" s="163">
        <f t="shared" si="7"/>
        <v>0</v>
      </c>
      <c r="N23" s="163">
        <f t="shared" si="7"/>
        <v>91.720196</v>
      </c>
      <c r="O23" s="163">
        <f t="shared" si="7"/>
        <v>276.674542</v>
      </c>
      <c r="P23" s="164">
        <f>N23/O23</f>
        <v>0.331509344289436</v>
      </c>
    </row>
  </sheetData>
  <mergeCells count="3">
    <mergeCell ref="A1:N1"/>
    <mergeCell ref="O1:P1"/>
    <mergeCell ref="A21:P21"/>
  </mergeCells>
  <hyperlinks>
    <hyperlink ref="O1:P1" location="目录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5" sqref="$A5:$XFD6"/>
    </sheetView>
  </sheetViews>
  <sheetFormatPr defaultColWidth="9" defaultRowHeight="20.1" customHeight="1" outlineLevelCol="7"/>
  <cols>
    <col min="4" max="4" width="16.8796296296296" customWidth="1"/>
    <col min="6" max="6" width="14.6296296296296" customWidth="1"/>
    <col min="7" max="7" width="17.3796296296296" customWidth="1"/>
    <col min="8" max="8" width="36.75" customWidth="1"/>
  </cols>
  <sheetData>
    <row r="1" customHeight="1" spans="1:8">
      <c r="A1" s="124" t="s">
        <v>309</v>
      </c>
      <c r="B1" s="124"/>
      <c r="C1" s="124"/>
      <c r="D1" s="124"/>
      <c r="E1" s="124"/>
      <c r="F1" s="124"/>
      <c r="G1" s="124"/>
      <c r="H1" s="2" t="s">
        <v>19</v>
      </c>
    </row>
    <row r="2" customHeight="1" spans="1:8">
      <c r="A2" s="125" t="s">
        <v>310</v>
      </c>
      <c r="B2" s="125"/>
      <c r="C2" s="125"/>
      <c r="D2" s="125"/>
      <c r="E2" s="125"/>
      <c r="F2" s="125"/>
      <c r="G2" s="125"/>
      <c r="H2" s="125"/>
    </row>
    <row r="3" ht="35.25" customHeight="1" spans="1:8">
      <c r="A3" s="126" t="s">
        <v>311</v>
      </c>
      <c r="B3" s="127" t="s">
        <v>312</v>
      </c>
      <c r="C3" s="127" t="s">
        <v>313</v>
      </c>
      <c r="D3" s="127" t="s">
        <v>314</v>
      </c>
      <c r="E3" s="127" t="s">
        <v>315</v>
      </c>
      <c r="F3" s="127" t="s">
        <v>316</v>
      </c>
      <c r="G3" s="127" t="s">
        <v>115</v>
      </c>
      <c r="H3" s="126" t="s">
        <v>317</v>
      </c>
    </row>
    <row r="4" customHeight="1" spans="1:8">
      <c r="A4" s="128">
        <v>310</v>
      </c>
      <c r="B4" s="129">
        <v>469.52</v>
      </c>
      <c r="C4" s="130">
        <v>7.85</v>
      </c>
      <c r="D4" s="131">
        <f>B4*C4*365/12</f>
        <v>112107.681666667</v>
      </c>
      <c r="E4" s="130">
        <v>35</v>
      </c>
      <c r="F4" s="132">
        <f>B4*E4</f>
        <v>16433.2</v>
      </c>
      <c r="G4" s="132">
        <f>D4+F4</f>
        <v>128540.881666667</v>
      </c>
      <c r="H4" s="133"/>
    </row>
    <row r="5" customHeight="1" spans="1:8">
      <c r="A5" s="134">
        <v>408</v>
      </c>
      <c r="B5" s="135">
        <v>385.06</v>
      </c>
      <c r="C5" s="136">
        <v>7.97</v>
      </c>
      <c r="D5" s="137">
        <f>B5*C5*365/12</f>
        <v>93346.5660833333</v>
      </c>
      <c r="E5" s="136">
        <v>35</v>
      </c>
      <c r="F5" s="138">
        <f>B5*E5</f>
        <v>13477.1</v>
      </c>
      <c r="G5" s="138">
        <f t="shared" ref="G5:G9" si="0">D5+F5</f>
        <v>106823.666083333</v>
      </c>
      <c r="H5" s="139"/>
    </row>
    <row r="6" customHeight="1" spans="1:8">
      <c r="A6" s="134" t="s">
        <v>318</v>
      </c>
      <c r="B6" s="135">
        <v>2273.15</v>
      </c>
      <c r="C6" s="136">
        <v>7.97</v>
      </c>
      <c r="D6" s="137">
        <f>B6*C6*365/12</f>
        <v>551058.917291667</v>
      </c>
      <c r="E6" s="136">
        <v>35</v>
      </c>
      <c r="F6" s="138">
        <f>B6*E6</f>
        <v>79560.25</v>
      </c>
      <c r="G6" s="138">
        <f t="shared" si="0"/>
        <v>630619.167291667</v>
      </c>
      <c r="H6" s="139" t="s">
        <v>319</v>
      </c>
    </row>
    <row r="7" customHeight="1" spans="1:8">
      <c r="A7" s="128" t="s">
        <v>320</v>
      </c>
      <c r="B7" s="129">
        <v>245</v>
      </c>
      <c r="C7" s="130">
        <v>1.5</v>
      </c>
      <c r="D7" s="131">
        <v>11178.12</v>
      </c>
      <c r="E7" s="130">
        <v>30.5</v>
      </c>
      <c r="F7" s="132">
        <v>7452.08</v>
      </c>
      <c r="G7" s="132">
        <f t="shared" si="0"/>
        <v>18630.2</v>
      </c>
      <c r="H7" s="133" t="s">
        <v>321</v>
      </c>
    </row>
    <row r="8" customHeight="1" spans="1:8">
      <c r="A8" s="128" t="s">
        <v>322</v>
      </c>
      <c r="B8" s="129"/>
      <c r="C8" s="130"/>
      <c r="D8" s="131">
        <v>12101.13</v>
      </c>
      <c r="E8" s="130"/>
      <c r="F8" s="132">
        <v>16410.7</v>
      </c>
      <c r="G8" s="132">
        <f t="shared" si="0"/>
        <v>28511.83</v>
      </c>
      <c r="H8" s="133" t="s">
        <v>323</v>
      </c>
    </row>
    <row r="9" customHeight="1" spans="1:8">
      <c r="A9" s="128" t="s">
        <v>324</v>
      </c>
      <c r="B9" s="129"/>
      <c r="C9" s="129"/>
      <c r="D9" s="132">
        <f>SUM(D4:D8)</f>
        <v>779792.415041667</v>
      </c>
      <c r="E9" s="129"/>
      <c r="F9" s="132">
        <f>SUM(F4:F8)</f>
        <v>133333.33</v>
      </c>
      <c r="G9" s="132">
        <f t="shared" si="0"/>
        <v>913125.745041667</v>
      </c>
      <c r="H9" s="133"/>
    </row>
    <row r="10" customHeight="1" spans="1:8">
      <c r="A10" s="128" t="s">
        <v>325</v>
      </c>
      <c r="B10" s="129"/>
      <c r="C10" s="129"/>
      <c r="D10" s="132">
        <f>D9*12</f>
        <v>9357508.9805</v>
      </c>
      <c r="E10" s="129"/>
      <c r="F10" s="132">
        <f>F9*12</f>
        <v>1599999.96</v>
      </c>
      <c r="G10" s="132">
        <f>ROUND((D10+F10)/10000,0)</f>
        <v>1096</v>
      </c>
      <c r="H10" s="133" t="s">
        <v>326</v>
      </c>
    </row>
    <row r="11" customHeight="1" spans="1:8">
      <c r="A11" s="140"/>
      <c r="B11" s="140"/>
      <c r="C11" s="140"/>
      <c r="D11" s="141"/>
      <c r="E11" s="140"/>
      <c r="F11" s="141"/>
      <c r="G11" s="141"/>
      <c r="H11" s="140"/>
    </row>
    <row r="12" customHeight="1" spans="1:8">
      <c r="A12" s="142" t="s">
        <v>327</v>
      </c>
      <c r="B12" s="142"/>
      <c r="C12" s="142"/>
      <c r="D12" s="142"/>
      <c r="E12" s="142"/>
      <c r="F12" s="142"/>
      <c r="G12" s="142"/>
      <c r="H12" s="142"/>
    </row>
    <row r="13" customHeight="1" spans="1:8">
      <c r="F13" s="143"/>
      <c r="G13" s="143"/>
      <c r="H13" s="143"/>
    </row>
    <row r="14" customHeight="1" spans="1:8">
      <c r="F14" s="143"/>
      <c r="G14" s="143"/>
      <c r="H14" s="143"/>
    </row>
    <row r="15" customHeight="1" spans="1:8">
      <c r="G15" s="143"/>
    </row>
  </sheetData>
  <mergeCells count="2">
    <mergeCell ref="A1:G1"/>
    <mergeCell ref="A12:H12"/>
  </mergeCells>
  <hyperlinks>
    <hyperlink ref="H1" location="目录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8"/>
  <sheetViews>
    <sheetView workbookViewId="0">
      <selection activeCell="E18" sqref="E18"/>
    </sheetView>
  </sheetViews>
  <sheetFormatPr defaultColWidth="9" defaultRowHeight="20.1" customHeight="1" outlineLevelCol="4"/>
  <cols>
    <col min="1" max="1" width="44.6296296296296" customWidth="1"/>
    <col min="2" max="2" width="13.75" style="120" customWidth="1"/>
    <col min="3" max="3" width="15.4444444444444" style="120" customWidth="1"/>
    <col min="4" max="4" width="14" style="120" customWidth="1"/>
    <col min="5" max="5" width="14.8796296296296" style="120" customWidth="1"/>
    <col min="7" max="7" width="12.8888888888889"/>
    <col min="10" max="10" width="11.7777777777778"/>
  </cols>
  <sheetData>
    <row r="1" customHeight="1" spans="1:5">
      <c r="A1" s="1" t="s">
        <v>328</v>
      </c>
      <c r="B1" s="97"/>
      <c r="C1" s="97"/>
      <c r="D1" s="97"/>
      <c r="E1" s="110" t="s">
        <v>19</v>
      </c>
    </row>
    <row r="2" customHeight="1" spans="1:5">
      <c r="A2" s="3" t="s">
        <v>329</v>
      </c>
      <c r="B2" s="99"/>
      <c r="C2" s="99" t="str">
        <f>目录!C3</f>
        <v>填报日期：2026-5-8</v>
      </c>
      <c r="D2" s="99"/>
      <c r="E2" s="111" t="s">
        <v>330</v>
      </c>
    </row>
    <row r="3" customHeight="1" spans="1:5">
      <c r="A3" s="112" t="s">
        <v>331</v>
      </c>
      <c r="B3" s="113" t="s">
        <v>332</v>
      </c>
      <c r="C3" s="113" t="s">
        <v>333</v>
      </c>
      <c r="D3" s="113" t="s">
        <v>334</v>
      </c>
      <c r="E3" s="113" t="s">
        <v>335</v>
      </c>
    </row>
    <row r="4" customHeight="1" spans="1:5">
      <c r="A4" s="114" t="s">
        <v>336</v>
      </c>
      <c r="B4" s="121">
        <v>23139.21</v>
      </c>
      <c r="C4" s="121">
        <v>19981.34</v>
      </c>
      <c r="D4" s="121">
        <v>23108.37</v>
      </c>
      <c r="E4" s="121">
        <v>20012.18</v>
      </c>
    </row>
    <row r="5" customFormat="1" customHeight="1" spans="1:5">
      <c r="A5" s="114" t="s">
        <v>337</v>
      </c>
      <c r="B5" s="121">
        <v>67</v>
      </c>
      <c r="C5" s="121">
        <v>214.15</v>
      </c>
      <c r="D5" s="121">
        <v>67</v>
      </c>
      <c r="E5" s="121">
        <v>214.15</v>
      </c>
    </row>
    <row r="6" customFormat="1" customHeight="1" spans="1:5">
      <c r="A6" s="114" t="s">
        <v>338</v>
      </c>
      <c r="B6" s="121">
        <v>3982.17</v>
      </c>
      <c r="C6" s="121">
        <v>6252.36</v>
      </c>
      <c r="D6" s="121">
        <v>3982.17</v>
      </c>
      <c r="E6" s="121">
        <v>6252.36</v>
      </c>
    </row>
    <row r="7" customFormat="1" customHeight="1" spans="1:5">
      <c r="A7" s="114" t="s">
        <v>339</v>
      </c>
      <c r="B7" s="121">
        <v>210630.43</v>
      </c>
      <c r="C7" s="121">
        <v>-61542.6</v>
      </c>
      <c r="D7" s="121">
        <v>0</v>
      </c>
      <c r="E7" s="121">
        <v>149087.83</v>
      </c>
    </row>
    <row r="8" customHeight="1" spans="1:5">
      <c r="A8" s="114" t="s">
        <v>340</v>
      </c>
      <c r="B8" s="121">
        <v>580.1</v>
      </c>
      <c r="C8" s="121">
        <v>1252.71</v>
      </c>
      <c r="D8" s="121">
        <v>580.1</v>
      </c>
      <c r="E8" s="121">
        <v>1252.71</v>
      </c>
    </row>
    <row r="9" customHeight="1" spans="1:5">
      <c r="A9" s="114" t="s">
        <v>341</v>
      </c>
      <c r="B9" s="121">
        <v>476.5</v>
      </c>
      <c r="C9" s="121">
        <v>1580.95</v>
      </c>
      <c r="D9" s="121">
        <v>476.5</v>
      </c>
      <c r="E9" s="121">
        <v>1580.95</v>
      </c>
    </row>
    <row r="10" customHeight="1" spans="1:5">
      <c r="A10" s="114" t="s">
        <v>342</v>
      </c>
      <c r="B10" s="121">
        <v>0</v>
      </c>
      <c r="C10" s="121">
        <v>18426.86</v>
      </c>
      <c r="D10" s="121">
        <v>4194.04</v>
      </c>
      <c r="E10" s="121">
        <v>14232.82</v>
      </c>
    </row>
    <row r="11" customHeight="1" spans="1:5">
      <c r="A11" s="114" t="s">
        <v>343</v>
      </c>
      <c r="B11" s="121">
        <v>1471.14</v>
      </c>
      <c r="C11" s="121">
        <v>3821.02</v>
      </c>
      <c r="D11" s="121">
        <v>1471.14</v>
      </c>
      <c r="E11" s="121">
        <v>3821.02</v>
      </c>
    </row>
    <row r="12" customHeight="1" spans="1:5">
      <c r="A12" s="114" t="s">
        <v>344</v>
      </c>
      <c r="B12" s="121">
        <v>1953.2</v>
      </c>
      <c r="C12" s="121">
        <v>2540.8</v>
      </c>
      <c r="D12" s="121">
        <v>1953.2</v>
      </c>
      <c r="E12" s="121">
        <v>2540.8</v>
      </c>
    </row>
    <row r="13" customHeight="1" spans="1:5">
      <c r="A13" s="114"/>
      <c r="B13" s="121"/>
      <c r="C13" s="121"/>
      <c r="D13" s="121"/>
      <c r="E13" s="121"/>
    </row>
    <row r="14" customHeight="1" spans="1:5">
      <c r="A14" s="114"/>
      <c r="B14" s="121"/>
      <c r="C14" s="121"/>
      <c r="D14" s="121"/>
      <c r="E14" s="121"/>
    </row>
    <row r="15" customHeight="1" spans="1:5">
      <c r="A15" s="114"/>
      <c r="B15" s="121"/>
      <c r="C15" s="121"/>
      <c r="D15" s="121"/>
      <c r="E15" s="121"/>
    </row>
    <row r="16" customHeight="1" spans="1:5">
      <c r="A16" s="114"/>
      <c r="B16" s="121"/>
      <c r="C16" s="121"/>
      <c r="D16" s="121"/>
      <c r="E16" s="121"/>
    </row>
    <row r="17" customHeight="1" spans="1:5">
      <c r="A17" s="114"/>
      <c r="B17" s="121"/>
      <c r="C17" s="121"/>
      <c r="D17" s="121"/>
      <c r="E17" s="121"/>
    </row>
    <row r="18" customHeight="1" spans="1:5">
      <c r="A18" s="122" t="s">
        <v>345</v>
      </c>
      <c r="B18" s="123">
        <f>SUM(B4:B17)</f>
        <v>242299.75</v>
      </c>
      <c r="C18" s="123">
        <f>SUM(C4:C17)</f>
        <v>-7472.41</v>
      </c>
      <c r="D18" s="123">
        <f>SUM(D4:D17)</f>
        <v>35832.52</v>
      </c>
      <c r="E18" s="123">
        <f>SUM(E4:E17)</f>
        <v>198994.82</v>
      </c>
    </row>
  </sheetData>
  <mergeCells count="1">
    <mergeCell ref="A1:D1"/>
  </mergeCells>
  <hyperlinks>
    <hyperlink ref="E1" location="目录!A1" display="返回目录"/>
  </hyperlinks>
  <pageMargins left="0.699305555555556" right="0.699305555555556" top="0.75" bottom="0.75" header="0.3" footer="0.3"/>
  <pageSetup paperSize="9" scale="83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27" sqref="F27"/>
    </sheetView>
  </sheetViews>
  <sheetFormatPr defaultColWidth="8.88888888888889" defaultRowHeight="13.8" outlineLevelRow="6" outlineLevelCol="5"/>
  <cols>
    <col min="1" max="1" width="44.6296296296296" customWidth="1"/>
    <col min="2" max="2" width="18.8888888888889" customWidth="1"/>
    <col min="3" max="3" width="13.75" customWidth="1"/>
    <col min="4" max="4" width="15.4444444444444" customWidth="1"/>
    <col min="5" max="5" width="14" customWidth="1"/>
    <col min="6" max="6" width="14.8796296296296" customWidth="1"/>
  </cols>
  <sheetData>
    <row r="1" ht="20.4" spans="1:6">
      <c r="A1" s="1" t="s">
        <v>346</v>
      </c>
      <c r="B1" s="1"/>
      <c r="C1" s="97"/>
      <c r="D1" s="97"/>
      <c r="E1" s="97"/>
      <c r="F1" s="110" t="s">
        <v>19</v>
      </c>
    </row>
    <row r="2" ht="14.55" spans="1:6">
      <c r="A2" s="3" t="s">
        <v>329</v>
      </c>
      <c r="B2" s="3"/>
      <c r="C2" s="99"/>
      <c r="D2" s="99" t="str">
        <f>目录!C3</f>
        <v>填报日期：2026-5-8</v>
      </c>
      <c r="E2" s="99"/>
      <c r="F2" s="111" t="s">
        <v>330</v>
      </c>
    </row>
    <row r="3" ht="14.55" spans="1:6">
      <c r="A3" s="112" t="s">
        <v>331</v>
      </c>
      <c r="B3" s="112" t="s">
        <v>347</v>
      </c>
      <c r="C3" s="113" t="s">
        <v>332</v>
      </c>
      <c r="D3" s="113" t="s">
        <v>333</v>
      </c>
      <c r="E3" s="113" t="s">
        <v>334</v>
      </c>
      <c r="F3" s="113" t="s">
        <v>335</v>
      </c>
    </row>
    <row r="4" ht="14.55" spans="1:6">
      <c r="A4" s="114" t="s">
        <v>348</v>
      </c>
      <c r="B4" s="115">
        <v>5191964.35</v>
      </c>
      <c r="C4" s="115">
        <v>105475.11</v>
      </c>
      <c r="D4" s="115">
        <v>1664.27</v>
      </c>
      <c r="E4" s="115">
        <v>105475.11</v>
      </c>
      <c r="F4" s="115">
        <v>1664.27</v>
      </c>
    </row>
    <row r="5" ht="14.55" spans="1:6">
      <c r="A5" s="114" t="s">
        <v>349</v>
      </c>
      <c r="B5" s="115">
        <v>35000000</v>
      </c>
      <c r="C5" s="115">
        <v>64438.36</v>
      </c>
      <c r="D5" s="115">
        <v>40273.97</v>
      </c>
      <c r="E5" s="115">
        <v>0</v>
      </c>
      <c r="F5" s="115">
        <v>104712.33</v>
      </c>
    </row>
    <row r="6" ht="14.55" spans="1:6">
      <c r="A6" s="114" t="s">
        <v>350</v>
      </c>
      <c r="B6" s="115">
        <v>10000000</v>
      </c>
      <c r="C6" s="115">
        <v>109315.05</v>
      </c>
      <c r="D6" s="115">
        <v>14383.56</v>
      </c>
      <c r="E6" s="115">
        <v>0</v>
      </c>
      <c r="F6" s="115">
        <v>123698.61</v>
      </c>
    </row>
    <row r="7" ht="16.35" spans="1:6">
      <c r="A7" s="116" t="s">
        <v>115</v>
      </c>
      <c r="B7" s="117">
        <f>SUM(B4:B6)</f>
        <v>50191964.35</v>
      </c>
      <c r="C7" s="118">
        <f>SUM(C4:C6)</f>
        <v>279228.52</v>
      </c>
      <c r="D7" s="118">
        <f>SUM(D4:D6)</f>
        <v>56321.8</v>
      </c>
      <c r="E7" s="118">
        <f>SUM(E4:E6)</f>
        <v>105475.11</v>
      </c>
      <c r="F7" s="119">
        <f>SUM(F4:F6)</f>
        <v>230075.21</v>
      </c>
    </row>
  </sheetData>
  <mergeCells count="1">
    <mergeCell ref="A1:E1"/>
  </mergeCells>
  <hyperlinks>
    <hyperlink ref="F1" location="目录!A1" display="返回目录"/>
  </hyperlinks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7" sqref="E7"/>
    </sheetView>
  </sheetViews>
  <sheetFormatPr defaultColWidth="9" defaultRowHeight="13.8" outlineLevelCol="6"/>
  <cols>
    <col min="1" max="1" width="32.5555555555556" style="95" customWidth="1"/>
    <col min="2" max="2" width="27.8796296296296" style="95" customWidth="1"/>
    <col min="3" max="3" width="17.75" style="96" customWidth="1"/>
    <col min="4" max="4" width="12.6296296296296" style="96" customWidth="1"/>
    <col min="5" max="5" width="16" style="96" customWidth="1"/>
    <col min="6" max="6" width="16.4444444444444" style="96" customWidth="1"/>
    <col min="7" max="7" width="48.2222222222222" style="95" customWidth="1"/>
    <col min="8" max="8" width="11.8796296296296" style="95" customWidth="1"/>
    <col min="9" max="16384" width="9" style="95"/>
  </cols>
  <sheetData>
    <row r="1" ht="20.4" spans="1:7">
      <c r="A1" s="1" t="s">
        <v>351</v>
      </c>
      <c r="B1" s="1"/>
      <c r="C1" s="97"/>
      <c r="D1" s="97"/>
      <c r="E1" s="97"/>
      <c r="F1" s="97"/>
      <c r="G1" s="2" t="s">
        <v>19</v>
      </c>
    </row>
    <row r="2" ht="20.1" customHeight="1" spans="1:7">
      <c r="A2" s="98" t="s">
        <v>352</v>
      </c>
      <c r="B2" s="98"/>
      <c r="C2" s="99" t="str">
        <f>目录!C3</f>
        <v>填报日期：2026-5-8</v>
      </c>
      <c r="D2" s="99"/>
      <c r="E2" s="99"/>
      <c r="F2" s="99"/>
      <c r="G2" s="5" t="s">
        <v>330</v>
      </c>
    </row>
    <row r="3" ht="21.75" customHeight="1" spans="1:7">
      <c r="A3" s="100" t="s">
        <v>353</v>
      </c>
      <c r="B3" s="100" t="s">
        <v>331</v>
      </c>
      <c r="C3" s="101" t="s">
        <v>332</v>
      </c>
      <c r="D3" s="101" t="s">
        <v>333</v>
      </c>
      <c r="E3" s="101" t="s">
        <v>334</v>
      </c>
      <c r="F3" s="101" t="s">
        <v>335</v>
      </c>
      <c r="G3" s="100" t="s">
        <v>354</v>
      </c>
    </row>
    <row r="4" ht="25" customHeight="1" spans="1:7">
      <c r="A4" s="102" t="s">
        <v>355</v>
      </c>
      <c r="B4" s="103" t="s">
        <v>356</v>
      </c>
      <c r="C4" s="103">
        <v>-18064</v>
      </c>
      <c r="D4" s="103"/>
      <c r="E4" s="103"/>
      <c r="F4" s="103">
        <f>C4-D4+E4</f>
        <v>-18064</v>
      </c>
      <c r="G4" s="104"/>
    </row>
    <row r="5" customFormat="1" ht="25" customHeight="1" spans="1:7">
      <c r="A5" s="102" t="s">
        <v>357</v>
      </c>
      <c r="B5" s="103" t="s">
        <v>358</v>
      </c>
      <c r="C5" s="103"/>
      <c r="D5" s="103">
        <v>18750</v>
      </c>
      <c r="E5" s="103"/>
      <c r="F5" s="103">
        <f>C5-D5+E5</f>
        <v>-18750</v>
      </c>
      <c r="G5" s="104"/>
    </row>
    <row r="6" s="94" customFormat="1" ht="21" customHeight="1" spans="1:7">
      <c r="A6" s="102" t="s">
        <v>359</v>
      </c>
      <c r="B6" s="103" t="s">
        <v>360</v>
      </c>
      <c r="C6" s="103">
        <v>42120.64</v>
      </c>
      <c r="D6" s="103"/>
      <c r="E6" s="103"/>
      <c r="F6" s="103">
        <f>C6-D6+E6</f>
        <v>42120.64</v>
      </c>
      <c r="G6" s="105"/>
    </row>
    <row r="7" s="94" customFormat="1" ht="21" customHeight="1" spans="1:7">
      <c r="A7" s="102" t="s">
        <v>359</v>
      </c>
      <c r="B7" s="103" t="s">
        <v>361</v>
      </c>
      <c r="C7" s="103">
        <v>9000</v>
      </c>
      <c r="D7" s="103"/>
      <c r="E7" s="103"/>
      <c r="F7" s="103">
        <f>C7-D7+E7</f>
        <v>9000</v>
      </c>
      <c r="G7" s="105"/>
    </row>
    <row r="8" ht="20.1" customHeight="1" spans="1:7">
      <c r="A8" s="106" t="s">
        <v>115</v>
      </c>
      <c r="B8" s="107"/>
      <c r="C8" s="108">
        <f>SUM(C4:C7)</f>
        <v>33056.64</v>
      </c>
      <c r="D8" s="108">
        <f>SUM(D4:D7)</f>
        <v>18750</v>
      </c>
      <c r="E8" s="108">
        <f>SUM(E4:E7)</f>
        <v>0</v>
      </c>
      <c r="F8" s="108">
        <f>SUM(F4:F7)</f>
        <v>14306.64</v>
      </c>
      <c r="G8" s="109"/>
    </row>
    <row r="10" spans="1:7">
      <c r="G10" s="96"/>
    </row>
  </sheetData>
  <mergeCells count="2">
    <mergeCell ref="A1:F1"/>
    <mergeCell ref="A2:B2"/>
  </mergeCells>
  <hyperlinks>
    <hyperlink ref="G1" location="目录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5" sqref="C5"/>
    </sheetView>
  </sheetViews>
  <sheetFormatPr defaultColWidth="8.88888888888889" defaultRowHeight="13.8" outlineLevelRow="5" outlineLevelCol="2"/>
  <cols>
    <col min="1" max="1" width="35.2222222222222" customWidth="1"/>
    <col min="2" max="2" width="29.6666666666667" customWidth="1"/>
    <col min="3" max="3" width="33.7777777777778" customWidth="1"/>
    <col min="4" max="4" width="10.6666666666667"/>
  </cols>
  <sheetData>
    <row r="1" ht="20.4" spans="1:3">
      <c r="A1" s="1" t="s">
        <v>362</v>
      </c>
      <c r="B1" s="1"/>
      <c r="C1" s="2" t="s">
        <v>19</v>
      </c>
    </row>
    <row r="2" ht="14.55" spans="1:3">
      <c r="A2" s="3" t="s">
        <v>352</v>
      </c>
      <c r="B2" s="4"/>
      <c r="C2" s="5" t="s">
        <v>330</v>
      </c>
    </row>
    <row r="3" ht="14.55" spans="1:3">
      <c r="A3" s="6" t="s">
        <v>331</v>
      </c>
      <c r="B3" s="9" t="s">
        <v>335</v>
      </c>
      <c r="C3" s="10" t="s">
        <v>354</v>
      </c>
    </row>
    <row r="4" ht="25" customHeight="1" spans="1:3">
      <c r="A4" s="90" t="s">
        <v>363</v>
      </c>
      <c r="B4" s="92">
        <v>1685.27</v>
      </c>
      <c r="C4" s="14" t="s">
        <v>364</v>
      </c>
    </row>
    <row r="5" ht="25" customHeight="1" spans="1:3">
      <c r="A5" s="93" t="s">
        <v>365</v>
      </c>
      <c r="B5" s="92">
        <v>234990.57</v>
      </c>
      <c r="C5" s="14"/>
    </row>
    <row r="6" ht="26" customHeight="1" spans="1:3">
      <c r="A6" s="20" t="s">
        <v>115</v>
      </c>
      <c r="B6" s="21">
        <f>SUM(B4:B5)</f>
        <v>236675.84</v>
      </c>
      <c r="C6" s="22"/>
    </row>
  </sheetData>
  <mergeCells count="1">
    <mergeCell ref="A1:B1"/>
  </mergeCells>
  <hyperlinks>
    <hyperlink ref="C1" location="目录!A1" display="返回目录"/>
  </hyperlinks>
  <pageMargins left="0.75" right="0.75" top="1" bottom="1" header="0.5" footer="0.5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6" sqref="F6"/>
    </sheetView>
  </sheetViews>
  <sheetFormatPr defaultColWidth="9" defaultRowHeight="13.8" outlineLevelCol="5"/>
  <cols>
    <col min="1" max="1" width="52.5555555555556" customWidth="1"/>
    <col min="2" max="2" width="16.25" customWidth="1"/>
    <col min="3" max="3" width="13.1111111111111" customWidth="1"/>
    <col min="4" max="4" width="13.7777777777778" customWidth="1"/>
    <col min="5" max="5" width="12.75" customWidth="1"/>
    <col min="6" max="6" width="55.7777777777778" customWidth="1"/>
  </cols>
  <sheetData>
    <row r="1" ht="20.4" spans="1:6">
      <c r="A1" s="1" t="s">
        <v>366</v>
      </c>
      <c r="B1" s="1"/>
      <c r="C1" s="1"/>
      <c r="D1" s="1"/>
      <c r="E1" s="1"/>
      <c r="F1" s="2" t="s">
        <v>19</v>
      </c>
    </row>
    <row r="2" ht="14.55" spans="1:6">
      <c r="A2" s="3" t="s">
        <v>352</v>
      </c>
      <c r="B2" s="4"/>
      <c r="C2" s="4" t="str">
        <f>应收账款明细表!C2</f>
        <v>填报日期：2026-5-8</v>
      </c>
      <c r="D2" s="4"/>
      <c r="E2" s="4"/>
      <c r="F2" s="5" t="s">
        <v>330</v>
      </c>
    </row>
    <row r="3" ht="14.55" spans="1:6">
      <c r="A3" s="6" t="s">
        <v>331</v>
      </c>
      <c r="B3" s="7" t="s">
        <v>332</v>
      </c>
      <c r="C3" s="8" t="s">
        <v>333</v>
      </c>
      <c r="D3" s="8" t="s">
        <v>334</v>
      </c>
      <c r="E3" s="9" t="s">
        <v>335</v>
      </c>
      <c r="F3" s="10" t="s">
        <v>367</v>
      </c>
    </row>
    <row r="4" s="81" customFormat="1" ht="15.15" spans="1:6">
      <c r="A4" s="15" t="s">
        <v>368</v>
      </c>
      <c r="B4" s="83">
        <v>74145.18</v>
      </c>
      <c r="C4" s="15"/>
      <c r="D4" s="83"/>
      <c r="E4" s="83">
        <f>B4+C4-D4</f>
        <v>74145.18</v>
      </c>
      <c r="F4" s="84" t="s">
        <v>369</v>
      </c>
    </row>
    <row r="5" ht="15.15" spans="1:6">
      <c r="A5" s="85" t="s">
        <v>370</v>
      </c>
      <c r="B5" s="15">
        <v>5000</v>
      </c>
      <c r="C5" s="15"/>
      <c r="D5" s="11">
        <v>5000</v>
      </c>
      <c r="E5" s="15">
        <f>B5+C5-D5</f>
        <v>0</v>
      </c>
      <c r="F5" s="84" t="s">
        <v>371</v>
      </c>
    </row>
    <row r="6" s="82" customFormat="1" ht="15.15" spans="1:6">
      <c r="A6" s="86" t="s">
        <v>372</v>
      </c>
      <c r="B6" s="87">
        <v>7500</v>
      </c>
      <c r="C6" s="88"/>
      <c r="D6" s="87"/>
      <c r="E6" s="88">
        <f>B6+C6-D6</f>
        <v>7500</v>
      </c>
      <c r="F6" s="89" t="s">
        <v>373</v>
      </c>
    </row>
    <row r="7" s="82" customFormat="1" ht="15.15" spans="1:6">
      <c r="A7" s="86" t="s">
        <v>374</v>
      </c>
      <c r="B7" s="88"/>
      <c r="C7" s="88"/>
      <c r="D7" s="88">
        <v>9000</v>
      </c>
      <c r="E7" s="88">
        <f>B7-C7+D7</f>
        <v>9000</v>
      </c>
      <c r="F7" s="89" t="s">
        <v>373</v>
      </c>
    </row>
    <row r="8" ht="15.15" spans="1:6">
      <c r="A8" s="90" t="s">
        <v>375</v>
      </c>
      <c r="B8" s="15">
        <v>57400</v>
      </c>
      <c r="C8" s="11"/>
      <c r="D8" s="11"/>
      <c r="E8" s="15">
        <f>B8+C8-D8</f>
        <v>57400</v>
      </c>
      <c r="F8" s="84" t="s">
        <v>371</v>
      </c>
    </row>
    <row r="9" ht="15.15" spans="1:6">
      <c r="A9" s="90" t="s">
        <v>376</v>
      </c>
      <c r="B9" s="15">
        <v>149900</v>
      </c>
      <c r="C9" s="11"/>
      <c r="D9" s="11"/>
      <c r="E9" s="15">
        <f>B9+C9-D9</f>
        <v>149900</v>
      </c>
      <c r="F9" s="91" t="s">
        <v>377</v>
      </c>
    </row>
    <row r="10" ht="14.55" spans="1:6">
      <c r="A10" s="20" t="s">
        <v>115</v>
      </c>
      <c r="B10" s="21">
        <f>SUM(B4:B9)</f>
        <v>293945.18</v>
      </c>
      <c r="C10" s="21">
        <f>SUM(C4:C9)</f>
        <v>0</v>
      </c>
      <c r="D10" s="21">
        <f>SUM(D4:D9)</f>
        <v>14000</v>
      </c>
      <c r="E10" s="21">
        <f>SUM(E4:E9)</f>
        <v>297945.18</v>
      </c>
      <c r="F10" s="22"/>
    </row>
  </sheetData>
  <autoFilter xmlns:etc="http://www.wps.cn/officeDocument/2017/etCustomData" ref="A1:F10" etc:filterBottomFollowUsedRange="0">
    <extLst/>
  </autoFilter>
  <mergeCells count="1">
    <mergeCell ref="A1:E1"/>
  </mergeCells>
  <hyperlinks>
    <hyperlink ref="F1" location="目录!A1" display="返回目录"/>
  </hyperlinks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Q22"/>
  <sheetViews>
    <sheetView workbookViewId="0">
      <pane xSplit="2" topLeftCell="C1" activePane="topRight" state="frozen"/>
      <selection/>
      <selection pane="topRight" activeCell="G12" sqref="G12"/>
    </sheetView>
  </sheetViews>
  <sheetFormatPr defaultColWidth="9" defaultRowHeight="13.8"/>
  <cols>
    <col min="1" max="1" width="31" style="49" customWidth="1"/>
    <col min="2" max="2" width="13.8796296296296" style="49" customWidth="1"/>
    <col min="3" max="3" width="11.75" style="50" customWidth="1"/>
    <col min="4" max="7" width="14.3796296296296" style="49" customWidth="1"/>
    <col min="8" max="8" width="14.3796296296296" style="49" hidden="1" customWidth="1"/>
    <col min="9" max="9" width="14.2222222222222" style="49" hidden="1" customWidth="1"/>
    <col min="10" max="10" width="14.3796296296296" style="49" hidden="1" customWidth="1"/>
    <col min="11" max="11" width="14.5555555555556" style="51" hidden="1" customWidth="1"/>
    <col min="12" max="12" width="15.4444444444444" style="49" hidden="1" customWidth="1"/>
    <col min="13" max="13" width="15.7777777777778" style="49" hidden="1" customWidth="1"/>
    <col min="14" max="15" width="14.3796296296296" style="49" hidden="1" customWidth="1"/>
    <col min="16" max="16" width="9.87962962962963" style="48" customWidth="1"/>
    <col min="17" max="17" width="13.1296296296296" style="49" customWidth="1"/>
    <col min="18" max="16384" width="9" style="49"/>
  </cols>
  <sheetData>
    <row r="1" ht="20.4" spans="1:17">
      <c r="A1" s="52" t="s">
        <v>378</v>
      </c>
      <c r="B1" s="52"/>
      <c r="C1" s="53"/>
      <c r="D1" s="52"/>
      <c r="E1" s="52"/>
      <c r="F1" s="52"/>
      <c r="G1" s="52"/>
      <c r="H1" s="52"/>
      <c r="I1" s="52"/>
      <c r="J1" s="52"/>
      <c r="K1" s="54"/>
      <c r="L1" s="52"/>
      <c r="M1" s="52"/>
      <c r="N1" s="52"/>
      <c r="O1" s="52"/>
      <c r="P1" s="55"/>
      <c r="Q1" s="2" t="s">
        <v>19</v>
      </c>
    </row>
    <row r="2" ht="21.15" spans="1:17">
      <c r="A2" s="56" t="s">
        <v>379</v>
      </c>
      <c r="B2" s="57"/>
      <c r="C2" s="58"/>
      <c r="D2" s="57"/>
      <c r="E2" s="56"/>
      <c r="F2" s="56" t="str">
        <f>目录!C3</f>
        <v>填报日期：2026-5-8</v>
      </c>
      <c r="G2" s="56"/>
      <c r="H2" s="56"/>
      <c r="I2" s="56"/>
      <c r="J2" s="56"/>
      <c r="K2" s="59"/>
      <c r="L2" s="56"/>
      <c r="M2" s="56"/>
      <c r="N2" s="56"/>
      <c r="O2" s="56"/>
      <c r="P2" s="60"/>
      <c r="Q2" s="56" t="s">
        <v>22</v>
      </c>
    </row>
    <row r="3" s="47" customFormat="1" ht="14.55" spans="1:17">
      <c r="A3" s="61" t="s">
        <v>380</v>
      </c>
      <c r="B3" s="61" t="s">
        <v>381</v>
      </c>
      <c r="C3" s="62" t="s">
        <v>382</v>
      </c>
      <c r="D3" s="61" t="s">
        <v>383</v>
      </c>
      <c r="E3" s="61" t="s">
        <v>384</v>
      </c>
      <c r="F3" s="61" t="s">
        <v>385</v>
      </c>
      <c r="G3" s="61" t="s">
        <v>386</v>
      </c>
      <c r="H3" s="61" t="s">
        <v>387</v>
      </c>
      <c r="I3" s="61" t="s">
        <v>388</v>
      </c>
      <c r="J3" s="61" t="s">
        <v>389</v>
      </c>
      <c r="K3" s="61" t="s">
        <v>390</v>
      </c>
      <c r="L3" s="61" t="s">
        <v>391</v>
      </c>
      <c r="M3" s="61" t="s">
        <v>392</v>
      </c>
      <c r="N3" s="61" t="s">
        <v>393</v>
      </c>
      <c r="O3" s="61" t="s">
        <v>394</v>
      </c>
      <c r="P3" s="63" t="s">
        <v>115</v>
      </c>
      <c r="Q3" s="61" t="s">
        <v>218</v>
      </c>
    </row>
    <row r="4" s="48" customFormat="1" ht="17" hidden="1" customHeight="1" spans="1:17">
      <c r="A4" s="64" t="s">
        <v>395</v>
      </c>
      <c r="B4" s="64" t="s">
        <v>395</v>
      </c>
      <c r="C4" s="65">
        <v>0.943396</v>
      </c>
      <c r="D4" s="65">
        <v>0.943396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7"/>
      <c r="P4" s="68">
        <f>SUM(D4:O4)</f>
        <v>0.943396</v>
      </c>
      <c r="Q4" s="69">
        <f>IFERROR(P4/C4,0)</f>
        <v>1</v>
      </c>
    </row>
    <row r="5" s="48" customFormat="1" ht="17" hidden="1" customHeight="1" spans="1:17">
      <c r="A5" s="64" t="s">
        <v>396</v>
      </c>
      <c r="B5" s="64" t="s">
        <v>396</v>
      </c>
      <c r="C5" s="65">
        <v>4.24532212547762</v>
      </c>
      <c r="D5" s="66"/>
      <c r="E5" s="66"/>
      <c r="F5" s="70"/>
      <c r="G5" s="66"/>
      <c r="H5" s="66"/>
      <c r="I5" s="66"/>
      <c r="J5" s="66"/>
      <c r="K5" s="66"/>
      <c r="L5" s="66"/>
      <c r="M5" s="66"/>
      <c r="N5" s="66"/>
      <c r="O5" s="67"/>
      <c r="P5" s="68">
        <f t="shared" ref="P5:P11" si="0">SUM(D5:O5)</f>
        <v>0</v>
      </c>
      <c r="Q5" s="69">
        <f t="shared" ref="Q5:Q11" si="1">IFERROR(P5/C5,0)</f>
        <v>0</v>
      </c>
    </row>
    <row r="6" s="48" customFormat="1" ht="17" hidden="1" customHeight="1" spans="1:17">
      <c r="A6" s="64" t="s">
        <v>397</v>
      </c>
      <c r="B6" s="64" t="s">
        <v>397</v>
      </c>
      <c r="C6" s="65">
        <v>0.3</v>
      </c>
      <c r="D6" s="66"/>
      <c r="E6" s="66"/>
      <c r="F6" s="70"/>
      <c r="G6" s="66"/>
      <c r="H6" s="66"/>
      <c r="I6" s="66"/>
      <c r="J6" s="66"/>
      <c r="K6" s="66"/>
      <c r="L6" s="66"/>
      <c r="M6" s="66"/>
      <c r="N6" s="66"/>
      <c r="O6" s="67"/>
      <c r="P6" s="68">
        <f t="shared" si="0"/>
        <v>0</v>
      </c>
      <c r="Q6" s="69">
        <f t="shared" si="1"/>
        <v>0</v>
      </c>
    </row>
    <row r="7" s="48" customFormat="1" ht="14.55" hidden="1" spans="1:17">
      <c r="A7" s="71" t="s">
        <v>398</v>
      </c>
      <c r="B7" s="64" t="s">
        <v>398</v>
      </c>
      <c r="C7" s="65">
        <v>0.1</v>
      </c>
      <c r="D7" s="66"/>
      <c r="E7" s="66"/>
      <c r="F7" s="70"/>
      <c r="G7" s="66"/>
      <c r="H7" s="66"/>
      <c r="I7" s="66"/>
      <c r="J7" s="66"/>
      <c r="K7" s="66"/>
      <c r="L7" s="66"/>
      <c r="M7" s="66"/>
      <c r="N7" s="66"/>
      <c r="O7" s="67"/>
      <c r="P7" s="68">
        <f t="shared" si="0"/>
        <v>0</v>
      </c>
      <c r="Q7" s="69">
        <f t="shared" si="1"/>
        <v>0</v>
      </c>
    </row>
    <row r="8" s="48" customFormat="1" ht="14.55" spans="1:17">
      <c r="A8" s="71" t="s">
        <v>399</v>
      </c>
      <c r="B8" s="64" t="s">
        <v>399</v>
      </c>
      <c r="C8" s="65">
        <v>0.15314</v>
      </c>
      <c r="D8" s="66"/>
      <c r="E8" s="66">
        <v>0.023315</v>
      </c>
      <c r="F8" s="70"/>
      <c r="G8" s="66">
        <v>0.01628</v>
      </c>
      <c r="H8" s="66"/>
      <c r="I8" s="66"/>
      <c r="J8" s="66"/>
      <c r="K8" s="66"/>
      <c r="L8" s="66"/>
      <c r="M8" s="66"/>
      <c r="N8" s="66"/>
      <c r="O8" s="67"/>
      <c r="P8" s="68">
        <f t="shared" si="0"/>
        <v>0.039595</v>
      </c>
      <c r="Q8" s="69">
        <f t="shared" si="1"/>
        <v>0.258554264072091</v>
      </c>
    </row>
    <row r="9" s="48" customFormat="1" ht="14.55" hidden="1" spans="1:17">
      <c r="A9" s="71" t="s">
        <v>400</v>
      </c>
      <c r="B9" s="64" t="s">
        <v>400</v>
      </c>
      <c r="C9" s="65">
        <v>0.5</v>
      </c>
      <c r="D9" s="66"/>
      <c r="E9" s="66"/>
      <c r="F9" s="70"/>
      <c r="G9" s="66"/>
      <c r="H9" s="66"/>
      <c r="I9" s="66"/>
      <c r="J9" s="66"/>
      <c r="K9" s="66"/>
      <c r="L9" s="66"/>
      <c r="M9" s="66"/>
      <c r="N9" s="66"/>
      <c r="O9" s="67"/>
      <c r="P9" s="68">
        <f t="shared" si="0"/>
        <v>0</v>
      </c>
      <c r="Q9" s="69">
        <f t="shared" si="1"/>
        <v>0</v>
      </c>
    </row>
    <row r="10" s="48" customFormat="1" ht="17" hidden="1" customHeight="1" spans="1:17">
      <c r="A10" s="72" t="s">
        <v>401</v>
      </c>
      <c r="B10" s="64" t="s">
        <v>401</v>
      </c>
      <c r="C10" s="65">
        <v>3</v>
      </c>
      <c r="D10" s="66"/>
      <c r="E10" s="66"/>
      <c r="F10" s="70"/>
      <c r="G10" s="66"/>
      <c r="H10" s="66"/>
      <c r="I10" s="66"/>
      <c r="J10" s="66"/>
      <c r="K10" s="66"/>
      <c r="L10" s="66"/>
      <c r="M10" s="66"/>
      <c r="N10" s="66"/>
      <c r="O10" s="67"/>
      <c r="P10" s="68">
        <f t="shared" si="0"/>
        <v>0</v>
      </c>
      <c r="Q10" s="69">
        <f t="shared" si="1"/>
        <v>0</v>
      </c>
    </row>
    <row r="11" s="48" customFormat="1" ht="17" customHeight="1" spans="1:17">
      <c r="A11" s="71" t="s">
        <v>402</v>
      </c>
      <c r="B11" s="64" t="s">
        <v>402</v>
      </c>
      <c r="C11" s="73">
        <v>0.22704</v>
      </c>
      <c r="D11" s="66">
        <v>0.01923</v>
      </c>
      <c r="E11" s="66">
        <v>0.008349</v>
      </c>
      <c r="F11" s="70">
        <v>0.085377</v>
      </c>
      <c r="G11" s="66">
        <v>-0.179388</v>
      </c>
      <c r="H11" s="66"/>
      <c r="I11" s="66"/>
      <c r="J11" s="66"/>
      <c r="K11" s="66"/>
      <c r="L11" s="66"/>
      <c r="M11" s="66"/>
      <c r="N11" s="66"/>
      <c r="O11" s="67"/>
      <c r="P11" s="68">
        <f t="shared" si="0"/>
        <v>-0.066432</v>
      </c>
      <c r="Q11" s="69">
        <f t="shared" si="1"/>
        <v>-0.292600422832981</v>
      </c>
    </row>
    <row r="12" s="48" customFormat="1" ht="17" customHeight="1" spans="1:17">
      <c r="A12" s="72" t="s">
        <v>403</v>
      </c>
      <c r="B12" s="64" t="s">
        <v>403</v>
      </c>
      <c r="C12" s="65">
        <v>0.8</v>
      </c>
      <c r="D12" s="66">
        <v>0.0353</v>
      </c>
      <c r="E12" s="66">
        <v>0.1</v>
      </c>
      <c r="F12" s="70">
        <v>0.03</v>
      </c>
      <c r="G12" s="66">
        <v>0.0379</v>
      </c>
      <c r="H12" s="66"/>
      <c r="I12" s="66"/>
      <c r="J12" s="66"/>
      <c r="K12" s="66"/>
      <c r="L12" s="66"/>
      <c r="M12" s="66"/>
      <c r="N12" s="66"/>
      <c r="O12" s="67"/>
      <c r="P12" s="68">
        <f t="shared" ref="P12:P22" si="2">SUM(D12:O12)</f>
        <v>0.2032</v>
      </c>
      <c r="Q12" s="69">
        <f t="shared" ref="Q12:Q22" si="3">IFERROR(P12/C12,0)</f>
        <v>0.254</v>
      </c>
    </row>
    <row r="13" s="48" customFormat="1" ht="17" customHeight="1" spans="1:17">
      <c r="A13" s="72" t="s">
        <v>404</v>
      </c>
      <c r="B13" s="74" t="s">
        <v>404</v>
      </c>
      <c r="C13" s="65">
        <v>0.06</v>
      </c>
      <c r="D13" s="66">
        <v>0.0068</v>
      </c>
      <c r="E13" s="66"/>
      <c r="F13" s="70"/>
      <c r="G13" s="66">
        <v>0.005</v>
      </c>
      <c r="H13" s="66"/>
      <c r="I13" s="66"/>
      <c r="J13" s="66"/>
      <c r="K13" s="66"/>
      <c r="L13" s="66"/>
      <c r="M13" s="66"/>
      <c r="N13" s="66"/>
      <c r="O13" s="67"/>
      <c r="P13" s="68">
        <f t="shared" si="2"/>
        <v>0.0118</v>
      </c>
      <c r="Q13" s="69">
        <f t="shared" si="3"/>
        <v>0.196666666666667</v>
      </c>
    </row>
    <row r="14" s="48" customFormat="1" ht="14.55" hidden="1" spans="1:17">
      <c r="A14" s="71" t="s">
        <v>405</v>
      </c>
      <c r="B14" s="64" t="s">
        <v>405</v>
      </c>
      <c r="C14" s="65">
        <v>0</v>
      </c>
      <c r="D14" s="66"/>
      <c r="E14" s="66"/>
      <c r="F14" s="70"/>
      <c r="G14" s="66"/>
      <c r="H14" s="66"/>
      <c r="I14" s="66"/>
      <c r="J14" s="66"/>
      <c r="K14" s="66"/>
      <c r="L14" s="66"/>
      <c r="M14" s="66"/>
      <c r="N14" s="66"/>
      <c r="O14" s="67"/>
      <c r="P14" s="68">
        <f t="shared" si="2"/>
        <v>0</v>
      </c>
      <c r="Q14" s="69">
        <f t="shared" si="3"/>
        <v>0</v>
      </c>
    </row>
    <row r="15" s="48" customFormat="1" ht="17" hidden="1" customHeight="1" spans="1:17">
      <c r="A15" s="71" t="s">
        <v>406</v>
      </c>
      <c r="B15" s="64" t="s">
        <v>406</v>
      </c>
      <c r="C15" s="65">
        <v>0.052676</v>
      </c>
      <c r="D15" s="66"/>
      <c r="E15" s="66"/>
      <c r="F15" s="70"/>
      <c r="G15" s="66"/>
      <c r="H15" s="66"/>
      <c r="I15" s="66"/>
      <c r="J15" s="66"/>
      <c r="K15" s="66"/>
      <c r="L15" s="66"/>
      <c r="M15" s="66"/>
      <c r="N15" s="66"/>
      <c r="O15" s="67"/>
      <c r="P15" s="68">
        <f t="shared" si="2"/>
        <v>0</v>
      </c>
      <c r="Q15" s="69">
        <f t="shared" si="3"/>
        <v>0</v>
      </c>
    </row>
    <row r="16" s="48" customFormat="1" ht="17" customHeight="1" spans="1:17">
      <c r="A16" s="71" t="s">
        <v>407</v>
      </c>
      <c r="B16" s="64" t="s">
        <v>408</v>
      </c>
      <c r="C16" s="65">
        <v>1.199174</v>
      </c>
      <c r="D16" s="66">
        <v>0.058103</v>
      </c>
      <c r="E16" s="66">
        <v>0.106604</v>
      </c>
      <c r="F16" s="70">
        <v>0.067006</v>
      </c>
      <c r="G16" s="66">
        <v>0.072104</v>
      </c>
      <c r="H16" s="66"/>
      <c r="I16" s="66"/>
      <c r="J16" s="66"/>
      <c r="K16" s="66"/>
      <c r="L16" s="66"/>
      <c r="M16" s="66"/>
      <c r="N16" s="66"/>
      <c r="O16" s="67"/>
      <c r="P16" s="68">
        <f t="shared" si="2"/>
        <v>0.303817</v>
      </c>
      <c r="Q16" s="69">
        <f t="shared" si="3"/>
        <v>0.253355226180688</v>
      </c>
    </row>
    <row r="17" s="48" customFormat="1" ht="17" customHeight="1" spans="1:17">
      <c r="A17" s="72" t="s">
        <v>409</v>
      </c>
      <c r="B17" s="64" t="s">
        <v>409</v>
      </c>
      <c r="C17" s="65">
        <v>0.808324</v>
      </c>
      <c r="D17" s="66"/>
      <c r="E17" s="66">
        <f>0.034275+0.053585</f>
        <v>0.08786</v>
      </c>
      <c r="F17" s="70">
        <v>0.080855</v>
      </c>
      <c r="G17" s="66">
        <v>0.1319</v>
      </c>
      <c r="H17" s="66"/>
      <c r="I17" s="66"/>
      <c r="J17" s="66"/>
      <c r="K17" s="66"/>
      <c r="L17" s="66"/>
      <c r="M17" s="66"/>
      <c r="N17" s="66"/>
      <c r="O17" s="67"/>
      <c r="P17" s="68">
        <f t="shared" si="2"/>
        <v>0.300615</v>
      </c>
      <c r="Q17" s="69">
        <f t="shared" si="3"/>
        <v>0.371899139453981</v>
      </c>
    </row>
    <row r="18" ht="17" hidden="1" customHeight="1" spans="1:17">
      <c r="A18" s="64" t="s">
        <v>410</v>
      </c>
      <c r="B18" s="64" t="s">
        <v>410</v>
      </c>
      <c r="C18" s="65">
        <v>0.078303</v>
      </c>
      <c r="D18" s="66"/>
      <c r="E18" s="66"/>
      <c r="F18" s="70"/>
      <c r="G18" s="66"/>
      <c r="H18" s="66"/>
      <c r="I18" s="66"/>
      <c r="J18" s="66"/>
      <c r="K18" s="66"/>
      <c r="L18" s="66"/>
      <c r="M18" s="66"/>
      <c r="N18" s="66"/>
      <c r="O18" s="67"/>
      <c r="P18" s="68">
        <f t="shared" si="2"/>
        <v>0</v>
      </c>
      <c r="Q18" s="69">
        <f t="shared" si="3"/>
        <v>0</v>
      </c>
    </row>
    <row r="19" ht="14.55" hidden="1" spans="1:17">
      <c r="A19" s="72" t="s">
        <v>411</v>
      </c>
      <c r="B19" s="64" t="s">
        <v>411</v>
      </c>
      <c r="C19" s="65">
        <v>14.150943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68">
        <f t="shared" si="2"/>
        <v>0</v>
      </c>
      <c r="Q19" s="69">
        <f t="shared" si="3"/>
        <v>0</v>
      </c>
    </row>
    <row r="20" ht="17" hidden="1" customHeight="1" spans="1:17">
      <c r="A20" s="72" t="s">
        <v>412</v>
      </c>
      <c r="B20" s="64" t="s">
        <v>413</v>
      </c>
      <c r="C20" s="65">
        <v>0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7"/>
      <c r="P20" s="68">
        <f t="shared" si="2"/>
        <v>0</v>
      </c>
      <c r="Q20" s="69">
        <f t="shared" si="3"/>
        <v>0</v>
      </c>
    </row>
    <row r="21" ht="17" hidden="1" customHeight="1" spans="1:17">
      <c r="A21" s="74" t="s">
        <v>414</v>
      </c>
      <c r="B21" s="64" t="s">
        <v>339</v>
      </c>
      <c r="C21" s="65">
        <v>3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7"/>
      <c r="P21" s="68">
        <f t="shared" si="2"/>
        <v>0</v>
      </c>
      <c r="Q21" s="69">
        <f t="shared" si="3"/>
        <v>0</v>
      </c>
    </row>
    <row r="22" ht="17" customHeight="1" spans="1:17">
      <c r="A22" s="75" t="s">
        <v>115</v>
      </c>
      <c r="B22" s="75"/>
      <c r="C22" s="76">
        <f>SUM(C4:C21)</f>
        <v>29.6183181254776</v>
      </c>
      <c r="D22" s="77">
        <f>SUM(D4:D21)</f>
        <v>1.062829</v>
      </c>
      <c r="E22" s="77">
        <f t="shared" ref="C22:P22" si="4">SUM(E4:E21)</f>
        <v>0.326128</v>
      </c>
      <c r="F22" s="77">
        <f t="shared" si="4"/>
        <v>0.263238</v>
      </c>
      <c r="G22" s="78">
        <f t="shared" si="4"/>
        <v>0.083796</v>
      </c>
      <c r="H22" s="77">
        <f t="shared" si="4"/>
        <v>0</v>
      </c>
      <c r="I22" s="77">
        <f t="shared" si="4"/>
        <v>0</v>
      </c>
      <c r="J22" s="77">
        <f t="shared" si="4"/>
        <v>0</v>
      </c>
      <c r="K22" s="77">
        <f t="shared" si="4"/>
        <v>0</v>
      </c>
      <c r="L22" s="77">
        <f t="shared" si="4"/>
        <v>0</v>
      </c>
      <c r="M22" s="77">
        <f t="shared" si="4"/>
        <v>0</v>
      </c>
      <c r="N22" s="77">
        <f t="shared" si="4"/>
        <v>0</v>
      </c>
      <c r="O22" s="77">
        <f t="shared" si="4"/>
        <v>0</v>
      </c>
      <c r="P22" s="79">
        <f t="shared" si="4"/>
        <v>1.735991</v>
      </c>
      <c r="Q22" s="80">
        <f>P22/C22</f>
        <v>0.0586120721860539</v>
      </c>
    </row>
  </sheetData>
  <autoFilter xmlns:etc="http://www.wps.cn/officeDocument/2017/etCustomData" ref="A3:Q22" etc:filterBottomFollowUsedRange="0">
    <filterColumn colId="6">
      <filters>
        <filter val="0.01"/>
        <filter val="0.02"/>
        <filter val="0.13"/>
        <filter val="0.04"/>
        <filter val="0.07"/>
        <filter val="0.08"/>
        <filter val="-0.18"/>
      </filters>
    </filterColumn>
    <extLst/>
  </autoFilter>
  <mergeCells count="1">
    <mergeCell ref="A1:P1"/>
  </mergeCells>
  <hyperlinks>
    <hyperlink ref="Q1" location="目录!A1" display="返回目录"/>
  </hyperlinks>
  <pageMargins left="0.7" right="0.7" top="0.75" bottom="0.75" header="0.3" footer="0.3"/>
  <pageSetup paperSize="9" orientation="landscape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opLeftCell="B1" workbookViewId="0">
      <selection activeCell="O4" sqref="O4"/>
    </sheetView>
  </sheetViews>
  <sheetFormatPr defaultColWidth="8.88888888888889" defaultRowHeight="13.8" outlineLevelRow="4"/>
  <cols>
    <col min="1" max="1" width="22.2222222222222" customWidth="1"/>
    <col min="2" max="2" width="12.8888888888889" customWidth="1"/>
    <col min="3" max="13" width="12.8888888888889"/>
    <col min="14" max="14" width="10.6666666666667"/>
    <col min="15" max="15" width="12.8888888888889"/>
    <col min="16" max="16" width="15.8888888888889" customWidth="1"/>
  </cols>
  <sheetData>
    <row r="1" ht="31" customHeight="1" spans="1:16">
      <c r="A1" s="41" t="s">
        <v>415</v>
      </c>
      <c r="B1" s="41"/>
      <c r="C1" s="41"/>
      <c r="D1" s="42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3" t="s">
        <v>19</v>
      </c>
    </row>
    <row r="2" ht="14.55" spans="1:16">
      <c r="A2" s="44" t="s">
        <v>23</v>
      </c>
      <c r="B2" s="44" t="s">
        <v>416</v>
      </c>
      <c r="C2" s="44" t="s">
        <v>25</v>
      </c>
      <c r="D2" s="44" t="s">
        <v>26</v>
      </c>
      <c r="E2" s="44" t="s">
        <v>27</v>
      </c>
      <c r="F2" s="44" t="s">
        <v>28</v>
      </c>
      <c r="G2" s="44" t="s">
        <v>29</v>
      </c>
      <c r="H2" s="44" t="s">
        <v>30</v>
      </c>
      <c r="I2" s="44" t="s">
        <v>31</v>
      </c>
      <c r="J2" s="44" t="s">
        <v>32</v>
      </c>
      <c r="K2" s="44" t="s">
        <v>33</v>
      </c>
      <c r="L2" s="44" t="s">
        <v>34</v>
      </c>
      <c r="M2" s="44" t="s">
        <v>35</v>
      </c>
      <c r="N2" s="44" t="s">
        <v>36</v>
      </c>
      <c r="O2" s="44" t="s">
        <v>115</v>
      </c>
      <c r="P2" s="44" t="s">
        <v>218</v>
      </c>
    </row>
    <row r="3" ht="14.55" spans="1:16">
      <c r="A3" s="44" t="s">
        <v>417</v>
      </c>
      <c r="B3" s="45">
        <v>1186.315785</v>
      </c>
      <c r="C3" s="45">
        <v>253.460449</v>
      </c>
      <c r="D3" s="45">
        <v>103.1159</v>
      </c>
      <c r="E3" s="45">
        <v>221.125495</v>
      </c>
      <c r="F3" s="45">
        <v>53.28264</v>
      </c>
      <c r="G3" s="45"/>
      <c r="H3" s="45"/>
      <c r="I3" s="45"/>
      <c r="J3" s="45"/>
      <c r="K3" s="45"/>
      <c r="L3" s="45"/>
      <c r="M3" s="45"/>
      <c r="N3" s="45"/>
      <c r="O3" s="45">
        <f>SUM(C3:N3)</f>
        <v>630.984484</v>
      </c>
      <c r="P3" s="46">
        <f>O3/B3</f>
        <v>0.531885769352719</v>
      </c>
    </row>
    <row r="4" ht="14.55" spans="1:16">
      <c r="A4" s="44" t="s">
        <v>418</v>
      </c>
      <c r="B4" s="45">
        <v>19642.8460912</v>
      </c>
      <c r="C4" s="45">
        <v>1804.865713</v>
      </c>
      <c r="D4" s="45">
        <v>997.921808</v>
      </c>
      <c r="E4" s="45">
        <v>1298.657367</v>
      </c>
      <c r="F4" s="45">
        <v>916.219026</v>
      </c>
      <c r="G4" s="45"/>
      <c r="H4" s="45"/>
      <c r="I4" s="45"/>
      <c r="J4" s="45"/>
      <c r="K4" s="45"/>
      <c r="L4" s="45"/>
      <c r="M4" s="45"/>
      <c r="N4" s="45"/>
      <c r="O4" s="45">
        <f>SUM(C4:N4)</f>
        <v>5017.663914</v>
      </c>
      <c r="P4" s="46">
        <f>O4/B4</f>
        <v>0.255444852069982</v>
      </c>
    </row>
    <row r="5" ht="14.55" spans="1:16">
      <c r="A5" s="44" t="s">
        <v>419</v>
      </c>
      <c r="B5" s="45">
        <f>SUM(B3:B4)</f>
        <v>20829.1618762</v>
      </c>
      <c r="C5" s="45">
        <f t="shared" ref="B5:G5" si="0">SUM(C3:C4)</f>
        <v>2058.326162</v>
      </c>
      <c r="D5" s="45">
        <f t="shared" si="0"/>
        <v>1101.037708</v>
      </c>
      <c r="E5" s="45">
        <f t="shared" si="0"/>
        <v>1519.782862</v>
      </c>
      <c r="F5" s="45">
        <f t="shared" si="0"/>
        <v>969.501666</v>
      </c>
      <c r="G5" s="45">
        <f t="shared" si="0"/>
        <v>0</v>
      </c>
      <c r="H5" s="45">
        <f t="shared" ref="C5:N5" si="1">SUM(H3:H4)</f>
        <v>0</v>
      </c>
      <c r="I5" s="45">
        <f t="shared" si="1"/>
        <v>0</v>
      </c>
      <c r="J5" s="45">
        <f t="shared" si="1"/>
        <v>0</v>
      </c>
      <c r="K5" s="45">
        <f t="shared" si="1"/>
        <v>0</v>
      </c>
      <c r="L5" s="45">
        <f t="shared" si="1"/>
        <v>0</v>
      </c>
      <c r="M5" s="45">
        <f t="shared" si="1"/>
        <v>0</v>
      </c>
      <c r="N5" s="45">
        <f t="shared" si="1"/>
        <v>0</v>
      </c>
      <c r="O5" s="45">
        <f>SUM(C5:N5)</f>
        <v>5648.648398</v>
      </c>
      <c r="P5" s="46">
        <f>O5/B5</f>
        <v>0.271189423346616</v>
      </c>
    </row>
  </sheetData>
  <mergeCells count="1">
    <mergeCell ref="A1:O1"/>
  </mergeCells>
  <hyperlinks>
    <hyperlink ref="P1" location="目录!A1" display="返回目录"/>
  </hyperlinks>
  <pageMargins left="0.75" right="0.75" top="1" bottom="1" header="0.5" footer="0.5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I23" sqref="I23"/>
    </sheetView>
  </sheetViews>
  <sheetFormatPr defaultColWidth="8.88888888888889" defaultRowHeight="13.8"/>
  <cols>
    <col min="1" max="1" width="17.2222222222222" customWidth="1"/>
    <col min="2" max="2" width="15" customWidth="1"/>
    <col min="8" max="8" width="13.2222222222222" customWidth="1"/>
    <col min="9" max="9" width="16" customWidth="1"/>
    <col min="10" max="10" width="18" customWidth="1"/>
    <col min="13" max="13" width="12.5555555555556" customWidth="1"/>
    <col min="14" max="14" width="13.2222222222222" customWidth="1"/>
    <col min="15" max="15" width="11.8888888888889"/>
  </cols>
  <sheetData>
    <row r="1" ht="17.4" spans="1:16">
      <c r="A1" s="23" t="s">
        <v>420</v>
      </c>
      <c r="B1" s="23"/>
      <c r="C1" s="23"/>
      <c r="I1" s="23" t="s">
        <v>421</v>
      </c>
      <c r="J1" s="23"/>
      <c r="K1" s="23"/>
      <c r="M1" s="24" t="s">
        <v>422</v>
      </c>
      <c r="N1" s="24"/>
      <c r="O1" s="24"/>
      <c r="P1" s="24"/>
    </row>
    <row r="2" spans="1:16">
      <c r="A2" s="25" t="s">
        <v>423</v>
      </c>
      <c r="B2" s="25" t="s">
        <v>424</v>
      </c>
      <c r="C2" s="25" t="s">
        <v>425</v>
      </c>
      <c r="I2" s="25" t="s">
        <v>423</v>
      </c>
      <c r="J2" s="25" t="s">
        <v>424</v>
      </c>
      <c r="K2" s="25" t="s">
        <v>425</v>
      </c>
      <c r="M2" s="26" t="s">
        <v>423</v>
      </c>
      <c r="N2" s="26" t="s">
        <v>426</v>
      </c>
      <c r="O2" s="26" t="s">
        <v>419</v>
      </c>
      <c r="P2" s="26" t="s">
        <v>425</v>
      </c>
    </row>
    <row r="3" spans="1:16">
      <c r="A3" s="27"/>
      <c r="B3" s="28"/>
      <c r="C3" s="29">
        <f t="shared" ref="C3:C10" si="0">B3/$J$10</f>
        <v>0</v>
      </c>
      <c r="I3" s="27" t="s">
        <v>427</v>
      </c>
      <c r="J3" s="28">
        <v>326739.85</v>
      </c>
      <c r="K3" s="29">
        <f>J3/$J$10</f>
        <v>0.588721553640389</v>
      </c>
      <c r="M3" s="30" t="s">
        <v>163</v>
      </c>
      <c r="N3" s="31" t="s">
        <v>428</v>
      </c>
      <c r="O3" s="32">
        <v>9910.35</v>
      </c>
      <c r="P3" s="33">
        <v>0.0185287434865447</v>
      </c>
    </row>
    <row r="4" spans="1:16">
      <c r="A4" s="27"/>
      <c r="B4" s="28"/>
      <c r="C4" s="29">
        <f t="shared" si="0"/>
        <v>0</v>
      </c>
      <c r="I4" s="27" t="s">
        <v>429</v>
      </c>
      <c r="J4" s="28">
        <v>30848.46</v>
      </c>
      <c r="K4" s="29">
        <f t="shared" ref="K4:K10" si="1">J4/$J$10</f>
        <v>0.055582914966183</v>
      </c>
      <c r="M4" s="30" t="s">
        <v>165</v>
      </c>
      <c r="N4" s="31" t="s">
        <v>428</v>
      </c>
      <c r="O4" s="32">
        <v>2852.27</v>
      </c>
      <c r="P4" s="33">
        <v>0.239078497280211</v>
      </c>
    </row>
    <row r="5" spans="1:16">
      <c r="A5" s="27"/>
      <c r="B5" s="28"/>
      <c r="C5" s="29">
        <f t="shared" si="0"/>
        <v>0</v>
      </c>
      <c r="I5" s="27" t="s">
        <v>430</v>
      </c>
      <c r="J5" s="28">
        <v>5000</v>
      </c>
      <c r="K5" s="29">
        <f t="shared" si="1"/>
        <v>0.00900902589078725</v>
      </c>
      <c r="M5" s="30" t="s">
        <v>165</v>
      </c>
      <c r="N5" s="34" t="s">
        <v>431</v>
      </c>
      <c r="O5" s="32">
        <v>125022.11</v>
      </c>
      <c r="P5" s="33"/>
    </row>
    <row r="6" spans="1:16">
      <c r="A6" s="27"/>
      <c r="B6" s="28"/>
      <c r="C6" s="29">
        <f t="shared" si="0"/>
        <v>0</v>
      </c>
      <c r="I6" s="27" t="s">
        <v>432</v>
      </c>
      <c r="J6" s="28">
        <v>158058.99</v>
      </c>
      <c r="K6" s="29">
        <f t="shared" si="1"/>
        <v>0.284791506636337</v>
      </c>
      <c r="M6" s="30" t="s">
        <v>172</v>
      </c>
      <c r="N6" s="31" t="s">
        <v>428</v>
      </c>
      <c r="O6" s="32">
        <v>323404.646</v>
      </c>
      <c r="P6" s="33">
        <v>0.604648849747061</v>
      </c>
    </row>
    <row r="7" spans="1:16">
      <c r="A7" s="27"/>
      <c r="B7" s="28"/>
      <c r="C7" s="29">
        <f t="shared" si="0"/>
        <v>0</v>
      </c>
      <c r="I7" s="27" t="s">
        <v>433</v>
      </c>
      <c r="J7" s="28">
        <v>8960</v>
      </c>
      <c r="K7" s="29">
        <f t="shared" si="1"/>
        <v>0.0161441743962908</v>
      </c>
      <c r="M7" s="35" t="s">
        <v>434</v>
      </c>
      <c r="N7" s="34" t="s">
        <v>431</v>
      </c>
      <c r="O7" s="32">
        <v>73674.2</v>
      </c>
      <c r="P7" s="33">
        <v>0.137743909486183</v>
      </c>
    </row>
    <row r="8" spans="1:16">
      <c r="A8" s="27"/>
      <c r="B8" s="28"/>
      <c r="C8" s="29">
        <f t="shared" si="0"/>
        <v>0</v>
      </c>
      <c r="I8" s="27" t="s">
        <v>435</v>
      </c>
      <c r="J8" s="28">
        <v>488.68</v>
      </c>
      <c r="K8" s="29">
        <f t="shared" si="1"/>
        <v>0.000880506154461983</v>
      </c>
      <c r="M8" s="36" t="s">
        <v>115</v>
      </c>
      <c r="N8" s="37"/>
      <c r="O8" s="32">
        <f>SUM(O3:O7)</f>
        <v>534863.576</v>
      </c>
      <c r="P8" s="33">
        <f>SUM(P3:P7)</f>
        <v>1</v>
      </c>
    </row>
    <row r="9" spans="1:16">
      <c r="A9" s="27"/>
      <c r="B9" s="28"/>
      <c r="C9" s="29">
        <f t="shared" si="0"/>
        <v>0</v>
      </c>
      <c r="I9" s="27" t="s">
        <v>436</v>
      </c>
      <c r="J9" s="28">
        <v>24902.98</v>
      </c>
      <c r="K9" s="29">
        <f t="shared" si="1"/>
        <v>0.0448703183155514</v>
      </c>
    </row>
    <row r="10" spans="1:16">
      <c r="A10" s="27" t="s">
        <v>115</v>
      </c>
      <c r="B10" s="28">
        <f>SUM(B3:B9)</f>
        <v>0</v>
      </c>
      <c r="C10" s="29">
        <f t="shared" si="0"/>
        <v>0</v>
      </c>
      <c r="I10" s="27" t="s">
        <v>115</v>
      </c>
      <c r="J10" s="28">
        <f>SUM(J3:J9)</f>
        <v>554998.96</v>
      </c>
      <c r="K10" s="29">
        <f t="shared" si="1"/>
        <v>1</v>
      </c>
    </row>
    <row r="12" spans="1:16">
      <c r="I12" s="25" t="s">
        <v>23</v>
      </c>
      <c r="J12" s="25" t="s">
        <v>424</v>
      </c>
      <c r="K12" s="25" t="s">
        <v>425</v>
      </c>
    </row>
    <row r="13" spans="1:16">
      <c r="I13" s="25" t="s">
        <v>437</v>
      </c>
      <c r="J13" s="38">
        <v>1922.44</v>
      </c>
      <c r="K13" s="39">
        <f>J13/$J$16</f>
        <v>0.00346386234669701</v>
      </c>
    </row>
    <row r="14" spans="1:16">
      <c r="I14" s="25" t="s">
        <v>438</v>
      </c>
      <c r="J14" s="38">
        <v>544240.77</v>
      </c>
      <c r="K14" s="39">
        <f t="shared" ref="K13:K16" si="2">J14/$J$16</f>
        <v>0.980615837550398</v>
      </c>
    </row>
    <row r="15" spans="1:16">
      <c r="I15" s="25" t="s">
        <v>439</v>
      </c>
      <c r="J15" s="38">
        <v>8835.75</v>
      </c>
      <c r="K15" s="39">
        <f t="shared" si="2"/>
        <v>0.0159203001029047</v>
      </c>
    </row>
    <row r="16" spans="1:16">
      <c r="I16" s="25" t="s">
        <v>115</v>
      </c>
      <c r="J16" s="40">
        <f>SUM(J13:J15)</f>
        <v>554998.96</v>
      </c>
      <c r="K16" s="39">
        <f t="shared" si="2"/>
        <v>1</v>
      </c>
    </row>
  </sheetData>
  <mergeCells count="5">
    <mergeCell ref="A1:C1"/>
    <mergeCell ref="I1:K1"/>
    <mergeCell ref="M1:P1"/>
    <mergeCell ref="M8:N8"/>
    <mergeCell ref="P4:P5"/>
  </mergeCells>
  <pageMargins left="0.75" right="0.75" top="1" bottom="1" header="0.5" footer="0.5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18" sqref="D18"/>
    </sheetView>
  </sheetViews>
  <sheetFormatPr defaultColWidth="8.88888888888889" defaultRowHeight="13.8" outlineLevelCol="5"/>
  <cols>
    <col min="1" max="1" width="40.7777777777778" customWidth="1"/>
    <col min="2" max="6" width="16.8888888888889" customWidth="1"/>
  </cols>
  <sheetData>
    <row r="1" ht="20.4" spans="1:6">
      <c r="A1" s="1" t="s">
        <v>440</v>
      </c>
      <c r="B1" s="1"/>
      <c r="C1" s="1"/>
      <c r="D1" s="1"/>
      <c r="E1" s="1"/>
      <c r="F1" s="2" t="s">
        <v>19</v>
      </c>
    </row>
    <row r="2" ht="14.55" spans="1:6">
      <c r="A2" s="3" t="s">
        <v>352</v>
      </c>
      <c r="B2" s="4"/>
      <c r="C2" s="4" t="str">
        <f>应收账款明细表!C2</f>
        <v>填报日期：2026-5-8</v>
      </c>
      <c r="D2" s="4"/>
      <c r="E2" s="4"/>
      <c r="F2" s="5" t="s">
        <v>330</v>
      </c>
    </row>
    <row r="3" ht="22" customHeight="1" spans="1:6">
      <c r="A3" s="6" t="s">
        <v>331</v>
      </c>
      <c r="B3" s="7" t="s">
        <v>332</v>
      </c>
      <c r="C3" s="8" t="s">
        <v>333</v>
      </c>
      <c r="D3" s="8" t="s">
        <v>334</v>
      </c>
      <c r="E3" s="9" t="s">
        <v>335</v>
      </c>
      <c r="F3" s="10" t="s">
        <v>354</v>
      </c>
    </row>
    <row r="4" ht="23" customHeight="1" spans="1:6">
      <c r="A4" s="11" t="s">
        <v>441</v>
      </c>
      <c r="B4" s="12">
        <f>E4-D4</f>
        <v>1371790.92</v>
      </c>
      <c r="C4" s="13"/>
      <c r="D4" s="13">
        <v>1085.15</v>
      </c>
      <c r="E4" s="12">
        <v>1372876.07</v>
      </c>
      <c r="F4" s="14"/>
    </row>
    <row r="5" ht="23" customHeight="1" spans="1:6">
      <c r="A5" s="11" t="s">
        <v>442</v>
      </c>
      <c r="B5" s="12">
        <f>E5-D5</f>
        <v>48012.69</v>
      </c>
      <c r="C5" s="13"/>
      <c r="D5" s="13">
        <v>37.98</v>
      </c>
      <c r="E5" s="12">
        <v>48050.67</v>
      </c>
      <c r="F5" s="14"/>
    </row>
    <row r="6" ht="23" customHeight="1" spans="1:6">
      <c r="A6" s="15" t="s">
        <v>443</v>
      </c>
      <c r="B6" s="12">
        <f>E6-D6</f>
        <v>20576.9</v>
      </c>
      <c r="C6" s="12"/>
      <c r="D6" s="13">
        <v>16.28</v>
      </c>
      <c r="E6" s="12">
        <v>20593.18</v>
      </c>
      <c r="F6" s="14"/>
    </row>
    <row r="7" ht="23" customHeight="1" spans="1:6">
      <c r="A7" s="15" t="s">
        <v>444</v>
      </c>
      <c r="B7" s="12">
        <f>E7-D7</f>
        <v>13718</v>
      </c>
      <c r="C7" s="12"/>
      <c r="D7" s="16">
        <v>10.85</v>
      </c>
      <c r="E7" s="12">
        <v>13728.85</v>
      </c>
      <c r="F7" s="17"/>
    </row>
    <row r="8" ht="14.55" spans="1:6">
      <c r="A8" s="18"/>
      <c r="B8" s="12"/>
      <c r="C8" s="12"/>
      <c r="D8" s="13"/>
      <c r="E8" s="12">
        <f>B8+C8-D8</f>
        <v>0</v>
      </c>
      <c r="F8" s="14"/>
    </row>
    <row r="9" ht="14.55" spans="1:6">
      <c r="A9" s="19"/>
      <c r="B9" s="12"/>
      <c r="C9" s="13"/>
      <c r="D9" s="13"/>
      <c r="E9" s="12"/>
      <c r="F9" s="14"/>
    </row>
    <row r="10" ht="14.55" spans="1:6">
      <c r="A10" s="20" t="s">
        <v>115</v>
      </c>
      <c r="B10" s="21">
        <f>SUM(B4:B9)</f>
        <v>1454098.51</v>
      </c>
      <c r="C10" s="21">
        <f>SUM(C4:C9)</f>
        <v>0</v>
      </c>
      <c r="D10" s="21">
        <f>SUM(D4:D9)</f>
        <v>1150.26</v>
      </c>
      <c r="E10" s="21">
        <f>SUM(E4:E9)</f>
        <v>1455248.77</v>
      </c>
      <c r="F10" s="22"/>
    </row>
  </sheetData>
  <mergeCells count="1">
    <mergeCell ref="A1:E1"/>
  </mergeCells>
  <hyperlinks>
    <hyperlink ref="F1" location="目录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目录</vt:lpstr>
      <vt:lpstr>利润（预算口径）</vt:lpstr>
      <vt:lpstr>13个月续期保费</vt:lpstr>
      <vt:lpstr>25个月续期保费</vt:lpstr>
      <vt:lpstr>37个月续期保费</vt:lpstr>
      <vt:lpstr>Sheet1</vt:lpstr>
      <vt:lpstr>外勤人力变动表</vt:lpstr>
      <vt:lpstr>外勤人力架构表</vt:lpstr>
      <vt:lpstr>保费分析-公司</vt:lpstr>
      <vt:lpstr>保费分析--产品</vt:lpstr>
      <vt:lpstr>保费分析--君康产品</vt:lpstr>
      <vt:lpstr>收入明细表</vt:lpstr>
      <vt:lpstr>基本法支出</vt:lpstr>
      <vt:lpstr>弹性销售成本</vt:lpstr>
      <vt:lpstr>附表-竞赛方案</vt:lpstr>
      <vt:lpstr>半固定销售成本</vt:lpstr>
      <vt:lpstr>职场成本</vt:lpstr>
      <vt:lpstr>人力成本</vt:lpstr>
      <vt:lpstr>附表-职场情况</vt:lpstr>
      <vt:lpstr>应收账款明细表</vt:lpstr>
      <vt:lpstr>应收利息明细表</vt:lpstr>
      <vt:lpstr>其他应付款明细</vt:lpstr>
      <vt:lpstr>应付佣金</vt:lpstr>
      <vt:lpstr>其他应收款</vt:lpstr>
      <vt:lpstr>日常行政费用明细</vt:lpstr>
      <vt:lpstr>续期规模保费</vt:lpstr>
      <vt:lpstr>退保损失</vt:lpstr>
      <vt:lpstr>应交税金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LiWD</dc:creator>
  <cp:lastModifiedBy>123</cp:lastModifiedBy>
  <dcterms:created xsi:type="dcterms:W3CDTF">2015-06-05T18:19:00Z</dcterms:created>
  <cp:lastPrinted>2019-06-12T00:29:00Z</cp:lastPrinted>
  <dcterms:modified xsi:type="dcterms:W3CDTF">2026-05-08T03:25:12Z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2052-12.1.0.25225</vt:lpwstr>
  </property>
  <property fmtid="{D5CDD505-2E9C-101B-9397-08002B2CF9AE}" pid="4" name="ICV">
    <vt:lpwstr>2E159E8B0A6549BFA0112CB8C0AFB2E1</vt:lpwstr>
  </property>
  <property fmtid="{D5CDD505-2E9C-101B-9397-08002B2CF9AE}" pid="5" name="CalculationRule">
    <vt:i4>0</vt:i4>
  </property>
</Properties>
</file>