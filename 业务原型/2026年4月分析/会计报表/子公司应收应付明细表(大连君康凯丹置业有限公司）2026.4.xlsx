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86186\Desktop\工作资料\2026\每月上报\应收应付明细表\"/>
    </mc:Choice>
  </mc:AlternateContent>
  <xr:revisionPtr revIDLastSave="0" documentId="13_ncr:1_{EE38C3F9-E65C-43FA-B732-1A43608B38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应收款明细统计" sheetId="1" r:id="rId1"/>
    <sheet name="应付款明细统计" sheetId="2" r:id="rId2"/>
    <sheet name="Sheet3" sheetId="3" r:id="rId3"/>
  </sheets>
  <definedNames>
    <definedName name="_xlnm._FilterDatabase" localSheetId="0" hidden="1">应收款明细统计!$A$1:$G$12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4" i="1"/>
  <c r="G3" i="1"/>
  <c r="G2" i="1"/>
</calcChain>
</file>

<file path=xl/sharedStrings.xml><?xml version="1.0" encoding="utf-8"?>
<sst xmlns="http://schemas.openxmlformats.org/spreadsheetml/2006/main" count="57" uniqueCount="35">
  <si>
    <t>往来对象名称</t>
  </si>
  <si>
    <t>会计科目</t>
  </si>
  <si>
    <t>往来项目说明</t>
  </si>
  <si>
    <t>款项形成日期</t>
  </si>
  <si>
    <t>应收金额</t>
  </si>
  <si>
    <t>减值准备</t>
  </si>
  <si>
    <t>应收净额</t>
  </si>
  <si>
    <t>　　盛鑫国际融资租赁（天津）有限公司</t>
  </si>
  <si>
    <t>应收账款</t>
  </si>
  <si>
    <t>应收租金</t>
  </si>
  <si>
    <t>　　宏泰国际融资租赁（天津）有限公司</t>
  </si>
  <si>
    <t>　　宏泰国际商业保理（天津）有限公司</t>
  </si>
  <si>
    <t>　　济南世纪三鑫空调设备有限公司</t>
  </si>
  <si>
    <t>预付账款</t>
  </si>
  <si>
    <t>预付设备款</t>
  </si>
  <si>
    <t>　　国网辽宁省电力有限公司大连供电公司</t>
  </si>
  <si>
    <t>预存电费</t>
  </si>
  <si>
    <t>凯丹置地（成都）资产管理有限公司大连分公司</t>
  </si>
  <si>
    <t>预付车位管理费</t>
  </si>
  <si>
    <t>应付金额</t>
  </si>
  <si>
    <t>　　凯丹置地（大连）有限公司</t>
  </si>
  <si>
    <t>应付账款</t>
  </si>
  <si>
    <t>应付车位尾款</t>
  </si>
  <si>
    <t>应付物业费</t>
  </si>
  <si>
    <t>　　长城物业集团股份有限公司大连分公司</t>
  </si>
  <si>
    <t>应付设备尾款</t>
  </si>
  <si>
    <t>大连强森建筑工程有限公司</t>
    <phoneticPr fontId="7" type="noConversion"/>
  </si>
  <si>
    <t>其他应收款</t>
    <phoneticPr fontId="7" type="noConversion"/>
  </si>
  <si>
    <t>龙湖物业服务集团有限公司</t>
    <phoneticPr fontId="7" type="noConversion"/>
  </si>
  <si>
    <t>应付物业费</t>
    <phoneticPr fontId="7" type="noConversion"/>
  </si>
  <si>
    <t>大连辰睿创意策划有限公司</t>
    <phoneticPr fontId="7" type="noConversion"/>
  </si>
  <si>
    <t>中舶建业（海南）集团有限公司</t>
    <phoneticPr fontId="7" type="noConversion"/>
  </si>
  <si>
    <t>大连焱龙国际物流有限公司</t>
    <phoneticPr fontId="7" type="noConversion"/>
  </si>
  <si>
    <t>佰佳康颜（大连）健康发展有限公司</t>
    <phoneticPr fontId="7" type="noConversion"/>
  </si>
  <si>
    <t>大连惠谷企业管理有限公司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</si>
</sst>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-* #,##0\¥_-;\-* #,##0\¥_-;_-* &quot;-&quot;\¥_-;_-@_-"/>
    <numFmt numFmtId="177" formatCode="yyyy&quot;年&quot;m&quot;月&quot;;@"/>
    <numFmt numFmtId="178" formatCode="0.00_ "/>
    <numFmt numFmtId="179" formatCode="0.0_ "/>
  </numFmts>
  <fonts count="8" x14ac:knownFonts="1">
    <font>
      <sz val="11"/>
      <color theme="1"/>
      <name val="宋体"/>
      <charset val="134"/>
      <scheme val="minor"/>
    </font>
    <font>
      <b/>
      <sz val="9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0" fontId="5" fillId="0" borderId="0"/>
    <xf numFmtId="0" fontId="2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49" fontId="1" fillId="2" borderId="1" xfId="5" applyNumberFormat="1" applyFont="1" applyFill="1" applyBorder="1" applyAlignment="1">
      <alignment horizontal="center" vertical="center" wrapText="1"/>
    </xf>
    <xf numFmtId="177" fontId="1" fillId="2" borderId="1" xfId="5" applyNumberFormat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3" fontId="0" fillId="0" borderId="1" xfId="0" applyNumberFormat="1" applyBorder="1">
      <alignment vertical="center"/>
    </xf>
    <xf numFmtId="49" fontId="1" fillId="2" borderId="2" xfId="5" applyNumberFormat="1" applyFont="1" applyFill="1" applyBorder="1" applyAlignment="1">
      <alignment horizontal="center" vertical="center" wrapText="1"/>
    </xf>
    <xf numFmtId="49" fontId="1" fillId="2" borderId="3" xfId="5" applyNumberFormat="1" applyFont="1" applyFill="1" applyBorder="1" applyAlignment="1">
      <alignment horizontal="center" vertical="center" wrapText="1"/>
    </xf>
    <xf numFmtId="177" fontId="1" fillId="2" borderId="3" xfId="5" applyNumberFormat="1" applyFont="1" applyFill="1" applyBorder="1" applyAlignment="1">
      <alignment horizontal="center" vertical="center" wrapText="1"/>
    </xf>
    <xf numFmtId="43" fontId="1" fillId="2" borderId="3" xfId="1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0" borderId="1" xfId="4" applyBorder="1" applyAlignment="1">
      <alignment horizontal="center" vertical="center"/>
    </xf>
    <xf numFmtId="179" fontId="3" fillId="0" borderId="1" xfId="0" applyNumberFormat="1" applyFont="1" applyBorder="1" applyAlignment="1">
      <alignment horizontal="right" vertical="center"/>
    </xf>
  </cellXfs>
  <cellStyles count="6">
    <cellStyle name="Comma_PBC_minsheng草稿" xfId="2" xr:uid="{00000000-0005-0000-0000-000031000000}"/>
    <cellStyle name="Normal_G_pending" xfId="3" xr:uid="{00000000-0005-0000-0000-000032000000}"/>
    <cellStyle name="常规" xfId="0" builtinId="0"/>
    <cellStyle name="常规 2" xfId="4" xr:uid="{00000000-0005-0000-0000-000033000000}"/>
    <cellStyle name="常规 2 2" xfId="5" xr:uid="{00000000-0005-0000-0000-000034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G11" sqref="G11:G12"/>
    </sheetView>
  </sheetViews>
  <sheetFormatPr defaultColWidth="9" defaultRowHeight="13.5" x14ac:dyDescent="0.15"/>
  <cols>
    <col min="1" max="1" width="40" customWidth="1"/>
    <col min="2" max="2" width="11.25" customWidth="1"/>
    <col min="3" max="3" width="13.5" customWidth="1"/>
    <col min="4" max="4" width="14" customWidth="1"/>
    <col min="5" max="7" width="18.875" customWidth="1"/>
  </cols>
  <sheetData>
    <row r="1" spans="1:7" ht="14.25" x14ac:dyDescent="0.1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10" t="s">
        <v>6</v>
      </c>
    </row>
    <row r="2" spans="1:7" x14ac:dyDescent="0.15">
      <c r="A2" s="16" t="s">
        <v>7</v>
      </c>
      <c r="B2" s="4" t="s">
        <v>8</v>
      </c>
      <c r="C2" s="4" t="s">
        <v>9</v>
      </c>
      <c r="D2" s="4">
        <v>2020.7</v>
      </c>
      <c r="E2" s="5">
        <v>296639.18</v>
      </c>
      <c r="F2" s="5">
        <v>296639.18</v>
      </c>
      <c r="G2" s="5">
        <f t="shared" ref="G2:G11" si="0">E2-F2</f>
        <v>0</v>
      </c>
    </row>
    <row r="3" spans="1:7" x14ac:dyDescent="0.15">
      <c r="A3" s="16" t="s">
        <v>10</v>
      </c>
      <c r="B3" s="4" t="s">
        <v>8</v>
      </c>
      <c r="C3" s="4" t="s">
        <v>9</v>
      </c>
      <c r="D3" s="4">
        <v>2020.7</v>
      </c>
      <c r="E3" s="5">
        <v>571558.07999999996</v>
      </c>
      <c r="F3" s="5">
        <v>457246.46</v>
      </c>
      <c r="G3" s="5">
        <f t="shared" si="0"/>
        <v>114311.61999999994</v>
      </c>
    </row>
    <row r="4" spans="1:7" x14ac:dyDescent="0.15">
      <c r="A4" s="16" t="s">
        <v>11</v>
      </c>
      <c r="B4" s="4" t="s">
        <v>8</v>
      </c>
      <c r="C4" s="4" t="s">
        <v>9</v>
      </c>
      <c r="D4" s="11">
        <v>2020.7</v>
      </c>
      <c r="E4" s="5">
        <v>832650.52</v>
      </c>
      <c r="F4" s="5">
        <v>832650.52</v>
      </c>
      <c r="G4" s="5">
        <f t="shared" si="0"/>
        <v>0</v>
      </c>
    </row>
    <row r="5" spans="1:7" x14ac:dyDescent="0.15">
      <c r="A5" s="16" t="s">
        <v>30</v>
      </c>
      <c r="B5" s="4" t="s">
        <v>8</v>
      </c>
      <c r="C5" s="4" t="s">
        <v>9</v>
      </c>
      <c r="D5" s="4">
        <v>2025.12</v>
      </c>
      <c r="E5" s="5">
        <v>1477.8</v>
      </c>
      <c r="F5" s="5"/>
      <c r="G5" s="5">
        <v>1477.8</v>
      </c>
    </row>
    <row r="6" spans="1:7" x14ac:dyDescent="0.15">
      <c r="A6" s="16" t="s">
        <v>31</v>
      </c>
      <c r="B6" s="4" t="s">
        <v>8</v>
      </c>
      <c r="C6" s="4" t="s">
        <v>9</v>
      </c>
      <c r="D6" s="4">
        <v>2025.12</v>
      </c>
      <c r="E6" s="5">
        <v>23757.5</v>
      </c>
      <c r="F6" s="5"/>
      <c r="G6" s="5">
        <v>23757.5</v>
      </c>
    </row>
    <row r="7" spans="1:7" x14ac:dyDescent="0.15">
      <c r="A7" s="16" t="s">
        <v>32</v>
      </c>
      <c r="B7" s="4" t="s">
        <v>8</v>
      </c>
      <c r="C7" s="4" t="s">
        <v>9</v>
      </c>
      <c r="D7" s="4">
        <v>2025.12</v>
      </c>
      <c r="E7" s="5">
        <v>11195.13</v>
      </c>
      <c r="F7" s="5"/>
      <c r="G7" s="5">
        <v>11195.13</v>
      </c>
    </row>
    <row r="8" spans="1:7" x14ac:dyDescent="0.15">
      <c r="A8" s="16" t="s">
        <v>33</v>
      </c>
      <c r="B8" s="4" t="s">
        <v>8</v>
      </c>
      <c r="C8" s="4" t="s">
        <v>9</v>
      </c>
      <c r="D8" s="4">
        <v>2025.12</v>
      </c>
      <c r="E8" s="5">
        <v>30404.57</v>
      </c>
      <c r="F8" s="5"/>
      <c r="G8" s="5">
        <v>30404.57</v>
      </c>
    </row>
    <row r="9" spans="1:7" x14ac:dyDescent="0.15">
      <c r="A9" s="16" t="s">
        <v>34</v>
      </c>
      <c r="B9" s="4" t="s">
        <v>8</v>
      </c>
      <c r="C9" s="4" t="s">
        <v>9</v>
      </c>
      <c r="D9" s="4">
        <v>2025.12</v>
      </c>
      <c r="E9" s="5">
        <v>4651.79</v>
      </c>
      <c r="F9" s="5"/>
      <c r="G9" s="5">
        <v>4651.79</v>
      </c>
    </row>
    <row r="10" spans="1:7" x14ac:dyDescent="0.15">
      <c r="A10" s="13" t="s">
        <v>12</v>
      </c>
      <c r="B10" s="12" t="s">
        <v>27</v>
      </c>
      <c r="C10" s="4" t="s">
        <v>14</v>
      </c>
      <c r="D10" s="11">
        <v>2020.12</v>
      </c>
      <c r="E10" s="5">
        <v>12000000</v>
      </c>
      <c r="F10" s="5">
        <v>12000000</v>
      </c>
      <c r="G10" s="5">
        <f t="shared" si="0"/>
        <v>0</v>
      </c>
    </row>
    <row r="11" spans="1:7" x14ac:dyDescent="0.15">
      <c r="A11" s="13" t="s">
        <v>15</v>
      </c>
      <c r="B11" s="4" t="s">
        <v>13</v>
      </c>
      <c r="C11" s="4" t="s">
        <v>16</v>
      </c>
      <c r="D11" s="11">
        <v>2024.7</v>
      </c>
      <c r="E11" s="5">
        <v>4920.46</v>
      </c>
      <c r="F11" s="5">
        <v>1968.18</v>
      </c>
      <c r="G11" s="5">
        <f t="shared" si="0"/>
        <v>2952.2799999999997</v>
      </c>
    </row>
    <row r="12" spans="1:7" x14ac:dyDescent="0.15">
      <c r="A12" s="16" t="s">
        <v>17</v>
      </c>
      <c r="B12" s="4" t="s">
        <v>13</v>
      </c>
      <c r="C12" s="4" t="s">
        <v>18</v>
      </c>
      <c r="D12" s="17">
        <v>2026.3</v>
      </c>
      <c r="E12" s="5">
        <v>40811.31</v>
      </c>
      <c r="F12" s="4"/>
      <c r="G12" s="5">
        <v>40811.31</v>
      </c>
    </row>
  </sheetData>
  <autoFilter ref="A1:G12" xr:uid="{00000000-0009-0000-0000-000000000000}"/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E2" sqref="E2:E6"/>
    </sheetView>
  </sheetViews>
  <sheetFormatPr defaultColWidth="9" defaultRowHeight="13.5" x14ac:dyDescent="0.15"/>
  <cols>
    <col min="1" max="1" width="45.25" customWidth="1"/>
    <col min="2" max="4" width="14.25" customWidth="1"/>
    <col min="5" max="5" width="15.125" customWidth="1"/>
  </cols>
  <sheetData>
    <row r="1" spans="1:5" ht="14.25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19</v>
      </c>
    </row>
    <row r="2" spans="1:5" x14ac:dyDescent="0.15">
      <c r="A2" s="13" t="s">
        <v>20</v>
      </c>
      <c r="B2" s="4" t="s">
        <v>21</v>
      </c>
      <c r="C2" s="4" t="s">
        <v>22</v>
      </c>
      <c r="D2" s="13">
        <v>2017.11</v>
      </c>
      <c r="E2" s="5">
        <v>515000</v>
      </c>
    </row>
    <row r="3" spans="1:5" x14ac:dyDescent="0.15">
      <c r="A3" s="13" t="s">
        <v>24</v>
      </c>
      <c r="B3" s="4" t="s">
        <v>21</v>
      </c>
      <c r="C3" s="4" t="s">
        <v>23</v>
      </c>
      <c r="D3" s="15">
        <v>2024.11</v>
      </c>
      <c r="E3" s="5">
        <v>110255.51</v>
      </c>
    </row>
    <row r="4" spans="1:5" x14ac:dyDescent="0.15">
      <c r="A4" s="14" t="s">
        <v>26</v>
      </c>
      <c r="B4" s="4" t="s">
        <v>21</v>
      </c>
      <c r="C4" s="4" t="s">
        <v>25</v>
      </c>
      <c r="D4" s="13">
        <v>2025.6</v>
      </c>
      <c r="E4" s="5">
        <v>2000</v>
      </c>
    </row>
    <row r="5" spans="1:5" x14ac:dyDescent="0.15">
      <c r="A5" s="14" t="s">
        <v>28</v>
      </c>
      <c r="B5" s="4" t="s">
        <v>21</v>
      </c>
      <c r="C5" s="12" t="s">
        <v>29</v>
      </c>
      <c r="D5" s="13">
        <v>2026.2</v>
      </c>
      <c r="E5" s="5">
        <v>18750.939999999999</v>
      </c>
    </row>
    <row r="6" spans="1:5" x14ac:dyDescent="0.15">
      <c r="A6" s="4"/>
      <c r="B6" s="4"/>
      <c r="C6" s="4"/>
      <c r="D6" s="4"/>
      <c r="E6" s="4"/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应收款明细统计</vt:lpstr>
      <vt:lpstr>应付款明细统计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zhou</dc:creator>
  <cp:lastModifiedBy>雯雯 梁</cp:lastModifiedBy>
  <dcterms:created xsi:type="dcterms:W3CDTF">2023-12-26T09:17:00Z</dcterms:created>
  <dcterms:modified xsi:type="dcterms:W3CDTF">2026-05-07T06:48:53Z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6D0CF395F6F14676882628D91C5E745F</vt:lpwstr>
  </property>
  <property fmtid="{D5CDD505-2E9C-101B-9397-08002B2CF9AE}" pid="3" name="KSOProductBuildVer">
    <vt:lpwstr>2052-12.1.0.19302</vt:lpwstr>
  </property>
</Properties>
</file>