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F:\2023.9.13\君康联谊\君康联谊\3、财务报表\财务报表（月度）--本公司\2026年度\"/>
    </mc:Choice>
  </mc:AlternateContent>
  <xr:revisionPtr revIDLastSave="0" documentId="13_ncr:1_{87E860E5-72A3-4DF6-91DF-B8BACDD8926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指标统计" sheetId="5" r:id="rId1"/>
    <sheet name="预算执行汇总" sheetId="3" r:id="rId2"/>
    <sheet name="费用预算执行明细" sheetId="2" r:id="rId3"/>
    <sheet name="资本性支出计划与执行" sheetId="4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3" l="1"/>
  <c r="F13" i="3"/>
  <c r="F9" i="2"/>
  <c r="E9" i="2"/>
  <c r="F10" i="2"/>
  <c r="F6" i="2"/>
  <c r="E5" i="5"/>
  <c r="F5" i="5"/>
  <c r="H5" i="5"/>
  <c r="I5" i="5"/>
  <c r="J5" i="5"/>
  <c r="K5" i="5"/>
  <c r="L5" i="5"/>
  <c r="M5" i="5"/>
  <c r="N5" i="5"/>
  <c r="O5" i="5"/>
  <c r="D5" i="5"/>
  <c r="E22" i="2"/>
  <c r="E15" i="2"/>
  <c r="E10" i="2"/>
  <c r="E6" i="2"/>
  <c r="E14" i="3"/>
  <c r="E13" i="3" l="1"/>
  <c r="E6" i="5" l="1"/>
  <c r="D14" i="3"/>
  <c r="D10" i="2"/>
  <c r="D6" i="2"/>
  <c r="D9" i="2" l="1"/>
  <c r="C9" i="2"/>
  <c r="D13" i="3"/>
  <c r="C18" i="3"/>
  <c r="D6" i="5"/>
  <c r="C10" i="2"/>
  <c r="C14" i="3"/>
  <c r="C15" i="3"/>
  <c r="C13" i="3"/>
  <c r="C45" i="2"/>
  <c r="O11" i="2"/>
  <c r="P11" i="2" s="1"/>
  <c r="M5" i="2" l="1"/>
  <c r="D14" i="2"/>
  <c r="D8" i="3" s="1"/>
  <c r="E10" i="5" s="1"/>
  <c r="O12" i="2"/>
  <c r="P12" i="2" s="1"/>
  <c r="B80" i="2"/>
  <c r="B46" i="2" s="1"/>
  <c r="B9" i="3" s="1"/>
  <c r="C11" i="5" s="1"/>
  <c r="C14" i="2"/>
  <c r="E14" i="2"/>
  <c r="F14" i="2"/>
  <c r="F8" i="3" s="1"/>
  <c r="G10" i="5" s="1"/>
  <c r="G14" i="2"/>
  <c r="G8" i="3" s="1"/>
  <c r="H10" i="5" s="1"/>
  <c r="H14" i="2"/>
  <c r="H8" i="3"/>
  <c r="I14" i="2"/>
  <c r="I8" i="3" s="1"/>
  <c r="J10" i="5" s="1"/>
  <c r="J14" i="2"/>
  <c r="J8" i="3"/>
  <c r="K10" i="5"/>
  <c r="K14" i="2"/>
  <c r="L14" i="2"/>
  <c r="L8" i="3"/>
  <c r="M10" i="5"/>
  <c r="M14" i="2"/>
  <c r="M8" i="3" s="1"/>
  <c r="N10" i="5" s="1"/>
  <c r="N14" i="2"/>
  <c r="N8" i="3"/>
  <c r="O10" i="5"/>
  <c r="B14" i="2"/>
  <c r="B8" i="3" s="1"/>
  <c r="C10" i="5" s="1"/>
  <c r="C5" i="2"/>
  <c r="C7" i="3" s="1"/>
  <c r="D9" i="5" s="1"/>
  <c r="D5" i="2"/>
  <c r="D7" i="3" s="1"/>
  <c r="E9" i="5" s="1"/>
  <c r="E5" i="2"/>
  <c r="E7" i="3" s="1"/>
  <c r="F9" i="5" s="1"/>
  <c r="F5" i="2"/>
  <c r="F7" i="3" s="1"/>
  <c r="G9" i="5" s="1"/>
  <c r="G5" i="2"/>
  <c r="G7" i="3" s="1"/>
  <c r="H9" i="5" s="1"/>
  <c r="H5" i="2"/>
  <c r="H7" i="3" s="1"/>
  <c r="I9" i="5" s="1"/>
  <c r="I5" i="2"/>
  <c r="I7" i="3" s="1"/>
  <c r="J9" i="5" s="1"/>
  <c r="J5" i="2"/>
  <c r="J4" i="2" s="1"/>
  <c r="J6" i="3" s="1"/>
  <c r="K5" i="2"/>
  <c r="K4" i="2" s="1"/>
  <c r="K6" i="3" s="1"/>
  <c r="K7" i="3"/>
  <c r="L9" i="5"/>
  <c r="L5" i="2"/>
  <c r="L7" i="3" s="1"/>
  <c r="N5" i="2"/>
  <c r="N7" i="3" s="1"/>
  <c r="O9" i="5" s="1"/>
  <c r="B5" i="2"/>
  <c r="H15" i="4"/>
  <c r="G15" i="4"/>
  <c r="H12" i="4"/>
  <c r="H11" i="4"/>
  <c r="H10" i="4"/>
  <c r="H9" i="4"/>
  <c r="H8" i="4"/>
  <c r="H7" i="4"/>
  <c r="H6" i="4"/>
  <c r="H5" i="4"/>
  <c r="H4" i="4"/>
  <c r="H3" i="4"/>
  <c r="O85" i="2"/>
  <c r="P85" i="2" s="1"/>
  <c r="O84" i="2"/>
  <c r="P84" i="2" s="1"/>
  <c r="O83" i="2"/>
  <c r="P83" i="2" s="1"/>
  <c r="O82" i="2"/>
  <c r="P82" i="2"/>
  <c r="O81" i="2"/>
  <c r="N80" i="2"/>
  <c r="N11" i="3" s="1"/>
  <c r="O13" i="5" s="1"/>
  <c r="N46" i="2"/>
  <c r="N9" i="3"/>
  <c r="N16" i="3" s="1"/>
  <c r="M80" i="2"/>
  <c r="M46" i="2" s="1"/>
  <c r="M9" i="3" s="1"/>
  <c r="M11" i="3"/>
  <c r="N13" i="5"/>
  <c r="L80" i="2"/>
  <c r="L11" i="3" s="1"/>
  <c r="M13" i="5" s="1"/>
  <c r="K80" i="2"/>
  <c r="J80" i="2"/>
  <c r="J11" i="3"/>
  <c r="K13" i="5"/>
  <c r="I80" i="2"/>
  <c r="I46" i="2" s="1"/>
  <c r="I9" i="3" s="1"/>
  <c r="I11" i="3"/>
  <c r="J13" i="5"/>
  <c r="H80" i="2"/>
  <c r="H11" i="3"/>
  <c r="I13" i="5"/>
  <c r="G80" i="2"/>
  <c r="F80" i="2"/>
  <c r="F46" i="2" s="1"/>
  <c r="F9" i="3" s="1"/>
  <c r="E80" i="2"/>
  <c r="E11" i="3" s="1"/>
  <c r="F13" i="5" s="1"/>
  <c r="D80" i="2"/>
  <c r="D11" i="3" s="1"/>
  <c r="E13" i="5" s="1"/>
  <c r="C80" i="2"/>
  <c r="C11" i="3" s="1"/>
  <c r="O79" i="2"/>
  <c r="P79" i="2" s="1"/>
  <c r="O78" i="2"/>
  <c r="P78" i="2"/>
  <c r="O77" i="2"/>
  <c r="P77" i="2" s="1"/>
  <c r="O76" i="2"/>
  <c r="P76" i="2" s="1"/>
  <c r="O75" i="2"/>
  <c r="P75" i="2"/>
  <c r="O74" i="2"/>
  <c r="P74" i="2" s="1"/>
  <c r="O73" i="2"/>
  <c r="P73" i="2"/>
  <c r="O72" i="2"/>
  <c r="P72" i="2" s="1"/>
  <c r="O71" i="2"/>
  <c r="P71" i="2" s="1"/>
  <c r="O70" i="2"/>
  <c r="P70" i="2"/>
  <c r="O69" i="2"/>
  <c r="P69" i="2" s="1"/>
  <c r="O68" i="2"/>
  <c r="P68" i="2" s="1"/>
  <c r="O67" i="2"/>
  <c r="P67" i="2"/>
  <c r="O66" i="2"/>
  <c r="P66" i="2" s="1"/>
  <c r="O65" i="2"/>
  <c r="P65" i="2"/>
  <c r="O64" i="2"/>
  <c r="P64" i="2" s="1"/>
  <c r="O63" i="2"/>
  <c r="P63" i="2" s="1"/>
  <c r="O62" i="2"/>
  <c r="P62" i="2"/>
  <c r="O61" i="2"/>
  <c r="P61" i="2" s="1"/>
  <c r="O60" i="2"/>
  <c r="P60" i="2" s="1"/>
  <c r="O59" i="2"/>
  <c r="P59" i="2"/>
  <c r="O58" i="2"/>
  <c r="P58" i="2" s="1"/>
  <c r="O57" i="2"/>
  <c r="P57" i="2"/>
  <c r="O56" i="2"/>
  <c r="P56" i="2" s="1"/>
  <c r="O55" i="2"/>
  <c r="P55" i="2" s="1"/>
  <c r="O54" i="2"/>
  <c r="P54" i="2"/>
  <c r="O53" i="2"/>
  <c r="P53" i="2" s="1"/>
  <c r="O52" i="2"/>
  <c r="P52" i="2" s="1"/>
  <c r="O51" i="2"/>
  <c r="P51" i="2"/>
  <c r="O50" i="2"/>
  <c r="P50" i="2" s="1"/>
  <c r="O49" i="2"/>
  <c r="P49" i="2"/>
  <c r="O48" i="2"/>
  <c r="P48" i="2" s="1"/>
  <c r="N47" i="2"/>
  <c r="N10" i="3" s="1"/>
  <c r="O12" i="5" s="1"/>
  <c r="M47" i="2"/>
  <c r="M10" i="3"/>
  <c r="N12" i="5"/>
  <c r="L47" i="2"/>
  <c r="L10" i="3"/>
  <c r="M12" i="5"/>
  <c r="K47" i="2"/>
  <c r="K46" i="2" s="1"/>
  <c r="K9" i="3" s="1"/>
  <c r="K10" i="3"/>
  <c r="L12" i="5"/>
  <c r="J47" i="2"/>
  <c r="J46" i="2" s="1"/>
  <c r="J9" i="3" s="1"/>
  <c r="J10" i="3"/>
  <c r="K12" i="5" s="1"/>
  <c r="I47" i="2"/>
  <c r="I10" i="3"/>
  <c r="J12" i="5"/>
  <c r="H47" i="2"/>
  <c r="H10" i="3"/>
  <c r="I12" i="5"/>
  <c r="G47" i="2"/>
  <c r="G10" i="3"/>
  <c r="H12" i="5"/>
  <c r="F47" i="2"/>
  <c r="F10" i="3"/>
  <c r="G12" i="5"/>
  <c r="E47" i="2"/>
  <c r="E46" i="2" s="1"/>
  <c r="E9" i="3" s="1"/>
  <c r="D47" i="2"/>
  <c r="D46" i="2" s="1"/>
  <c r="D9" i="3" s="1"/>
  <c r="C47" i="2"/>
  <c r="C46" i="2" s="1"/>
  <c r="B47" i="2"/>
  <c r="O45" i="2"/>
  <c r="P45" i="2" s="1"/>
  <c r="O44" i="2"/>
  <c r="P44" i="2"/>
  <c r="O43" i="2"/>
  <c r="P43" i="2"/>
  <c r="O42" i="2"/>
  <c r="P42" i="2"/>
  <c r="O41" i="2"/>
  <c r="P41" i="2" s="1"/>
  <c r="O40" i="2"/>
  <c r="P40" i="2"/>
  <c r="O39" i="2"/>
  <c r="P39" i="2"/>
  <c r="O38" i="2"/>
  <c r="P38" i="2"/>
  <c r="O37" i="2"/>
  <c r="P37" i="2" s="1"/>
  <c r="O36" i="2"/>
  <c r="P36" i="2"/>
  <c r="O35" i="2"/>
  <c r="P35" i="2"/>
  <c r="O34" i="2"/>
  <c r="P34" i="2"/>
  <c r="O33" i="2"/>
  <c r="P33" i="2" s="1"/>
  <c r="O32" i="2"/>
  <c r="P32" i="2"/>
  <c r="O31" i="2"/>
  <c r="P31" i="2"/>
  <c r="O30" i="2"/>
  <c r="P30" i="2"/>
  <c r="O29" i="2"/>
  <c r="P29" i="2"/>
  <c r="O28" i="2"/>
  <c r="P28" i="2"/>
  <c r="O27" i="2"/>
  <c r="P27" i="2"/>
  <c r="O26" i="2"/>
  <c r="P26" i="2"/>
  <c r="O25" i="2"/>
  <c r="P25" i="2" s="1"/>
  <c r="O24" i="2"/>
  <c r="P24" i="2"/>
  <c r="O23" i="2"/>
  <c r="P23" i="2" s="1"/>
  <c r="O22" i="2"/>
  <c r="P22" i="2" s="1"/>
  <c r="O21" i="2"/>
  <c r="P21" i="2"/>
  <c r="O20" i="2"/>
  <c r="P20" i="2"/>
  <c r="O19" i="2"/>
  <c r="P19" i="2"/>
  <c r="O18" i="2"/>
  <c r="P18" i="2"/>
  <c r="O17" i="2"/>
  <c r="P17" i="2" s="1"/>
  <c r="O16" i="2"/>
  <c r="P16" i="2"/>
  <c r="O15" i="2"/>
  <c r="P15" i="2" s="1"/>
  <c r="O13" i="2"/>
  <c r="P13" i="2" s="1"/>
  <c r="O9" i="2"/>
  <c r="P9" i="2" s="1"/>
  <c r="O8" i="2"/>
  <c r="P8" i="2"/>
  <c r="O7" i="2"/>
  <c r="P7" i="2"/>
  <c r="O6" i="2"/>
  <c r="P6" i="2" s="1"/>
  <c r="P19" i="3"/>
  <c r="O15" i="3"/>
  <c r="P15" i="3" s="1"/>
  <c r="O14" i="3"/>
  <c r="P14" i="3" s="1"/>
  <c r="O13" i="3"/>
  <c r="P13" i="3" s="1"/>
  <c r="P12" i="3"/>
  <c r="O12" i="3"/>
  <c r="K11" i="3"/>
  <c r="G11" i="3"/>
  <c r="H13" i="5" s="1"/>
  <c r="F11" i="3"/>
  <c r="G13" i="5" s="1"/>
  <c r="K8" i="3"/>
  <c r="L10" i="5"/>
  <c r="E8" i="3"/>
  <c r="F10" i="5" s="1"/>
  <c r="P4" i="3"/>
  <c r="O4" i="3"/>
  <c r="Q20" i="5"/>
  <c r="P20" i="5" a="1"/>
  <c r="P20" i="5"/>
  <c r="Q19" i="5"/>
  <c r="P19" i="5" a="1"/>
  <c r="P19" i="5"/>
  <c r="Q18" i="5"/>
  <c r="P18" i="5" a="1"/>
  <c r="P18" i="5"/>
  <c r="Q17" i="5"/>
  <c r="P17" i="5" a="1"/>
  <c r="P17" i="5"/>
  <c r="Q16" i="5"/>
  <c r="P16" i="5"/>
  <c r="Q15" i="5"/>
  <c r="P15" i="5"/>
  <c r="O14" i="5"/>
  <c r="N14" i="5"/>
  <c r="M14" i="5"/>
  <c r="L14" i="5"/>
  <c r="K14" i="5"/>
  <c r="J14" i="5"/>
  <c r="I14" i="5"/>
  <c r="H14" i="5"/>
  <c r="G14" i="5"/>
  <c r="F14" i="5"/>
  <c r="E14" i="5"/>
  <c r="D14" i="5"/>
  <c r="L13" i="5"/>
  <c r="D7" i="5" a="1"/>
  <c r="C14" i="5"/>
  <c r="C13" i="5"/>
  <c r="C12" i="5"/>
  <c r="C7" i="5" a="1"/>
  <c r="P6" i="5"/>
  <c r="Q6" i="5" s="1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 a="1"/>
  <c r="D4" i="5"/>
  <c r="C4" i="5"/>
  <c r="G46" i="2"/>
  <c r="G9" i="3"/>
  <c r="G16" i="3" s="1"/>
  <c r="H46" i="2"/>
  <c r="H9" i="3"/>
  <c r="I11" i="5" s="1"/>
  <c r="I10" i="5"/>
  <c r="H11" i="5"/>
  <c r="H16" i="3"/>
  <c r="F4" i="2" l="1"/>
  <c r="F6" i="3" s="1"/>
  <c r="G8" i="5" s="1"/>
  <c r="E4" i="2"/>
  <c r="E6" i="3" s="1"/>
  <c r="D4" i="2"/>
  <c r="D6" i="3" s="1"/>
  <c r="C4" i="2"/>
  <c r="C6" i="3" s="1"/>
  <c r="C8" i="3"/>
  <c r="D10" i="5" s="1"/>
  <c r="B4" i="2"/>
  <c r="B6" i="3" s="1"/>
  <c r="B5" i="3" s="1"/>
  <c r="C7" i="5" s="1"/>
  <c r="B7" i="3"/>
  <c r="C9" i="5" s="1"/>
  <c r="M16" i="3"/>
  <c r="N11" i="5"/>
  <c r="G11" i="5"/>
  <c r="F16" i="3"/>
  <c r="J16" i="3"/>
  <c r="K11" i="5"/>
  <c r="D16" i="3"/>
  <c r="E11" i="5"/>
  <c r="J11" i="5"/>
  <c r="I16" i="3"/>
  <c r="F11" i="5"/>
  <c r="E16" i="3"/>
  <c r="K16" i="3"/>
  <c r="L11" i="5"/>
  <c r="C9" i="3"/>
  <c r="D13" i="5"/>
  <c r="P13" i="5" s="1"/>
  <c r="Q13" i="5" s="1"/>
  <c r="O11" i="3"/>
  <c r="P11" i="3" s="1"/>
  <c r="O11" i="5"/>
  <c r="O80" i="2"/>
  <c r="P80" i="2" s="1"/>
  <c r="D10" i="3"/>
  <c r="E12" i="5" s="1"/>
  <c r="E10" i="3"/>
  <c r="F12" i="5" s="1"/>
  <c r="O47" i="2"/>
  <c r="P47" i="2" s="1"/>
  <c r="G4" i="2"/>
  <c r="G6" i="3" s="1"/>
  <c r="H4" i="2"/>
  <c r="H6" i="3" s="1"/>
  <c r="H5" i="3" s="1"/>
  <c r="I7" i="5" s="1"/>
  <c r="L46" i="2"/>
  <c r="L9" i="3" s="1"/>
  <c r="J7" i="3"/>
  <c r="K9" i="5" s="1"/>
  <c r="C10" i="3"/>
  <c r="E18" i="3"/>
  <c r="F8" i="5"/>
  <c r="K18" i="3"/>
  <c r="L8" i="5"/>
  <c r="O8" i="3"/>
  <c r="P8" i="3" s="1"/>
  <c r="O14" i="2"/>
  <c r="P14" i="2" s="1"/>
  <c r="D8" i="5"/>
  <c r="I4" i="2"/>
  <c r="I6" i="3" s="1"/>
  <c r="I5" i="3" s="1"/>
  <c r="J7" i="5" s="1"/>
  <c r="C5" i="3"/>
  <c r="D7" i="5" s="1"/>
  <c r="D5" i="3"/>
  <c r="E7" i="5" s="1"/>
  <c r="D18" i="3"/>
  <c r="E8" i="5"/>
  <c r="J5" i="3"/>
  <c r="K7" i="5" s="1"/>
  <c r="J18" i="3"/>
  <c r="K8" i="5"/>
  <c r="K5" i="3"/>
  <c r="L7" i="5" s="1"/>
  <c r="L4" i="2"/>
  <c r="L6" i="3" s="1"/>
  <c r="E5" i="3"/>
  <c r="F7" i="5" s="1"/>
  <c r="N4" i="2"/>
  <c r="N6" i="3" s="1"/>
  <c r="O8" i="5" s="1"/>
  <c r="O5" i="2"/>
  <c r="P5" i="2" s="1"/>
  <c r="M7" i="3"/>
  <c r="N9" i="5" s="1"/>
  <c r="M4" i="2"/>
  <c r="O10" i="2"/>
  <c r="P10" i="2" s="1"/>
  <c r="P10" i="5"/>
  <c r="Q10" i="5" s="1"/>
  <c r="P14" i="5"/>
  <c r="Q14" i="5" s="1"/>
  <c r="M9" i="5"/>
  <c r="F5" i="3" l="1"/>
  <c r="G7" i="5" s="1"/>
  <c r="F18" i="3"/>
  <c r="G5" i="5" s="1"/>
  <c r="P5" i="5" s="1"/>
  <c r="Q5" i="5" s="1"/>
  <c r="C8" i="5"/>
  <c r="O10" i="3"/>
  <c r="P10" i="3" s="1"/>
  <c r="D12" i="5"/>
  <c r="P12" i="5" s="1"/>
  <c r="Q12" i="5" s="1"/>
  <c r="G18" i="3"/>
  <c r="H8" i="5"/>
  <c r="H18" i="3"/>
  <c r="G5" i="3"/>
  <c r="H7" i="5" s="1"/>
  <c r="L18" i="3"/>
  <c r="O9" i="3"/>
  <c r="C16" i="3"/>
  <c r="D11" i="5"/>
  <c r="O46" i="2"/>
  <c r="P46" i="2" s="1"/>
  <c r="L16" i="3"/>
  <c r="M11" i="5"/>
  <c r="I8" i="5"/>
  <c r="M8" i="5"/>
  <c r="I18" i="3"/>
  <c r="J8" i="5"/>
  <c r="L5" i="3"/>
  <c r="P9" i="5"/>
  <c r="Q9" i="5" s="1"/>
  <c r="O7" i="3"/>
  <c r="P7" i="3" s="1"/>
  <c r="N5" i="3"/>
  <c r="O7" i="5" s="1"/>
  <c r="N18" i="3"/>
  <c r="M6" i="3"/>
  <c r="O4" i="2"/>
  <c r="P4" i="2" s="1"/>
  <c r="M7" i="5"/>
  <c r="P11" i="5" l="1"/>
  <c r="Q11" i="5" s="1"/>
  <c r="O16" i="3"/>
  <c r="P9" i="3"/>
  <c r="N8" i="5"/>
  <c r="P8" i="5" s="1"/>
  <c r="Q8" i="5" s="1"/>
  <c r="M18" i="3"/>
  <c r="O6" i="3"/>
  <c r="M5" i="3"/>
  <c r="N7" i="5" l="1"/>
  <c r="P7" i="5" s="1"/>
  <c r="Q7" i="5" s="1"/>
  <c r="O5" i="3"/>
  <c r="P5" i="3" s="1"/>
  <c r="O18" i="3"/>
  <c r="P18" i="3" s="1"/>
  <c r="P6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<sst xmlns="http://schemas.openxmlformats.org/spreadsheetml/2006/main" count="202" uniqueCount="122">
  <si>
    <t>指标</t>
  </si>
  <si>
    <t>项目</t>
  </si>
  <si>
    <t>执行率</t>
  </si>
  <si>
    <t>指标说明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</si>
  <si>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</si>
  <si>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</si>
  <si>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</si>
  <si>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</si>
  <si>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</si>
  <si>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</si>
  <si>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</si>
  <si>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</si>
  <si>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</si>
  <si>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</si>
  <si>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</si>
  <si>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</si>
  <si>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经营指标</t>
  </si>
  <si>
    <t>营业收入</t>
  </si>
  <si>
    <t>EBITDA/GOP/扣非净利润</t>
  </si>
  <si>
    <t>EBITDA（商写适用）/GOP（酒店适用）/扣非净利润（保险中介适用）</t>
  </si>
  <si>
    <t>经营活动净现金流</t>
  </si>
  <si>
    <t>财务指标</t>
  </si>
  <si>
    <t>经营支出小计</t>
  </si>
  <si>
    <t>固定费用</t>
  </si>
  <si>
    <t>人力费用</t>
  </si>
  <si>
    <t>日常费用</t>
  </si>
  <si>
    <t>变动费用</t>
  </si>
  <si>
    <t>经营变动费用</t>
  </si>
  <si>
    <t>营业成本</t>
  </si>
  <si>
    <t>资本性支出</t>
  </si>
  <si>
    <t>业务指标</t>
  </si>
  <si>
    <t>期末出租率/月均入住率</t>
  </si>
  <si>
    <t>期末出租率(商写适用)/月均入住率(酒店适用)</t>
  </si>
  <si>
    <t>回款率</t>
  </si>
  <si>
    <t>商写及酒店适用</t>
  </si>
  <si>
    <t>OTA网络评价</t>
  </si>
  <si>
    <t>酒店适用</t>
  </si>
  <si>
    <t>期交规保</t>
  </si>
  <si>
    <t>保险中介适用</t>
  </si>
  <si>
    <t>13月继续率</t>
  </si>
  <si>
    <t>25月继续率</t>
  </si>
  <si>
    <t>备注</t>
  </si>
  <si>
    <t>EBITDA=营业收入-固定费用-变动费用-税金及附加</t>
  </si>
  <si>
    <t>GOP=营业收入-固定费用-变动费用-财务费用（不含利息费用）</t>
  </si>
  <si>
    <t>需填列单元格</t>
  </si>
  <si>
    <t xml:space="preserve"> 固定费用</t>
  </si>
  <si>
    <t xml:space="preserve">  人力费用</t>
  </si>
  <si>
    <t xml:space="preserve">  日常费用</t>
  </si>
  <si>
    <t xml:space="preserve">  经营变动费用支出</t>
  </si>
  <si>
    <t xml:space="preserve">  营业成本支出</t>
  </si>
  <si>
    <t>折旧摊销</t>
  </si>
  <si>
    <t>财务费用</t>
  </si>
  <si>
    <t>税金及附加</t>
  </si>
  <si>
    <t>变动费用率</t>
  </si>
  <si>
    <t>EBITDA</t>
  </si>
  <si>
    <t>GOP</t>
  </si>
  <si>
    <t>人力费用合计</t>
  </si>
  <si>
    <t>固定工资</t>
  </si>
  <si>
    <t>绩效工资</t>
  </si>
  <si>
    <t>奖金</t>
  </si>
  <si>
    <t>福利费</t>
  </si>
  <si>
    <t>固定费用支出合计</t>
  </si>
  <si>
    <t>邮寄费</t>
  </si>
  <si>
    <t>差旅费</t>
  </si>
  <si>
    <t>业务招待费</t>
  </si>
  <si>
    <t>汽车费</t>
  </si>
  <si>
    <t>低值易耗品及修理费</t>
  </si>
  <si>
    <t>信息系统费</t>
  </si>
  <si>
    <t>通讯费</t>
  </si>
  <si>
    <t>交通费</t>
  </si>
  <si>
    <t>办公费</t>
  </si>
  <si>
    <t>会议费</t>
  </si>
  <si>
    <t>水电费</t>
  </si>
  <si>
    <t>招聘费</t>
  </si>
  <si>
    <t>展览费</t>
  </si>
  <si>
    <t>广告宣传费</t>
  </si>
  <si>
    <t>咨询服务费</t>
  </si>
  <si>
    <t>法律诉讼费</t>
  </si>
  <si>
    <t>工作餐费</t>
  </si>
  <si>
    <t>报关及代理费</t>
  </si>
  <si>
    <t>研究开发费</t>
  </si>
  <si>
    <t>质检认证费</t>
  </si>
  <si>
    <t>排污费</t>
  </si>
  <si>
    <t>社保服务费</t>
  </si>
  <si>
    <t>劳动保护费</t>
  </si>
  <si>
    <t>残疾人就业保障金</t>
  </si>
  <si>
    <t>财产保险费</t>
  </si>
  <si>
    <t>房租及物业费</t>
  </si>
  <si>
    <t>开办费</t>
  </si>
  <si>
    <t>存货盘存</t>
  </si>
  <si>
    <t>销售代理费</t>
  </si>
  <si>
    <t>销售佣金</t>
  </si>
  <si>
    <t>其他</t>
  </si>
  <si>
    <t>变动费用支出合计</t>
  </si>
  <si>
    <t>营业成本支出合计</t>
  </si>
  <si>
    <t>空置房物业费</t>
  </si>
  <si>
    <t>客房成本</t>
  </si>
  <si>
    <t>餐饮成本</t>
  </si>
  <si>
    <t>会务成本</t>
  </si>
  <si>
    <t>中厨房外包人力成本</t>
  </si>
  <si>
    <t>需填列</t>
  </si>
  <si>
    <t>资产类别</t>
  </si>
  <si>
    <t>资产类型</t>
  </si>
  <si>
    <t>资产名称</t>
  </si>
  <si>
    <t>数量</t>
  </si>
  <si>
    <t>单价</t>
  </si>
  <si>
    <t>金额</t>
  </si>
  <si>
    <t>固定资产</t>
  </si>
  <si>
    <t>家具用具</t>
  </si>
  <si>
    <t>资本性支出合计</t>
  </si>
  <si>
    <t>五险一金</t>
    <phoneticPr fontId="33" type="noConversion"/>
  </si>
  <si>
    <t>辞退补偿</t>
    <phoneticPr fontId="33" type="noConversion"/>
  </si>
  <si>
    <t>其他人力费用</t>
    <phoneticPr fontId="33" type="noConversion"/>
  </si>
  <si>
    <t>北京君康联谊企业管理有限公司2026年预算执行情况明细表</t>
    <phoneticPr fontId="33" type="noConversion"/>
  </si>
  <si>
    <r>
      <t>北京君康联谊企业管理有限公司202</t>
    </r>
    <r>
      <rPr>
        <b/>
        <sz val="14"/>
        <color theme="1"/>
        <rFont val="微软雅黑"/>
        <family val="2"/>
        <charset val="134"/>
      </rPr>
      <t>6</t>
    </r>
    <r>
      <rPr>
        <b/>
        <sz val="14"/>
        <color theme="1"/>
        <rFont val="微软雅黑"/>
        <family val="2"/>
        <charset val="134"/>
      </rPr>
      <t>年资本性支出执行情况明细表</t>
    </r>
    <phoneticPr fontId="33" type="noConversion"/>
  </si>
  <si>
    <r>
      <t>北京君康联谊企业管理有限公司202</t>
    </r>
    <r>
      <rPr>
        <b/>
        <sz val="14"/>
        <color theme="1"/>
        <rFont val="微软雅黑"/>
        <family val="2"/>
        <charset val="134"/>
      </rPr>
      <t>6</t>
    </r>
    <r>
      <rPr>
        <b/>
        <sz val="14"/>
        <color theme="1"/>
        <rFont val="微软雅黑"/>
        <family val="2"/>
        <charset val="134"/>
      </rPr>
      <t>年经营指标统计表</t>
    </r>
    <phoneticPr fontId="33" type="noConversion"/>
  </si>
  <si>
    <t>2026年预算</t>
    <phoneticPr fontId="33" type="noConversion"/>
  </si>
  <si>
    <t>2026年执行情况</t>
    <phoneticPr fontId="33" type="noConversion"/>
  </si>
  <si>
    <t>2026年实际</t>
    <phoneticPr fontId="33" type="noConversion"/>
  </si>
  <si>
    <r>
      <t>北京君康联谊企业管理有限公司202</t>
    </r>
    <r>
      <rPr>
        <b/>
        <sz val="14"/>
        <color theme="1"/>
        <rFont val="微软雅黑"/>
        <family val="2"/>
        <charset val="134"/>
      </rPr>
      <t>6</t>
    </r>
    <r>
      <rPr>
        <b/>
        <sz val="14"/>
        <color theme="1"/>
        <rFont val="微软雅黑"/>
        <family val="2"/>
        <charset val="134"/>
      </rPr>
      <t>年预算执行情况汇总表</t>
    </r>
    <phoneticPr fontId="33" type="noConversion"/>
  </si>
  <si>
    <t>2026年预算执行情况</t>
    <phoneticPr fontId="33" type="noConversion"/>
  </si>
  <si>
    <t>工会经费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</si>
</sst>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_-[$€-2]* #,##0.00_-;\-[$€-2]* #,##0.00_-;_-[$€-2]* &quot;-&quot;??_-"/>
    <numFmt numFmtId="177" formatCode="_(* #,##0.00_);_(* \(#,##0.00\);_(* &quot;-&quot;??_);_(@_)"/>
    <numFmt numFmtId="178" formatCode="yyyy&quot;年&quot;m&quot;月&quot;;@"/>
    <numFmt numFmtId="179" formatCode="_ * #,##0.00%_ ;[Red]_ * \-#,##0.00%_ ;_ * &quot;-&quot;??_ ;_ @_ "/>
    <numFmt numFmtId="180" formatCode="_ * #,##0.00_ ;[Red]_ * \-#,##0.00_ ;_ * &quot;-&quot;??_ ;_ @_ "/>
  </numFmts>
  <fonts count="35">
    <font>
      <sz val="11"/>
      <color theme="1"/>
      <name val="宋体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4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2"/>
      <color theme="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2"/>
      <color theme="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0"/>
      <color rgb="FF000000"/>
      <name val="等距更纱黑体 Slab SC"/>
      <charset val="134"/>
    </font>
    <font>
      <sz val="10"/>
      <color rgb="FF000000"/>
      <name val="等距更纱黑体 Slab SC"/>
      <charset val="134"/>
    </font>
    <font>
      <b/>
      <sz val="10"/>
      <color rgb="FF00000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sz val="8"/>
      <name val="微软雅黑"/>
      <family val="2"/>
      <charset val="134"/>
    </font>
    <font>
      <sz val="11"/>
      <color indexed="8"/>
      <name val="等线"/>
      <family val="3"/>
      <charset val="134"/>
    </font>
    <font>
      <sz val="12"/>
      <name val="Arial"/>
      <family val="2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723807489242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176" fontId="29" fillId="0" borderId="0">
      <alignment vertical="center"/>
    </xf>
    <xf numFmtId="0" fontId="30" fillId="0" borderId="0"/>
    <xf numFmtId="176" fontId="29" fillId="0" borderId="0">
      <alignment vertical="center"/>
    </xf>
    <xf numFmtId="176" fontId="31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177" fontId="29" fillId="0" borderId="0" applyFon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2" borderId="1" xfId="6" applyNumberFormat="1" applyFont="1" applyFill="1" applyBorder="1" applyAlignment="1">
      <alignment horizontal="center" vertical="center" wrapText="1"/>
    </xf>
    <xf numFmtId="0" fontId="4" fillId="2" borderId="1" xfId="6" applyNumberFormat="1" applyFont="1" applyFill="1" applyBorder="1" applyAlignment="1">
      <alignment horizontal="center" vertical="center"/>
    </xf>
    <xf numFmtId="43" fontId="5" fillId="3" borderId="1" xfId="6" applyFont="1" applyFill="1" applyBorder="1" applyAlignment="1">
      <alignment horizontal="left" vertical="center"/>
    </xf>
    <xf numFmtId="43" fontId="5" fillId="3" borderId="1" xfId="6" applyFont="1" applyFill="1" applyBorder="1" applyAlignment="1">
      <alignment horizontal="center" vertical="center"/>
    </xf>
    <xf numFmtId="0" fontId="6" fillId="5" borderId="1" xfId="6" applyNumberFormat="1" applyFont="1" applyFill="1" applyBorder="1" applyAlignment="1"/>
    <xf numFmtId="0" fontId="7" fillId="0" borderId="0" xfId="0" applyFont="1">
      <alignment vertical="center"/>
    </xf>
    <xf numFmtId="0" fontId="7" fillId="3" borderId="0" xfId="0" applyFont="1" applyFill="1">
      <alignment vertical="center"/>
    </xf>
    <xf numFmtId="0" fontId="3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10" fontId="10" fillId="0" borderId="0" xfId="1" applyNumberFormat="1" applyFont="1">
      <alignment vertical="center"/>
    </xf>
    <xf numFmtId="178" fontId="4" fillId="2" borderId="2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43" fontId="6" fillId="6" borderId="1" xfId="0" applyNumberFormat="1" applyFont="1" applyFill="1" applyBorder="1">
      <alignment vertical="center"/>
    </xf>
    <xf numFmtId="43" fontId="11" fillId="7" borderId="1" xfId="0" applyNumberFormat="1" applyFont="1" applyFill="1" applyBorder="1">
      <alignment vertical="center"/>
    </xf>
    <xf numFmtId="43" fontId="11" fillId="3" borderId="1" xfId="0" applyNumberFormat="1" applyFont="1" applyFill="1" applyBorder="1">
      <alignment vertical="center"/>
    </xf>
    <xf numFmtId="0" fontId="6" fillId="6" borderId="1" xfId="0" applyFont="1" applyFill="1" applyBorder="1">
      <alignment vertical="center"/>
    </xf>
    <xf numFmtId="178" fontId="4" fillId="2" borderId="3" xfId="0" applyNumberFormat="1" applyFont="1" applyFill="1" applyBorder="1" applyAlignment="1">
      <alignment horizontal="center" vertical="center"/>
    </xf>
    <xf numFmtId="0" fontId="6" fillId="6" borderId="1" xfId="1" applyNumberFormat="1" applyFont="1" applyFill="1" applyBorder="1">
      <alignment vertical="center"/>
    </xf>
    <xf numFmtId="43" fontId="12" fillId="3" borderId="1" xfId="0" applyNumberFormat="1" applyFont="1" applyFill="1" applyBorder="1">
      <alignment vertical="center"/>
    </xf>
    <xf numFmtId="43" fontId="11" fillId="5" borderId="1" xfId="0" applyNumberFormat="1" applyFont="1" applyFill="1" applyBorder="1">
      <alignment vertical="center"/>
    </xf>
    <xf numFmtId="0" fontId="11" fillId="5" borderId="1" xfId="1" applyNumberFormat="1" applyFont="1" applyFill="1" applyBorder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10" fontId="0" fillId="0" borderId="0" xfId="1" applyNumberFormat="1" applyFont="1">
      <alignment vertical="center"/>
    </xf>
    <xf numFmtId="43" fontId="6" fillId="3" borderId="1" xfId="0" applyNumberFormat="1" applyFont="1" applyFill="1" applyBorder="1">
      <alignment vertical="center"/>
    </xf>
    <xf numFmtId="0" fontId="11" fillId="5" borderId="1" xfId="0" applyFont="1" applyFill="1" applyBorder="1">
      <alignment vertical="center"/>
    </xf>
    <xf numFmtId="0" fontId="5" fillId="6" borderId="1" xfId="0" applyFont="1" applyFill="1" applyBorder="1">
      <alignment vertical="center"/>
    </xf>
    <xf numFmtId="43" fontId="5" fillId="6" borderId="1" xfId="0" applyNumberFormat="1" applyFont="1" applyFill="1" applyBorder="1">
      <alignment vertical="center"/>
    </xf>
    <xf numFmtId="43" fontId="5" fillId="3" borderId="1" xfId="0" applyNumberFormat="1" applyFont="1" applyFill="1" applyBorder="1">
      <alignment vertical="center"/>
    </xf>
    <xf numFmtId="0" fontId="11" fillId="0" borderId="1" xfId="0" applyFont="1" applyBorder="1">
      <alignment vertical="center"/>
    </xf>
    <xf numFmtId="0" fontId="6" fillId="6" borderId="4" xfId="0" applyFont="1" applyFill="1" applyBorder="1">
      <alignment vertical="center"/>
    </xf>
    <xf numFmtId="43" fontId="6" fillId="6" borderId="5" xfId="0" applyNumberFormat="1" applyFont="1" applyFill="1" applyBorder="1">
      <alignment vertical="center"/>
    </xf>
    <xf numFmtId="43" fontId="6" fillId="6" borderId="6" xfId="0" applyNumberFormat="1" applyFont="1" applyFill="1" applyBorder="1">
      <alignment vertical="center"/>
    </xf>
    <xf numFmtId="43" fontId="6" fillId="6" borderId="7" xfId="0" applyNumberFormat="1" applyFont="1" applyFill="1" applyBorder="1">
      <alignment vertical="center"/>
    </xf>
    <xf numFmtId="0" fontId="7" fillId="0" borderId="0" xfId="0" applyFont="1" applyAlignment="1">
      <alignment horizontal="left" vertical="center"/>
    </xf>
    <xf numFmtId="0" fontId="6" fillId="0" borderId="1" xfId="1" applyNumberFormat="1" applyFont="1" applyBorder="1">
      <alignment vertical="center"/>
    </xf>
    <xf numFmtId="43" fontId="6" fillId="6" borderId="8" xfId="0" applyNumberFormat="1" applyFont="1" applyFill="1" applyBorder="1">
      <alignment vertical="center"/>
    </xf>
    <xf numFmtId="10" fontId="7" fillId="0" borderId="0" xfId="1" applyNumberFormat="1" applyFont="1">
      <alignment vertical="center"/>
    </xf>
    <xf numFmtId="0" fontId="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8" borderId="1" xfId="0" applyFont="1" applyFill="1" applyBorder="1" applyAlignment="1">
      <alignment horizontal="left" vertical="center" wrapText="1"/>
    </xf>
    <xf numFmtId="43" fontId="6" fillId="9" borderId="1" xfId="0" applyNumberFormat="1" applyFont="1" applyFill="1" applyBorder="1">
      <alignment vertical="center"/>
    </xf>
    <xf numFmtId="0" fontId="21" fillId="8" borderId="1" xfId="0" applyFont="1" applyFill="1" applyBorder="1" applyAlignment="1">
      <alignment horizontal="left" vertical="center" wrapText="1" indent="1"/>
    </xf>
    <xf numFmtId="0" fontId="22" fillId="8" borderId="1" xfId="0" applyFont="1" applyFill="1" applyBorder="1" applyAlignment="1">
      <alignment horizontal="left" vertical="center" wrapText="1" indent="2"/>
    </xf>
    <xf numFmtId="43" fontId="11" fillId="8" borderId="1" xfId="0" applyNumberFormat="1" applyFont="1" applyFill="1" applyBorder="1">
      <alignment vertical="center"/>
    </xf>
    <xf numFmtId="179" fontId="24" fillId="10" borderId="1" xfId="0" applyNumberFormat="1" applyFont="1" applyFill="1" applyBorder="1">
      <alignment vertical="center"/>
    </xf>
    <xf numFmtId="179" fontId="24" fillId="9" borderId="1" xfId="0" applyNumberFormat="1" applyFont="1" applyFill="1" applyBorder="1">
      <alignment vertical="center"/>
    </xf>
    <xf numFmtId="180" fontId="24" fillId="10" borderId="1" xfId="0" applyNumberFormat="1" applyFont="1" applyFill="1" applyBorder="1">
      <alignment vertical="center"/>
    </xf>
    <xf numFmtId="180" fontId="24" fillId="9" borderId="1" xfId="0" applyNumberFormat="1" applyFont="1" applyFill="1" applyBorder="1">
      <alignment vertical="center"/>
    </xf>
    <xf numFmtId="43" fontId="6" fillId="8" borderId="1" xfId="0" applyNumberFormat="1" applyFont="1" applyFill="1" applyBorder="1">
      <alignment vertical="center"/>
    </xf>
    <xf numFmtId="179" fontId="6" fillId="6" borderId="1" xfId="1" applyNumberFormat="1" applyFont="1" applyFill="1" applyBorder="1">
      <alignment vertical="center"/>
    </xf>
    <xf numFmtId="180" fontId="6" fillId="6" borderId="1" xfId="1" applyNumberFormat="1" applyFont="1" applyFill="1" applyBorder="1">
      <alignment vertical="center"/>
    </xf>
    <xf numFmtId="0" fontId="26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 shrinkToFit="1"/>
    </xf>
    <xf numFmtId="0" fontId="27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43" fontId="34" fillId="7" borderId="1" xfId="0" applyNumberFormat="1" applyFont="1" applyFill="1" applyBorder="1">
      <alignment vertical="center"/>
    </xf>
    <xf numFmtId="10" fontId="25" fillId="2" borderId="1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" fontId="4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0" fontId="6" fillId="4" borderId="1" xfId="6" applyNumberFormat="1" applyFont="1" applyFill="1" applyBorder="1" applyAlignment="1">
      <alignment horizontal="center"/>
    </xf>
    <xf numFmtId="0" fontId="5" fillId="0" borderId="1" xfId="6" applyNumberFormat="1" applyFont="1" applyFill="1" applyBorder="1" applyAlignment="1">
      <alignment horizontal="center" vertical="center" wrapText="1"/>
    </xf>
  </cellXfs>
  <cellStyles count="8">
    <cellStyle name="百分比" xfId="1" builtinId="5"/>
    <cellStyle name="常规" xfId="0" builtinId="0"/>
    <cellStyle name="常规 11 2 3" xfId="2" xr:uid="{00000000-0005-0000-0000-000031000000}"/>
    <cellStyle name="常规 2" xfId="3" xr:uid="{00000000-0005-0000-0000-000032000000}"/>
    <cellStyle name="常规 2 2 2 5" xfId="4" xr:uid="{00000000-0005-0000-0000-000033000000}"/>
    <cellStyle name="常规 7 3" xfId="5" xr:uid="{00000000-0005-0000-0000-000034000000}"/>
    <cellStyle name="千位分隔 17" xfId="6" xr:uid="{00000000-0005-0000-0000-000035000000}"/>
    <cellStyle name="千位分隔 2 2 6" xfId="7" xr:uid="{00000000-0005-0000-0000-000036000000}"/>
  </cellStyles>
  <dxfs count="0"/>
  <tableStyles count="0" defaultTableStyle="TableStyleMedium2" defaultPivotStyle="PivotStyleLight16"/>
  <colors>
    <mruColors>
      <color rgb="FFFCE4D6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pane xSplit="3" ySplit="3" topLeftCell="D4" activePane="bottomRight" state="frozen"/>
      <selection pane="topRight"/>
      <selection pane="bottomLeft"/>
      <selection pane="bottomRight" activeCell="D6" sqref="D6"/>
    </sheetView>
  </sheetViews>
  <sheetFormatPr defaultColWidth="8.875" defaultRowHeight="15.95" customHeight="1"/>
  <cols>
    <col min="1" max="1" width="8.875" style="8" customWidth="1"/>
    <col min="2" max="2" width="23.625" style="8" customWidth="1"/>
    <col min="3" max="3" width="16.75" style="8" customWidth="1"/>
    <col min="4" max="5" width="10.625" style="8" customWidth="1"/>
    <col min="6" max="6" width="10.25" style="8" customWidth="1"/>
    <col min="7" max="7" width="10.625" style="8" customWidth="1"/>
    <col min="8" max="8" width="10.5" style="8" customWidth="1"/>
    <col min="9" max="9" width="10.875" style="8" customWidth="1"/>
    <col min="10" max="11" width="11.25" style="8" customWidth="1"/>
    <col min="12" max="12" width="12.25" style="8" customWidth="1"/>
    <col min="13" max="13" width="11.875" style="8" customWidth="1"/>
    <col min="14" max="14" width="13.125" style="8" customWidth="1"/>
    <col min="15" max="15" width="12.125" style="8" customWidth="1"/>
    <col min="16" max="16" width="12.5" style="8" customWidth="1"/>
    <col min="17" max="17" width="13.875" style="45" customWidth="1"/>
    <col min="18" max="18" width="33.25" style="8" customWidth="1"/>
    <col min="19" max="16384" width="8.875" style="8"/>
  </cols>
  <sheetData>
    <row r="1" spans="1:18" s="46" customFormat="1" ht="36" customHeight="1">
      <c r="A1" s="69" t="s">
        <v>115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</row>
    <row r="2" spans="1:18" s="47" customFormat="1" ht="24.95" customHeight="1">
      <c r="A2" s="72" t="s">
        <v>0</v>
      </c>
      <c r="B2" s="72" t="s">
        <v>1</v>
      </c>
      <c r="C2" s="72" t="s">
        <v>116</v>
      </c>
      <c r="D2" s="70" t="s">
        <v>117</v>
      </c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2" t="s">
        <v>118</v>
      </c>
      <c r="Q2" s="81" t="s">
        <v>2</v>
      </c>
      <c r="R2" s="68" t="s">
        <v>3</v>
      </c>
    </row>
    <row r="3" spans="1:18" s="47" customFormat="1" ht="24.95" customHeight="1">
      <c r="A3" s="72"/>
      <c r="B3" s="72"/>
      <c r="C3" s="72"/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6" t="s">
        <v>15</v>
      </c>
      <c r="P3" s="72"/>
      <c r="Q3" s="81"/>
      <c r="R3" s="68"/>
    </row>
    <row r="4" spans="1:18" s="48" customFormat="1" ht="24.95" customHeight="1">
      <c r="A4" s="73" t="s">
        <v>16</v>
      </c>
      <c r="B4" s="51" t="s">
        <v>17</v>
      </c>
      <c r="C4" s="18">
        <f>预算执行汇总!B4</f>
        <v>0</v>
      </c>
      <c r="D4" s="18" cm="1">
        <f t="array" ref="D4:O4">预算执行汇总!C4:N4</f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f>SUM(D4:O4)</f>
        <v>0</v>
      </c>
      <c r="Q4" s="61">
        <f>IFERROR((P4-C4)/ABS(C4)+1,)</f>
        <v>0</v>
      </c>
      <c r="R4" s="63"/>
    </row>
    <row r="5" spans="1:18" s="48" customFormat="1" ht="24.95" customHeight="1">
      <c r="A5" s="74"/>
      <c r="B5" s="51" t="s">
        <v>18</v>
      </c>
      <c r="C5" s="32">
        <v>-99</v>
      </c>
      <c r="D5" s="32">
        <f>预算执行汇总!C18</f>
        <v>-9.4222999999999999</v>
      </c>
      <c r="E5" s="32">
        <f>预算执行汇总!D18</f>
        <v>-0.61698700000000017</v>
      </c>
      <c r="F5" s="32">
        <f>预算执行汇总!E18</f>
        <v>-1.7731060000000001</v>
      </c>
      <c r="G5" s="32">
        <f>预算执行汇总!F18</f>
        <v>-1.7579520000000002</v>
      </c>
      <c r="H5" s="32">
        <f>预算执行汇总!G18</f>
        <v>0</v>
      </c>
      <c r="I5" s="32">
        <f>预算执行汇总!H18</f>
        <v>0</v>
      </c>
      <c r="J5" s="32">
        <f>预算执行汇总!I18</f>
        <v>0</v>
      </c>
      <c r="K5" s="32">
        <f>预算执行汇总!J18</f>
        <v>0</v>
      </c>
      <c r="L5" s="32">
        <f>预算执行汇总!K18</f>
        <v>0</v>
      </c>
      <c r="M5" s="32">
        <f>预算执行汇总!L18</f>
        <v>0</v>
      </c>
      <c r="N5" s="32">
        <f>预算执行汇总!M18</f>
        <v>0</v>
      </c>
      <c r="O5" s="32">
        <f>预算执行汇总!N18</f>
        <v>0</v>
      </c>
      <c r="P5" s="18">
        <f t="shared" ref="P5:P14" si="0">SUM(D5:O5)</f>
        <v>-13.570345</v>
      </c>
      <c r="Q5" s="61">
        <f t="shared" ref="Q5:Q14" si="1">IFERROR(P5/C5,)</f>
        <v>0.13707419191919193</v>
      </c>
      <c r="R5" s="64" t="s">
        <v>19</v>
      </c>
    </row>
    <row r="6" spans="1:18" s="48" customFormat="1" ht="24.95" customHeight="1">
      <c r="A6" s="75"/>
      <c r="B6" s="51" t="s">
        <v>20</v>
      </c>
      <c r="C6" s="32">
        <v>-259</v>
      </c>
      <c r="D6" s="32">
        <f>-169546.56/10000</f>
        <v>-16.954656</v>
      </c>
      <c r="E6" s="52">
        <f>-171675.72/10000</f>
        <v>-17.167572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18">
        <f t="shared" si="0"/>
        <v>-34.122228</v>
      </c>
      <c r="Q6" s="61">
        <f t="shared" si="1"/>
        <v>0.13174605405405404</v>
      </c>
      <c r="R6" s="63"/>
    </row>
    <row r="7" spans="1:18" s="48" customFormat="1" ht="24.95" customHeight="1">
      <c r="A7" s="76" t="s">
        <v>21</v>
      </c>
      <c r="B7" s="51" t="s">
        <v>22</v>
      </c>
      <c r="C7" s="18" cm="1">
        <f t="array" ref="C7:C14">预算执行汇总!B5:B12</f>
        <v>61.690000000000005</v>
      </c>
      <c r="D7" s="18" cm="1">
        <f t="array" ref="D7:O14">预算执行汇总!C5:N12</f>
        <v>1.7654780000000001</v>
      </c>
      <c r="E7" s="18">
        <v>0.61698700000000017</v>
      </c>
      <c r="F7" s="18">
        <v>1.7731060000000001</v>
      </c>
      <c r="G7" s="18">
        <v>1.7579520000000002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f t="shared" si="0"/>
        <v>5.9135230000000005</v>
      </c>
      <c r="Q7" s="61">
        <f t="shared" si="1"/>
        <v>9.5858696709353222E-2</v>
      </c>
      <c r="R7" s="63"/>
    </row>
    <row r="8" spans="1:18" s="48" customFormat="1" ht="24.95" customHeight="1">
      <c r="A8" s="77"/>
      <c r="B8" s="53" t="s">
        <v>23</v>
      </c>
      <c r="C8" s="18">
        <v>61.690000000000005</v>
      </c>
      <c r="D8" s="18">
        <v>1.7654780000000001</v>
      </c>
      <c r="E8" s="18">
        <v>0.61698700000000017</v>
      </c>
      <c r="F8" s="18">
        <v>1.7731060000000001</v>
      </c>
      <c r="G8" s="18">
        <v>1.7579520000000002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f t="shared" si="0"/>
        <v>5.9135230000000005</v>
      </c>
      <c r="Q8" s="61">
        <f t="shared" si="1"/>
        <v>9.5858696709353222E-2</v>
      </c>
      <c r="R8" s="63"/>
    </row>
    <row r="9" spans="1:18" s="49" customFormat="1" ht="24.95" customHeight="1">
      <c r="A9" s="77"/>
      <c r="B9" s="54" t="s">
        <v>24</v>
      </c>
      <c r="C9" s="55">
        <v>39.010000000000005</v>
      </c>
      <c r="D9" s="55">
        <v>1.7474780000000001</v>
      </c>
      <c r="E9" s="55">
        <v>1.7569870000000001</v>
      </c>
      <c r="F9" s="55">
        <v>1.7569870000000001</v>
      </c>
      <c r="G9" s="55">
        <v>1.7579520000000002</v>
      </c>
      <c r="H9" s="55">
        <v>0</v>
      </c>
      <c r="I9" s="55">
        <v>0</v>
      </c>
      <c r="J9" s="55">
        <v>0</v>
      </c>
      <c r="K9" s="55">
        <v>0</v>
      </c>
      <c r="L9" s="55">
        <v>0</v>
      </c>
      <c r="M9" s="55">
        <v>0</v>
      </c>
      <c r="N9" s="55">
        <v>0</v>
      </c>
      <c r="O9" s="55">
        <v>0</v>
      </c>
      <c r="P9" s="18">
        <f t="shared" si="0"/>
        <v>7.0194040000000006</v>
      </c>
      <c r="Q9" s="61">
        <f t="shared" si="1"/>
        <v>0.17993857985132017</v>
      </c>
      <c r="R9" s="65"/>
    </row>
    <row r="10" spans="1:18" s="49" customFormat="1" ht="24.95" customHeight="1">
      <c r="A10" s="77"/>
      <c r="B10" s="54" t="s">
        <v>25</v>
      </c>
      <c r="C10" s="55">
        <v>22.68</v>
      </c>
      <c r="D10" s="55">
        <v>1.7999999999999999E-2</v>
      </c>
      <c r="E10" s="55">
        <v>-1.1399999999999999</v>
      </c>
      <c r="F10" s="55">
        <v>1.6119000000000001E-2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5">
        <v>0</v>
      </c>
      <c r="N10" s="55">
        <v>0</v>
      </c>
      <c r="O10" s="55">
        <v>0</v>
      </c>
      <c r="P10" s="18">
        <f t="shared" si="0"/>
        <v>-1.1058809999999999</v>
      </c>
      <c r="Q10" s="61">
        <f t="shared" si="1"/>
        <v>-4.8760185185185184E-2</v>
      </c>
      <c r="R10" s="65"/>
    </row>
    <row r="11" spans="1:18" s="48" customFormat="1" ht="24.95" customHeight="1">
      <c r="A11" s="77"/>
      <c r="B11" s="53" t="s">
        <v>26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f t="shared" si="0"/>
        <v>0</v>
      </c>
      <c r="Q11" s="61">
        <f t="shared" si="1"/>
        <v>0</v>
      </c>
      <c r="R11" s="65"/>
    </row>
    <row r="12" spans="1:18" s="49" customFormat="1" ht="24.95" customHeight="1">
      <c r="A12" s="77"/>
      <c r="B12" s="54" t="s">
        <v>27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5">
        <v>0</v>
      </c>
      <c r="N12" s="55">
        <v>0</v>
      </c>
      <c r="O12" s="55">
        <v>0</v>
      </c>
      <c r="P12" s="60">
        <f t="shared" si="0"/>
        <v>0</v>
      </c>
      <c r="Q12" s="61">
        <f t="shared" si="1"/>
        <v>0</v>
      </c>
      <c r="R12" s="65"/>
    </row>
    <row r="13" spans="1:18" s="49" customFormat="1" ht="24.95" customHeight="1">
      <c r="A13" s="77"/>
      <c r="B13" s="54" t="s">
        <v>28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60">
        <f t="shared" si="0"/>
        <v>0</v>
      </c>
      <c r="Q13" s="61">
        <f t="shared" si="1"/>
        <v>0</v>
      </c>
      <c r="R13" s="65"/>
    </row>
    <row r="14" spans="1:18" s="50" customFormat="1" ht="24.95" customHeight="1">
      <c r="A14" s="78"/>
      <c r="B14" s="51" t="s">
        <v>29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f t="shared" si="0"/>
        <v>0</v>
      </c>
      <c r="Q14" s="61">
        <f t="shared" si="1"/>
        <v>0</v>
      </c>
      <c r="R14" s="66"/>
    </row>
    <row r="15" spans="1:18" s="50" customFormat="1" ht="24.95" customHeight="1">
      <c r="A15" s="79" t="s">
        <v>30</v>
      </c>
      <c r="B15" s="51" t="s">
        <v>31</v>
      </c>
      <c r="C15" s="56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61">
        <f>IFERROR(AVERAGE(D15:O15),)</f>
        <v>0</v>
      </c>
      <c r="Q15" s="61">
        <f t="shared" ref="Q15:Q20" si="2">IFERROR(P15/C15,)</f>
        <v>0</v>
      </c>
      <c r="R15" s="65" t="s">
        <v>32</v>
      </c>
    </row>
    <row r="16" spans="1:18" s="50" customFormat="1" ht="24.95" customHeight="1">
      <c r="A16" s="79"/>
      <c r="B16" s="51" t="s">
        <v>33</v>
      </c>
      <c r="C16" s="56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61">
        <f>IFERROR(AVERAGE(D16:O16),)</f>
        <v>0</v>
      </c>
      <c r="Q16" s="61">
        <f t="shared" si="2"/>
        <v>0</v>
      </c>
      <c r="R16" s="65" t="s">
        <v>34</v>
      </c>
    </row>
    <row r="17" spans="1:18" s="50" customFormat="1" ht="24.95" customHeight="1">
      <c r="A17" s="79"/>
      <c r="B17" s="51" t="s">
        <v>35</v>
      </c>
      <c r="C17" s="58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62" cm="1">
        <f t="array" ref="P17">IFERROR(INDEX(D17:O17,0,MATCH(9.99999999999999E+307,D17:O17)),)</f>
        <v>0</v>
      </c>
      <c r="Q17" s="61">
        <f t="shared" si="2"/>
        <v>0</v>
      </c>
      <c r="R17" s="65" t="s">
        <v>36</v>
      </c>
    </row>
    <row r="18" spans="1:18" s="50" customFormat="1" ht="24.95" customHeight="1">
      <c r="A18" s="79"/>
      <c r="B18" s="51" t="s">
        <v>37</v>
      </c>
      <c r="C18" s="58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62" cm="1">
        <f t="array" ref="P18">IFERROR(INDEX(D18:O18,0,MATCH(9.99999999999999E+307,D18:O18)),)</f>
        <v>0</v>
      </c>
      <c r="Q18" s="61">
        <f t="shared" si="2"/>
        <v>0</v>
      </c>
      <c r="R18" s="65" t="s">
        <v>38</v>
      </c>
    </row>
    <row r="19" spans="1:18" s="50" customFormat="1" ht="24.95" customHeight="1">
      <c r="A19" s="79"/>
      <c r="B19" s="51" t="s">
        <v>39</v>
      </c>
      <c r="C19" s="56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62" cm="1">
        <f t="array" ref="P19">IFERROR(INDEX(D19:O19,0,MATCH(9.99999999999999E+307,D19:O19)),)</f>
        <v>0</v>
      </c>
      <c r="Q19" s="61">
        <f t="shared" si="2"/>
        <v>0</v>
      </c>
      <c r="R19" s="65" t="s">
        <v>38</v>
      </c>
    </row>
    <row r="20" spans="1:18" ht="24.95" customHeight="1">
      <c r="A20" s="79"/>
      <c r="B20" s="51" t="s">
        <v>40</v>
      </c>
      <c r="C20" s="56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62" cm="1">
        <f t="array" ref="P20">IFERROR(INDEX(D20:O20,0,MATCH(9.99999999999999E+307,D20:O20)),)</f>
        <v>0</v>
      </c>
      <c r="Q20" s="61">
        <f t="shared" si="2"/>
        <v>0</v>
      </c>
      <c r="R20" s="65" t="s">
        <v>38</v>
      </c>
    </row>
    <row r="21" spans="1:18" ht="15.95" customHeight="1">
      <c r="A21" s="80" t="s">
        <v>41</v>
      </c>
      <c r="B21" s="71" t="s">
        <v>42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Q21" s="8"/>
    </row>
    <row r="22" spans="1:18" ht="15.95" customHeight="1">
      <c r="A22" s="80"/>
      <c r="B22" s="71" t="s">
        <v>43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Q22" s="8"/>
    </row>
    <row r="23" spans="1:18" ht="15.95" customHeight="1">
      <c r="A23" s="80"/>
      <c r="B23" s="42" t="s">
        <v>44</v>
      </c>
      <c r="C23" s="9"/>
    </row>
  </sheetData>
  <mergeCells count="14">
    <mergeCell ref="R2:R3"/>
    <mergeCell ref="A1:Q1"/>
    <mergeCell ref="D2:O2"/>
    <mergeCell ref="B21:O21"/>
    <mergeCell ref="B22:O22"/>
    <mergeCell ref="A2:A3"/>
    <mergeCell ref="A4:A6"/>
    <mergeCell ref="A7:A14"/>
    <mergeCell ref="A15:A20"/>
    <mergeCell ref="A21:A23"/>
    <mergeCell ref="B2:B3"/>
    <mergeCell ref="C2:C3"/>
    <mergeCell ref="P2:P3"/>
    <mergeCell ref="Q2:Q3"/>
  </mergeCells>
  <phoneticPr fontId="3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workbookViewId="0">
      <pane xSplit="2" ySplit="3" topLeftCell="C4" activePane="bottomRight" state="frozen"/>
      <selection pane="topRight"/>
      <selection pane="bottomLeft"/>
      <selection pane="bottomRight" activeCell="I23" sqref="I23"/>
    </sheetView>
  </sheetViews>
  <sheetFormatPr defaultColWidth="8.875" defaultRowHeight="15.95" customHeight="1"/>
  <cols>
    <col min="1" max="1" width="17.75" customWidth="1"/>
    <col min="2" max="2" width="13.625" customWidth="1"/>
    <col min="3" max="5" width="10.75" customWidth="1"/>
    <col min="6" max="6" width="9.75" customWidth="1"/>
    <col min="7" max="7" width="9.25" customWidth="1"/>
    <col min="8" max="8" width="10.25" customWidth="1"/>
    <col min="9" max="9" width="10.5" customWidth="1"/>
    <col min="10" max="10" width="9.75" customWidth="1"/>
    <col min="11" max="11" width="10.125" customWidth="1"/>
    <col min="12" max="14" width="7.625" customWidth="1"/>
    <col min="15" max="15" width="12.5" customWidth="1"/>
    <col min="16" max="16" width="11.25" style="31" customWidth="1"/>
  </cols>
  <sheetData>
    <row r="1" spans="1:16" s="1" customFormat="1" ht="32.1" customHeight="1">
      <c r="A1" s="69" t="s">
        <v>119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 s="27" customFormat="1" ht="18" customHeight="1">
      <c r="A2" s="72" t="s">
        <v>1</v>
      </c>
      <c r="B2" s="72" t="s">
        <v>116</v>
      </c>
      <c r="C2" s="70" t="s">
        <v>117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2" t="s">
        <v>118</v>
      </c>
      <c r="P2" s="81" t="s">
        <v>2</v>
      </c>
    </row>
    <row r="3" spans="1:16" s="27" customFormat="1" ht="18" customHeight="1">
      <c r="A3" s="72"/>
      <c r="B3" s="72"/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  <c r="O3" s="72"/>
      <c r="P3" s="81"/>
    </row>
    <row r="4" spans="1:16" s="28" customFormat="1" ht="18" customHeight="1">
      <c r="A4" s="21" t="s">
        <v>17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18">
        <f>SUM(C4:N4)</f>
        <v>0</v>
      </c>
      <c r="P4" s="23">
        <f t="shared" ref="P4:P9" si="0">IFERROR(O4/B4,)</f>
        <v>0</v>
      </c>
    </row>
    <row r="5" spans="1:16" s="28" customFormat="1" ht="18" customHeight="1">
      <c r="A5" s="21" t="s">
        <v>22</v>
      </c>
      <c r="B5" s="18">
        <f>B6+B9</f>
        <v>61.690000000000005</v>
      </c>
      <c r="C5" s="18">
        <f>C6+C9</f>
        <v>1.7654780000000001</v>
      </c>
      <c r="D5" s="18">
        <f t="shared" ref="D5:N5" si="1">D6+D9</f>
        <v>0.61698700000000017</v>
      </c>
      <c r="E5" s="18">
        <f t="shared" si="1"/>
        <v>1.7731060000000001</v>
      </c>
      <c r="F5" s="18">
        <f t="shared" si="1"/>
        <v>1.7579520000000002</v>
      </c>
      <c r="G5" s="18">
        <f t="shared" si="1"/>
        <v>0</v>
      </c>
      <c r="H5" s="18">
        <f t="shared" si="1"/>
        <v>0</v>
      </c>
      <c r="I5" s="18">
        <f t="shared" si="1"/>
        <v>0</v>
      </c>
      <c r="J5" s="18">
        <f t="shared" si="1"/>
        <v>0</v>
      </c>
      <c r="K5" s="18">
        <f t="shared" si="1"/>
        <v>0</v>
      </c>
      <c r="L5" s="18">
        <f t="shared" si="1"/>
        <v>0</v>
      </c>
      <c r="M5" s="18">
        <f t="shared" si="1"/>
        <v>0</v>
      </c>
      <c r="N5" s="18">
        <f t="shared" si="1"/>
        <v>0</v>
      </c>
      <c r="O5" s="18">
        <f t="shared" ref="O5:O15" si="2">SUM(C5:N5)</f>
        <v>5.9135230000000005</v>
      </c>
      <c r="P5" s="23">
        <f t="shared" si="0"/>
        <v>9.5858696709353222E-2</v>
      </c>
    </row>
    <row r="6" spans="1:16" s="28" customFormat="1" ht="18" customHeight="1">
      <c r="A6" s="21" t="s">
        <v>45</v>
      </c>
      <c r="B6" s="18">
        <f>费用预算执行明细!B4</f>
        <v>61.690000000000005</v>
      </c>
      <c r="C6" s="18">
        <f>费用预算执行明细!C4</f>
        <v>1.7654780000000001</v>
      </c>
      <c r="D6" s="18">
        <f>费用预算执行明细!D4</f>
        <v>0.61698700000000017</v>
      </c>
      <c r="E6" s="18">
        <f>费用预算执行明细!E4</f>
        <v>1.7731060000000001</v>
      </c>
      <c r="F6" s="18">
        <f>费用预算执行明细!F4</f>
        <v>1.7579520000000002</v>
      </c>
      <c r="G6" s="18">
        <f>费用预算执行明细!G4</f>
        <v>0</v>
      </c>
      <c r="H6" s="18">
        <f>费用预算执行明细!H4</f>
        <v>0</v>
      </c>
      <c r="I6" s="18">
        <f>费用预算执行明细!I4</f>
        <v>0</v>
      </c>
      <c r="J6" s="18">
        <f>费用预算执行明细!J4</f>
        <v>0</v>
      </c>
      <c r="K6" s="18">
        <f>费用预算执行明细!K4</f>
        <v>0</v>
      </c>
      <c r="L6" s="18">
        <f>费用预算执行明细!L4</f>
        <v>0</v>
      </c>
      <c r="M6" s="18">
        <f>费用预算执行明细!M4</f>
        <v>0</v>
      </c>
      <c r="N6" s="18">
        <f>费用预算执行明细!N4</f>
        <v>0</v>
      </c>
      <c r="O6" s="18">
        <f t="shared" si="2"/>
        <v>5.9135230000000005</v>
      </c>
      <c r="P6" s="23">
        <f>IFERROR(O6/B6,)</f>
        <v>9.5858696709353222E-2</v>
      </c>
    </row>
    <row r="7" spans="1:16" s="29" customFormat="1" ht="18" customHeight="1">
      <c r="A7" s="33" t="s">
        <v>46</v>
      </c>
      <c r="B7" s="25">
        <f>费用预算执行明细!B5</f>
        <v>39.010000000000005</v>
      </c>
      <c r="C7" s="25">
        <f>费用预算执行明细!C5</f>
        <v>1.7474780000000001</v>
      </c>
      <c r="D7" s="25">
        <f>费用预算执行明细!D5</f>
        <v>1.7569870000000001</v>
      </c>
      <c r="E7" s="25">
        <f>费用预算执行明细!E5</f>
        <v>1.7569870000000001</v>
      </c>
      <c r="F7" s="25">
        <f>费用预算执行明细!F5</f>
        <v>1.7579520000000002</v>
      </c>
      <c r="G7" s="25">
        <f>费用预算执行明细!G5</f>
        <v>0</v>
      </c>
      <c r="H7" s="25">
        <f>费用预算执行明细!H5</f>
        <v>0</v>
      </c>
      <c r="I7" s="25">
        <f>费用预算执行明细!I5</f>
        <v>0</v>
      </c>
      <c r="J7" s="25">
        <f>费用预算执行明细!J5</f>
        <v>0</v>
      </c>
      <c r="K7" s="25">
        <f>费用预算执行明细!K5</f>
        <v>0</v>
      </c>
      <c r="L7" s="25">
        <f>费用预算执行明细!L5</f>
        <v>0</v>
      </c>
      <c r="M7" s="25">
        <f>费用预算执行明细!M5</f>
        <v>0</v>
      </c>
      <c r="N7" s="25">
        <f>费用预算执行明细!N5</f>
        <v>0</v>
      </c>
      <c r="O7" s="25">
        <f t="shared" si="2"/>
        <v>7.0194040000000006</v>
      </c>
      <c r="P7" s="26">
        <f t="shared" si="0"/>
        <v>0.17993857985132017</v>
      </c>
    </row>
    <row r="8" spans="1:16" s="29" customFormat="1" ht="18" customHeight="1">
      <c r="A8" s="33" t="s">
        <v>47</v>
      </c>
      <c r="B8" s="25">
        <f>费用预算执行明细!B14</f>
        <v>22.68</v>
      </c>
      <c r="C8" s="25">
        <f>费用预算执行明细!C14</f>
        <v>1.7999999999999999E-2</v>
      </c>
      <c r="D8" s="25">
        <f>费用预算执行明细!D14</f>
        <v>-1.1399999999999999</v>
      </c>
      <c r="E8" s="25">
        <f>费用预算执行明细!E14</f>
        <v>1.6119000000000001E-2</v>
      </c>
      <c r="F8" s="25">
        <f>费用预算执行明细!F14</f>
        <v>0</v>
      </c>
      <c r="G8" s="25">
        <f>费用预算执行明细!G14</f>
        <v>0</v>
      </c>
      <c r="H8" s="25">
        <f>费用预算执行明细!H14</f>
        <v>0</v>
      </c>
      <c r="I8" s="25">
        <f>费用预算执行明细!I14</f>
        <v>0</v>
      </c>
      <c r="J8" s="25">
        <f>费用预算执行明细!J14</f>
        <v>0</v>
      </c>
      <c r="K8" s="25">
        <f>费用预算执行明细!K14</f>
        <v>0</v>
      </c>
      <c r="L8" s="25">
        <f>费用预算执行明细!L14</f>
        <v>0</v>
      </c>
      <c r="M8" s="25">
        <f>费用预算执行明细!M14</f>
        <v>0</v>
      </c>
      <c r="N8" s="25">
        <f>费用预算执行明细!N14</f>
        <v>0</v>
      </c>
      <c r="O8" s="25">
        <f t="shared" si="2"/>
        <v>-1.1058809999999999</v>
      </c>
      <c r="P8" s="26">
        <f t="shared" si="0"/>
        <v>-4.8760185185185184E-2</v>
      </c>
    </row>
    <row r="9" spans="1:16" s="28" customFormat="1" ht="18" customHeight="1">
      <c r="A9" s="21" t="s">
        <v>26</v>
      </c>
      <c r="B9" s="18">
        <f>费用预算执行明细!B46</f>
        <v>0</v>
      </c>
      <c r="C9" s="18">
        <f>费用预算执行明细!C46</f>
        <v>0</v>
      </c>
      <c r="D9" s="18">
        <f>费用预算执行明细!D46</f>
        <v>0</v>
      </c>
      <c r="E9" s="18">
        <f>费用预算执行明细!E46</f>
        <v>0</v>
      </c>
      <c r="F9" s="18">
        <f>费用预算执行明细!F46</f>
        <v>0</v>
      </c>
      <c r="G9" s="18">
        <f>费用预算执行明细!G46</f>
        <v>0</v>
      </c>
      <c r="H9" s="18">
        <f>费用预算执行明细!H46</f>
        <v>0</v>
      </c>
      <c r="I9" s="18">
        <f>费用预算执行明细!I46</f>
        <v>0</v>
      </c>
      <c r="J9" s="18">
        <f>费用预算执行明细!J46</f>
        <v>0</v>
      </c>
      <c r="K9" s="18">
        <f>费用预算执行明细!K46</f>
        <v>0</v>
      </c>
      <c r="L9" s="18">
        <f>费用预算执行明细!L46</f>
        <v>0</v>
      </c>
      <c r="M9" s="18">
        <f>费用预算执行明细!M46</f>
        <v>0</v>
      </c>
      <c r="N9" s="18">
        <f>费用预算执行明细!N46</f>
        <v>0</v>
      </c>
      <c r="O9" s="18">
        <f t="shared" si="2"/>
        <v>0</v>
      </c>
      <c r="P9" s="23">
        <f t="shared" si="0"/>
        <v>0</v>
      </c>
    </row>
    <row r="10" spans="1:16" s="29" customFormat="1" ht="18" customHeight="1">
      <c r="A10" s="33" t="s">
        <v>48</v>
      </c>
      <c r="B10" s="25"/>
      <c r="C10" s="25">
        <f>费用预算执行明细!C47</f>
        <v>0</v>
      </c>
      <c r="D10" s="25">
        <f>费用预算执行明细!D47</f>
        <v>0</v>
      </c>
      <c r="E10" s="25">
        <f>费用预算执行明细!E47</f>
        <v>0</v>
      </c>
      <c r="F10" s="25">
        <f>费用预算执行明细!F47</f>
        <v>0</v>
      </c>
      <c r="G10" s="25">
        <f>费用预算执行明细!G47</f>
        <v>0</v>
      </c>
      <c r="H10" s="25">
        <f>费用预算执行明细!H47</f>
        <v>0</v>
      </c>
      <c r="I10" s="25">
        <f>费用预算执行明细!I47</f>
        <v>0</v>
      </c>
      <c r="J10" s="25">
        <f>费用预算执行明细!J47</f>
        <v>0</v>
      </c>
      <c r="K10" s="25">
        <f>费用预算执行明细!K47</f>
        <v>0</v>
      </c>
      <c r="L10" s="25">
        <f>费用预算执行明细!L47</f>
        <v>0</v>
      </c>
      <c r="M10" s="25">
        <f>费用预算执行明细!M47</f>
        <v>0</v>
      </c>
      <c r="N10" s="25">
        <f>费用预算执行明细!N47</f>
        <v>0</v>
      </c>
      <c r="O10" s="25">
        <f t="shared" si="2"/>
        <v>0</v>
      </c>
      <c r="P10" s="26">
        <f t="shared" ref="P10:P15" si="3">IFERROR(O10/B10,)</f>
        <v>0</v>
      </c>
    </row>
    <row r="11" spans="1:16" s="29" customFormat="1" ht="18" customHeight="1">
      <c r="A11" s="33" t="s">
        <v>49</v>
      </c>
      <c r="B11" s="25"/>
      <c r="C11" s="25">
        <f>费用预算执行明细!C80</f>
        <v>0</v>
      </c>
      <c r="D11" s="25">
        <f>费用预算执行明细!D80</f>
        <v>0</v>
      </c>
      <c r="E11" s="25">
        <f>费用预算执行明细!E80</f>
        <v>0</v>
      </c>
      <c r="F11" s="25">
        <f>费用预算执行明细!F80</f>
        <v>0</v>
      </c>
      <c r="G11" s="25">
        <f>费用预算执行明细!G80</f>
        <v>0</v>
      </c>
      <c r="H11" s="25">
        <f>费用预算执行明细!H80</f>
        <v>0</v>
      </c>
      <c r="I11" s="25">
        <f>费用预算执行明细!I80</f>
        <v>0</v>
      </c>
      <c r="J11" s="25">
        <f>费用预算执行明细!J80</f>
        <v>0</v>
      </c>
      <c r="K11" s="25">
        <f>费用预算执行明细!K80</f>
        <v>0</v>
      </c>
      <c r="L11" s="25">
        <f>费用预算执行明细!L80</f>
        <v>0</v>
      </c>
      <c r="M11" s="25">
        <f>费用预算执行明细!M80</f>
        <v>0</v>
      </c>
      <c r="N11" s="25">
        <f>费用预算执行明细!N80</f>
        <v>0</v>
      </c>
      <c r="O11" s="25">
        <f t="shared" si="2"/>
        <v>0</v>
      </c>
      <c r="P11" s="26">
        <f t="shared" si="3"/>
        <v>0</v>
      </c>
    </row>
    <row r="12" spans="1:16" s="30" customFormat="1" ht="18" customHeight="1">
      <c r="A12" s="34" t="s">
        <v>29</v>
      </c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5">
        <f t="shared" si="2"/>
        <v>0</v>
      </c>
      <c r="P12" s="23">
        <f t="shared" si="3"/>
        <v>0</v>
      </c>
    </row>
    <row r="13" spans="1:16" s="28" customFormat="1" ht="18" customHeight="1">
      <c r="A13" s="21" t="s">
        <v>50</v>
      </c>
      <c r="B13" s="32">
        <v>91.51</v>
      </c>
      <c r="C13" s="32">
        <f>(180.72+128637.44)/10000</f>
        <v>12.881816000000001</v>
      </c>
      <c r="D13" s="32">
        <f>128818.16/10000</f>
        <v>12.881816000000001</v>
      </c>
      <c r="E13" s="32">
        <f>128818.16/10000</f>
        <v>12.881816000000001</v>
      </c>
      <c r="F13" s="32">
        <f>128818.16/10000</f>
        <v>12.881816000000001</v>
      </c>
      <c r="G13" s="32"/>
      <c r="H13" s="32"/>
      <c r="I13" s="32"/>
      <c r="J13" s="32"/>
      <c r="K13" s="32"/>
      <c r="L13" s="32"/>
      <c r="M13" s="32"/>
      <c r="N13" s="32"/>
      <c r="O13" s="18">
        <f t="shared" si="2"/>
        <v>51.527264000000002</v>
      </c>
      <c r="P13" s="23">
        <f t="shared" si="3"/>
        <v>0.563077958693039</v>
      </c>
    </row>
    <row r="14" spans="1:16" s="28" customFormat="1" ht="18" customHeight="1">
      <c r="A14" s="21" t="s">
        <v>51</v>
      </c>
      <c r="B14" s="18">
        <v>154.87</v>
      </c>
      <c r="C14" s="32">
        <f>43.4/10000</f>
        <v>4.3400000000000001E-3</v>
      </c>
      <c r="D14" s="32">
        <f>45/10000</f>
        <v>4.4999999999999997E-3</v>
      </c>
      <c r="E14" s="32">
        <f>332556.18/10000</f>
        <v>33.255617999999998</v>
      </c>
      <c r="F14" s="32">
        <f>10.8/10000</f>
        <v>1.08E-3</v>
      </c>
      <c r="G14" s="32"/>
      <c r="H14" s="32"/>
      <c r="I14" s="32"/>
      <c r="J14" s="32"/>
      <c r="K14" s="32"/>
      <c r="L14" s="32"/>
      <c r="M14" s="32"/>
      <c r="N14" s="32"/>
      <c r="O14" s="18">
        <f t="shared" si="2"/>
        <v>33.265537999999999</v>
      </c>
      <c r="P14" s="23">
        <f t="shared" si="3"/>
        <v>0.21479652611868016</v>
      </c>
    </row>
    <row r="15" spans="1:16" s="28" customFormat="1" ht="18" customHeight="1">
      <c r="A15" s="21" t="s">
        <v>52</v>
      </c>
      <c r="B15" s="32">
        <v>47.44</v>
      </c>
      <c r="C15" s="32">
        <f>76568.22/10000</f>
        <v>7.656822</v>
      </c>
      <c r="D15" s="32">
        <v>0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18">
        <f t="shared" si="2"/>
        <v>7.656822</v>
      </c>
      <c r="P15" s="23">
        <f t="shared" si="3"/>
        <v>0.16140012647554808</v>
      </c>
    </row>
    <row r="16" spans="1:16" s="28" customFormat="1" ht="18" customHeight="1">
      <c r="A16" s="21" t="s">
        <v>53</v>
      </c>
      <c r="B16" s="23"/>
      <c r="C16" s="23">
        <f>IFERROR(C9/C4,)</f>
        <v>0</v>
      </c>
      <c r="D16" s="23">
        <f>IFERROR(D9/D4,)</f>
        <v>0</v>
      </c>
      <c r="E16" s="23">
        <f t="shared" ref="E16:O16" si="4">IFERROR(E9/E4,)</f>
        <v>0</v>
      </c>
      <c r="F16" s="23">
        <f t="shared" si="4"/>
        <v>0</v>
      </c>
      <c r="G16" s="23">
        <f t="shared" si="4"/>
        <v>0</v>
      </c>
      <c r="H16" s="23">
        <f t="shared" si="4"/>
        <v>0</v>
      </c>
      <c r="I16" s="23">
        <f t="shared" si="4"/>
        <v>0</v>
      </c>
      <c r="J16" s="23">
        <f t="shared" si="4"/>
        <v>0</v>
      </c>
      <c r="K16" s="23">
        <f t="shared" si="4"/>
        <v>0</v>
      </c>
      <c r="L16" s="23">
        <f t="shared" si="4"/>
        <v>0</v>
      </c>
      <c r="M16" s="23">
        <f t="shared" si="4"/>
        <v>0</v>
      </c>
      <c r="N16" s="23">
        <f t="shared" si="4"/>
        <v>0</v>
      </c>
      <c r="O16" s="23">
        <f t="shared" si="4"/>
        <v>0</v>
      </c>
      <c r="P16" s="23"/>
    </row>
    <row r="17" spans="1:16" ht="32.1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43"/>
    </row>
    <row r="18" spans="1:16" s="28" customFormat="1" ht="18" customHeight="1">
      <c r="A18" s="21" t="s">
        <v>54</v>
      </c>
      <c r="B18" s="18"/>
      <c r="C18" s="18">
        <f>C4-C6-C9-C15</f>
        <v>-9.4222999999999999</v>
      </c>
      <c r="D18" s="18">
        <f>D4-D6-D9-D15</f>
        <v>-0.61698700000000017</v>
      </c>
      <c r="E18" s="18">
        <f>E4-E6-E9-E15</f>
        <v>-1.7731060000000001</v>
      </c>
      <c r="F18" s="18">
        <f>F4-F6-F9-F15</f>
        <v>-1.7579520000000002</v>
      </c>
      <c r="G18" s="18">
        <f>G4-G6-G9-G15</f>
        <v>0</v>
      </c>
      <c r="H18" s="18">
        <f t="shared" ref="H18:O18" si="5">H4-H6-H9-H15</f>
        <v>0</v>
      </c>
      <c r="I18" s="18">
        <f t="shared" si="5"/>
        <v>0</v>
      </c>
      <c r="J18" s="18">
        <f t="shared" si="5"/>
        <v>0</v>
      </c>
      <c r="K18" s="18">
        <f t="shared" si="5"/>
        <v>0</v>
      </c>
      <c r="L18" s="18">
        <f t="shared" si="5"/>
        <v>0</v>
      </c>
      <c r="M18" s="18">
        <f t="shared" si="5"/>
        <v>0</v>
      </c>
      <c r="N18" s="18">
        <f t="shared" si="5"/>
        <v>0</v>
      </c>
      <c r="O18" s="18">
        <f t="shared" si="5"/>
        <v>-13.570345</v>
      </c>
      <c r="P18" s="23">
        <f>IFERROR(O18/B18,)</f>
        <v>0</v>
      </c>
    </row>
    <row r="19" spans="1:16" ht="18" customHeight="1">
      <c r="A19" s="38" t="s">
        <v>55</v>
      </c>
      <c r="B19" s="39"/>
      <c r="C19" s="40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4"/>
      <c r="O19" s="39"/>
      <c r="P19" s="23">
        <f>IFERROR(O19/B19,)</f>
        <v>0</v>
      </c>
    </row>
    <row r="20" spans="1:16" ht="32.1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5"/>
    </row>
    <row r="21" spans="1:16" ht="18" customHeight="1">
      <c r="A21" s="80" t="s">
        <v>41</v>
      </c>
      <c r="B21" s="71" t="s">
        <v>42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45"/>
    </row>
    <row r="22" spans="1:16" ht="18" customHeight="1">
      <c r="A22" s="80"/>
      <c r="B22" s="71" t="s">
        <v>43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45"/>
    </row>
    <row r="23" spans="1:16" ht="18" customHeight="1">
      <c r="A23" s="80"/>
      <c r="B23" s="42" t="s">
        <v>44</v>
      </c>
      <c r="C23" s="9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</sheetData>
  <mergeCells count="9">
    <mergeCell ref="A1:P1"/>
    <mergeCell ref="C2:N2"/>
    <mergeCell ref="B21:O21"/>
    <mergeCell ref="B22:O22"/>
    <mergeCell ref="A2:A3"/>
    <mergeCell ref="A21:A23"/>
    <mergeCell ref="B2:B3"/>
    <mergeCell ref="O2:O3"/>
    <mergeCell ref="P2:P3"/>
  </mergeCells>
  <phoneticPr fontId="3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87"/>
  <sheetViews>
    <sheetView tabSelected="1" workbookViewId="0">
      <pane xSplit="2" ySplit="3" topLeftCell="C7" activePane="bottomRight" state="frozen"/>
      <selection pane="topRight"/>
      <selection pane="bottomLeft"/>
      <selection pane="bottomRight" activeCell="L29" sqref="L29"/>
    </sheetView>
  </sheetViews>
  <sheetFormatPr defaultColWidth="8.875" defaultRowHeight="15.95" customHeight="1"/>
  <cols>
    <col min="1" max="1" width="19.875" style="13" customWidth="1"/>
    <col min="2" max="2" width="12.5" style="13" customWidth="1"/>
    <col min="3" max="14" width="7.625" customWidth="1"/>
    <col min="15" max="15" width="12.5" style="13" customWidth="1"/>
    <col min="16" max="16" width="9.125" style="14" customWidth="1"/>
    <col min="17" max="16384" width="8.875" style="13"/>
  </cols>
  <sheetData>
    <row r="1" spans="1:16" s="1" customFormat="1" ht="32.1" customHeight="1">
      <c r="A1" s="69" t="s">
        <v>113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 s="11" customFormat="1" ht="15.95" customHeight="1">
      <c r="A2" s="72" t="s">
        <v>1</v>
      </c>
      <c r="B2" s="72" t="s">
        <v>116</v>
      </c>
      <c r="C2" s="70" t="s">
        <v>120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82" t="s">
        <v>118</v>
      </c>
      <c r="P2" s="81" t="s">
        <v>2</v>
      </c>
    </row>
    <row r="3" spans="1:16" s="12" customFormat="1" ht="15.95" customHeight="1">
      <c r="A3" s="72"/>
      <c r="B3" s="72"/>
      <c r="C3" s="15" t="s">
        <v>4</v>
      </c>
      <c r="D3" s="16" t="s">
        <v>5</v>
      </c>
      <c r="E3" s="15" t="s">
        <v>6</v>
      </c>
      <c r="F3" s="16" t="s">
        <v>7</v>
      </c>
      <c r="G3" s="15" t="s">
        <v>8</v>
      </c>
      <c r="H3" s="16" t="s">
        <v>9</v>
      </c>
      <c r="I3" s="15" t="s">
        <v>10</v>
      </c>
      <c r="J3" s="16" t="s">
        <v>11</v>
      </c>
      <c r="K3" s="15" t="s">
        <v>12</v>
      </c>
      <c r="L3" s="16" t="s">
        <v>13</v>
      </c>
      <c r="M3" s="15" t="s">
        <v>14</v>
      </c>
      <c r="N3" s="22" t="s">
        <v>15</v>
      </c>
      <c r="O3" s="82"/>
      <c r="P3" s="81"/>
    </row>
    <row r="4" spans="1:16" ht="15.95" customHeight="1">
      <c r="A4" s="17" t="s">
        <v>23</v>
      </c>
      <c r="B4" s="18">
        <f>B5+B14</f>
        <v>61.690000000000005</v>
      </c>
      <c r="C4" s="18">
        <f t="shared" ref="C4:N4" si="0">C5+C14</f>
        <v>1.7654780000000001</v>
      </c>
      <c r="D4" s="18">
        <f t="shared" si="0"/>
        <v>0.61698700000000017</v>
      </c>
      <c r="E4" s="18">
        <f t="shared" si="0"/>
        <v>1.7731060000000001</v>
      </c>
      <c r="F4" s="18">
        <f t="shared" si="0"/>
        <v>1.7579520000000002</v>
      </c>
      <c r="G4" s="18">
        <f t="shared" si="0"/>
        <v>0</v>
      </c>
      <c r="H4" s="18">
        <f t="shared" si="0"/>
        <v>0</v>
      </c>
      <c r="I4" s="18">
        <f t="shared" si="0"/>
        <v>0</v>
      </c>
      <c r="J4" s="18">
        <f t="shared" si="0"/>
        <v>0</v>
      </c>
      <c r="K4" s="18">
        <f t="shared" si="0"/>
        <v>0</v>
      </c>
      <c r="L4" s="18">
        <f t="shared" si="0"/>
        <v>0</v>
      </c>
      <c r="M4" s="18">
        <f t="shared" si="0"/>
        <v>0</v>
      </c>
      <c r="N4" s="18">
        <f t="shared" si="0"/>
        <v>0</v>
      </c>
      <c r="O4" s="18">
        <f>SUM(C4:N4)</f>
        <v>5.9135230000000005</v>
      </c>
      <c r="P4" s="23">
        <f t="shared" ref="P4:P69" si="1">IFERROR(O4/B4,)</f>
        <v>9.5858696709353222E-2</v>
      </c>
    </row>
    <row r="5" spans="1:16" ht="15.95" customHeight="1">
      <c r="A5" s="18" t="s">
        <v>56</v>
      </c>
      <c r="B5" s="18">
        <f>SUM(B6:B13)</f>
        <v>39.010000000000005</v>
      </c>
      <c r="C5" s="18">
        <f t="shared" ref="C5:N5" si="2">SUM(C6:C13)</f>
        <v>1.7474780000000001</v>
      </c>
      <c r="D5" s="18">
        <f t="shared" si="2"/>
        <v>1.7569870000000001</v>
      </c>
      <c r="E5" s="18">
        <f t="shared" si="2"/>
        <v>1.7569870000000001</v>
      </c>
      <c r="F5" s="18">
        <f t="shared" si="2"/>
        <v>1.7579520000000002</v>
      </c>
      <c r="G5" s="18">
        <f t="shared" si="2"/>
        <v>0</v>
      </c>
      <c r="H5" s="18">
        <f t="shared" si="2"/>
        <v>0</v>
      </c>
      <c r="I5" s="18">
        <f t="shared" si="2"/>
        <v>0</v>
      </c>
      <c r="J5" s="18">
        <f t="shared" si="2"/>
        <v>0</v>
      </c>
      <c r="K5" s="18">
        <f t="shared" si="2"/>
        <v>0</v>
      </c>
      <c r="L5" s="18">
        <f t="shared" si="2"/>
        <v>0</v>
      </c>
      <c r="M5" s="18">
        <f t="shared" si="2"/>
        <v>0</v>
      </c>
      <c r="N5" s="18">
        <f t="shared" si="2"/>
        <v>0</v>
      </c>
      <c r="O5" s="18">
        <f t="shared" ref="O5:O38" si="3">SUM(C5:N5)</f>
        <v>7.0194040000000006</v>
      </c>
      <c r="P5" s="23">
        <f t="shared" si="1"/>
        <v>0.17993857985132017</v>
      </c>
    </row>
    <row r="6" spans="1:16" ht="15.95" customHeight="1">
      <c r="A6" s="19" t="s">
        <v>57</v>
      </c>
      <c r="B6" s="20">
        <v>14.88</v>
      </c>
      <c r="C6" s="20">
        <v>1.22</v>
      </c>
      <c r="D6" s="20">
        <f>12295.09/10000</f>
        <v>1.229509</v>
      </c>
      <c r="E6" s="20">
        <f>12295.09/10000</f>
        <v>1.229509</v>
      </c>
      <c r="F6" s="20">
        <f>12304.74/10000</f>
        <v>1.2304740000000001</v>
      </c>
      <c r="G6" s="20"/>
      <c r="H6" s="20"/>
      <c r="I6" s="20"/>
      <c r="J6" s="20"/>
      <c r="K6" s="20"/>
      <c r="L6" s="20"/>
      <c r="M6" s="20"/>
      <c r="N6" s="20"/>
      <c r="O6" s="25">
        <f t="shared" si="3"/>
        <v>4.9094920000000002</v>
      </c>
      <c r="P6" s="26">
        <f t="shared" si="1"/>
        <v>0.32993897849462367</v>
      </c>
    </row>
    <row r="7" spans="1:16" ht="15.95" customHeight="1">
      <c r="A7" s="19" t="s">
        <v>58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5">
        <f t="shared" si="3"/>
        <v>0</v>
      </c>
      <c r="P7" s="26">
        <f t="shared" si="1"/>
        <v>0</v>
      </c>
    </row>
    <row r="8" spans="1:16" ht="15.95" customHeight="1">
      <c r="A8" s="19" t="s">
        <v>59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5">
        <f t="shared" si="3"/>
        <v>0</v>
      </c>
      <c r="P8" s="26">
        <f t="shared" si="1"/>
        <v>0</v>
      </c>
    </row>
    <row r="9" spans="1:16" ht="15.95" customHeight="1">
      <c r="A9" s="19" t="s">
        <v>60</v>
      </c>
      <c r="B9" s="20">
        <v>1.32</v>
      </c>
      <c r="C9" s="20">
        <f>268.87/10000</f>
        <v>2.6887000000000001E-2</v>
      </c>
      <c r="D9" s="20">
        <f>268.87/10000</f>
        <v>2.6887000000000001E-2</v>
      </c>
      <c r="E9" s="20">
        <f>268.87/10000</f>
        <v>2.6887000000000001E-2</v>
      </c>
      <c r="F9" s="20">
        <f>268.87/10000</f>
        <v>2.6887000000000001E-2</v>
      </c>
      <c r="G9" s="20"/>
      <c r="H9" s="20"/>
      <c r="I9" s="20"/>
      <c r="J9" s="20"/>
      <c r="K9" s="20"/>
      <c r="L9" s="20"/>
      <c r="M9" s="20"/>
      <c r="N9" s="20"/>
      <c r="O9" s="25">
        <f t="shared" si="3"/>
        <v>0.107548</v>
      </c>
      <c r="P9" s="26">
        <f t="shared" si="1"/>
        <v>8.1475757575757576E-2</v>
      </c>
    </row>
    <row r="10" spans="1:16" ht="15.95" customHeight="1">
      <c r="A10" s="67" t="s">
        <v>110</v>
      </c>
      <c r="B10" s="20">
        <v>6.31</v>
      </c>
      <c r="C10" s="20">
        <f>5005.91/10000</f>
        <v>0.50059100000000001</v>
      </c>
      <c r="D10" s="20">
        <f>5005.91/10000</f>
        <v>0.50059100000000001</v>
      </c>
      <c r="E10" s="20">
        <f>5005.91/10000</f>
        <v>0.50059100000000001</v>
      </c>
      <c r="F10" s="20">
        <f>5005.91/10000</f>
        <v>0.50059100000000001</v>
      </c>
      <c r="G10" s="20"/>
      <c r="H10" s="20"/>
      <c r="I10" s="20"/>
      <c r="J10" s="20"/>
      <c r="K10" s="20"/>
      <c r="L10" s="20"/>
      <c r="M10" s="20"/>
      <c r="N10" s="20"/>
      <c r="O10" s="25">
        <f t="shared" si="3"/>
        <v>2.002364</v>
      </c>
      <c r="P10" s="26">
        <f t="shared" si="1"/>
        <v>0.31733185419968307</v>
      </c>
    </row>
    <row r="11" spans="1:16" ht="15.95" customHeight="1">
      <c r="A11" s="19" t="s">
        <v>121</v>
      </c>
      <c r="B11" s="20">
        <v>0.3</v>
      </c>
      <c r="C11" s="20"/>
      <c r="D11" s="20"/>
      <c r="E11" s="20"/>
      <c r="F11" s="20"/>
      <c r="G11" s="20"/>
      <c r="H11" s="20"/>
      <c r="I11" s="20"/>
      <c r="J11" s="24"/>
      <c r="K11" s="20"/>
      <c r="L11" s="24"/>
      <c r="M11" s="20"/>
      <c r="N11" s="20"/>
      <c r="O11" s="25">
        <f t="shared" ref="O11" si="4">SUM(C11:N11)</f>
        <v>0</v>
      </c>
      <c r="P11" s="26">
        <f t="shared" si="1"/>
        <v>0</v>
      </c>
    </row>
    <row r="12" spans="1:16" ht="15.95" customHeight="1">
      <c r="A12" s="67" t="s">
        <v>111</v>
      </c>
      <c r="B12" s="20">
        <v>15</v>
      </c>
      <c r="C12" s="20"/>
      <c r="D12" s="20"/>
      <c r="E12" s="20"/>
      <c r="F12" s="20"/>
      <c r="G12" s="20"/>
      <c r="H12" s="20"/>
      <c r="I12" s="20"/>
      <c r="J12" s="24"/>
      <c r="K12" s="20"/>
      <c r="L12" s="24"/>
      <c r="M12" s="20"/>
      <c r="N12" s="20"/>
      <c r="O12" s="25">
        <f t="shared" ref="O12" si="5">SUM(C12:N12)</f>
        <v>0</v>
      </c>
      <c r="P12" s="26">
        <f t="shared" ref="P12" si="6">IFERROR(O12/B12,)</f>
        <v>0</v>
      </c>
    </row>
    <row r="13" spans="1:16" ht="15.95" customHeight="1">
      <c r="A13" s="67" t="s">
        <v>112</v>
      </c>
      <c r="B13" s="20">
        <v>1.2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5">
        <f t="shared" si="3"/>
        <v>0</v>
      </c>
      <c r="P13" s="26">
        <f t="shared" si="1"/>
        <v>0</v>
      </c>
    </row>
    <row r="14" spans="1:16" ht="15.95" customHeight="1">
      <c r="A14" s="18" t="s">
        <v>61</v>
      </c>
      <c r="B14" s="18">
        <f>SUM(B15:B45)</f>
        <v>22.68</v>
      </c>
      <c r="C14" s="18">
        <f t="shared" ref="C14:N14" si="7">SUM(C15:C45)</f>
        <v>1.7999999999999999E-2</v>
      </c>
      <c r="D14" s="18">
        <f>SUM(D15:D45)</f>
        <v>-1.1399999999999999</v>
      </c>
      <c r="E14" s="18">
        <f t="shared" si="7"/>
        <v>1.6119000000000001E-2</v>
      </c>
      <c r="F14" s="18">
        <f t="shared" si="7"/>
        <v>0</v>
      </c>
      <c r="G14" s="18">
        <f t="shared" si="7"/>
        <v>0</v>
      </c>
      <c r="H14" s="18">
        <f t="shared" si="7"/>
        <v>0</v>
      </c>
      <c r="I14" s="18">
        <f t="shared" si="7"/>
        <v>0</v>
      </c>
      <c r="J14" s="18">
        <f t="shared" si="7"/>
        <v>0</v>
      </c>
      <c r="K14" s="18">
        <f t="shared" si="7"/>
        <v>0</v>
      </c>
      <c r="L14" s="18">
        <f t="shared" si="7"/>
        <v>0</v>
      </c>
      <c r="M14" s="18">
        <f t="shared" si="7"/>
        <v>0</v>
      </c>
      <c r="N14" s="18">
        <f t="shared" si="7"/>
        <v>0</v>
      </c>
      <c r="O14" s="18">
        <f t="shared" si="3"/>
        <v>-1.1058809999999999</v>
      </c>
      <c r="P14" s="23">
        <f t="shared" si="1"/>
        <v>-4.8760185185185184E-2</v>
      </c>
    </row>
    <row r="15" spans="1:16" ht="15.95" customHeight="1">
      <c r="A15" s="19" t="s">
        <v>62</v>
      </c>
      <c r="B15" s="20">
        <v>0.02</v>
      </c>
      <c r="C15" s="20"/>
      <c r="D15" s="20"/>
      <c r="E15" s="20">
        <f>41/10000</f>
        <v>4.1000000000000003E-3</v>
      </c>
      <c r="F15" s="20"/>
      <c r="G15" s="20"/>
      <c r="H15" s="20"/>
      <c r="I15" s="20"/>
      <c r="J15" s="20"/>
      <c r="K15" s="20"/>
      <c r="L15" s="20"/>
      <c r="M15" s="20"/>
      <c r="N15" s="20"/>
      <c r="O15" s="25">
        <f t="shared" si="3"/>
        <v>4.1000000000000003E-3</v>
      </c>
      <c r="P15" s="26">
        <f t="shared" si="1"/>
        <v>0.20500000000000002</v>
      </c>
    </row>
    <row r="16" spans="1:16" ht="15.95" customHeight="1">
      <c r="A16" s="19" t="s">
        <v>63</v>
      </c>
      <c r="B16" s="20">
        <v>0.8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5">
        <f t="shared" si="3"/>
        <v>0</v>
      </c>
      <c r="P16" s="26">
        <f t="shared" si="1"/>
        <v>0</v>
      </c>
    </row>
    <row r="17" spans="1:16" ht="15.95" customHeight="1">
      <c r="A17" s="19" t="s">
        <v>64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5">
        <f t="shared" si="3"/>
        <v>0</v>
      </c>
      <c r="P17" s="26">
        <f t="shared" si="1"/>
        <v>0</v>
      </c>
    </row>
    <row r="18" spans="1:16" ht="15.95" customHeight="1">
      <c r="A18" s="19" t="s">
        <v>65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5">
        <f t="shared" si="3"/>
        <v>0</v>
      </c>
      <c r="P18" s="26">
        <f t="shared" si="1"/>
        <v>0</v>
      </c>
    </row>
    <row r="19" spans="1:16" ht="15.95" customHeight="1">
      <c r="A19" s="19" t="s">
        <v>66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5">
        <f t="shared" si="3"/>
        <v>0</v>
      </c>
      <c r="P19" s="26">
        <f t="shared" si="1"/>
        <v>0</v>
      </c>
    </row>
    <row r="20" spans="1:16" ht="15.95" customHeight="1">
      <c r="A20" s="19" t="s">
        <v>67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5">
        <f t="shared" si="3"/>
        <v>0</v>
      </c>
      <c r="P20" s="26">
        <f t="shared" si="1"/>
        <v>0</v>
      </c>
    </row>
    <row r="21" spans="1:16" ht="15.95" customHeight="1">
      <c r="A21" s="19" t="s">
        <v>68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5">
        <f t="shared" si="3"/>
        <v>0</v>
      </c>
      <c r="P21" s="26">
        <f t="shared" si="1"/>
        <v>0</v>
      </c>
    </row>
    <row r="22" spans="1:16" ht="15.95" customHeight="1">
      <c r="A22" s="19" t="s">
        <v>69</v>
      </c>
      <c r="B22" s="20">
        <v>0.04</v>
      </c>
      <c r="C22" s="20"/>
      <c r="D22" s="20"/>
      <c r="E22" s="20">
        <f>120.19/10000</f>
        <v>1.2019E-2</v>
      </c>
      <c r="F22" s="20"/>
      <c r="G22" s="20"/>
      <c r="H22" s="20"/>
      <c r="I22" s="20"/>
      <c r="J22" s="20"/>
      <c r="K22" s="20"/>
      <c r="L22" s="20"/>
      <c r="M22" s="20"/>
      <c r="N22" s="20"/>
      <c r="O22" s="25">
        <f t="shared" si="3"/>
        <v>1.2019E-2</v>
      </c>
      <c r="P22" s="26">
        <f t="shared" si="1"/>
        <v>0.30047499999999999</v>
      </c>
    </row>
    <row r="23" spans="1:16" ht="15.95" customHeight="1">
      <c r="A23" s="19" t="s">
        <v>70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5">
        <f t="shared" si="3"/>
        <v>0</v>
      </c>
      <c r="P23" s="26">
        <f t="shared" si="1"/>
        <v>0</v>
      </c>
    </row>
    <row r="24" spans="1:16" ht="15.95" customHeight="1">
      <c r="A24" s="19" t="s">
        <v>71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5">
        <f t="shared" si="3"/>
        <v>0</v>
      </c>
      <c r="P24" s="26">
        <f t="shared" si="1"/>
        <v>0</v>
      </c>
    </row>
    <row r="25" spans="1:16" ht="15.95" customHeight="1">
      <c r="A25" s="19" t="s">
        <v>72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5">
        <f t="shared" si="3"/>
        <v>0</v>
      </c>
      <c r="P25" s="26">
        <f t="shared" si="1"/>
        <v>0</v>
      </c>
    </row>
    <row r="26" spans="1:16" ht="15.95" customHeight="1">
      <c r="A26" s="19" t="s">
        <v>73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5">
        <f t="shared" si="3"/>
        <v>0</v>
      </c>
      <c r="P26" s="26">
        <f t="shared" si="1"/>
        <v>0</v>
      </c>
    </row>
    <row r="27" spans="1:16" ht="15.95" customHeight="1">
      <c r="A27" s="19" t="s">
        <v>74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5">
        <f t="shared" si="3"/>
        <v>0</v>
      </c>
      <c r="P27" s="26">
        <f t="shared" si="1"/>
        <v>0</v>
      </c>
    </row>
    <row r="28" spans="1:16" ht="15.95" customHeight="1">
      <c r="A28" s="19" t="s">
        <v>75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5">
        <f t="shared" si="3"/>
        <v>0</v>
      </c>
      <c r="P28" s="26">
        <f t="shared" si="1"/>
        <v>0</v>
      </c>
    </row>
    <row r="29" spans="1:16" ht="15.95" customHeight="1">
      <c r="A29" s="19" t="s">
        <v>76</v>
      </c>
      <c r="B29" s="20">
        <v>1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5">
        <f t="shared" si="3"/>
        <v>0</v>
      </c>
      <c r="P29" s="26">
        <f t="shared" si="1"/>
        <v>0</v>
      </c>
    </row>
    <row r="30" spans="1:16" ht="15.95" customHeight="1">
      <c r="A30" s="19" t="s">
        <v>77</v>
      </c>
      <c r="B30" s="20">
        <v>20.8</v>
      </c>
      <c r="C30" s="20"/>
      <c r="D30" s="20">
        <v>-1.1399999999999999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5">
        <f t="shared" si="3"/>
        <v>-1.1399999999999999</v>
      </c>
      <c r="P30" s="26">
        <f t="shared" si="1"/>
        <v>-5.48076923076923E-2</v>
      </c>
    </row>
    <row r="31" spans="1:16" ht="15.95" customHeight="1">
      <c r="A31" s="19" t="s">
        <v>78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5">
        <f t="shared" si="3"/>
        <v>0</v>
      </c>
      <c r="P31" s="26">
        <f t="shared" si="1"/>
        <v>0</v>
      </c>
    </row>
    <row r="32" spans="1:16" ht="15.95" customHeight="1">
      <c r="A32" s="19" t="s">
        <v>79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5">
        <f t="shared" si="3"/>
        <v>0</v>
      </c>
      <c r="P32" s="26">
        <f t="shared" si="1"/>
        <v>0</v>
      </c>
    </row>
    <row r="33" spans="1:16" ht="15.95" customHeight="1">
      <c r="A33" s="19" t="s">
        <v>80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5">
        <f t="shared" si="3"/>
        <v>0</v>
      </c>
      <c r="P33" s="26">
        <f t="shared" si="1"/>
        <v>0</v>
      </c>
    </row>
    <row r="34" spans="1:16" ht="15.95" customHeight="1">
      <c r="A34" s="19" t="s">
        <v>81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5">
        <f t="shared" si="3"/>
        <v>0</v>
      </c>
      <c r="P34" s="26">
        <f t="shared" si="1"/>
        <v>0</v>
      </c>
    </row>
    <row r="35" spans="1:16" ht="15.95" customHeight="1">
      <c r="A35" s="19" t="s">
        <v>82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5">
        <f t="shared" si="3"/>
        <v>0</v>
      </c>
      <c r="P35" s="26">
        <f t="shared" si="1"/>
        <v>0</v>
      </c>
    </row>
    <row r="36" spans="1:16" ht="15.95" customHeight="1">
      <c r="A36" s="19" t="s">
        <v>83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5">
        <f t="shared" si="3"/>
        <v>0</v>
      </c>
      <c r="P36" s="26">
        <f t="shared" si="1"/>
        <v>0</v>
      </c>
    </row>
    <row r="37" spans="1:16" ht="15.95" customHeight="1">
      <c r="A37" s="19" t="s">
        <v>84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5">
        <f t="shared" si="3"/>
        <v>0</v>
      </c>
      <c r="P37" s="26">
        <f t="shared" si="1"/>
        <v>0</v>
      </c>
    </row>
    <row r="38" spans="1:16" ht="15.95" customHeight="1">
      <c r="A38" s="19" t="s">
        <v>85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5">
        <f t="shared" si="3"/>
        <v>0</v>
      </c>
      <c r="P38" s="26">
        <f t="shared" si="1"/>
        <v>0</v>
      </c>
    </row>
    <row r="39" spans="1:16" ht="15.95" customHeight="1">
      <c r="A39" s="19" t="s">
        <v>86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5">
        <f t="shared" ref="O39:O85" si="8">SUM(C39:N39)</f>
        <v>0</v>
      </c>
      <c r="P39" s="26">
        <f t="shared" si="1"/>
        <v>0</v>
      </c>
    </row>
    <row r="40" spans="1:16" ht="15.95" customHeight="1">
      <c r="A40" s="19" t="s">
        <v>87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5">
        <f t="shared" si="8"/>
        <v>0</v>
      </c>
      <c r="P40" s="26">
        <f t="shared" si="1"/>
        <v>0</v>
      </c>
    </row>
    <row r="41" spans="1:16" ht="15.95" customHeight="1">
      <c r="A41" s="19" t="s">
        <v>88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5">
        <f t="shared" si="8"/>
        <v>0</v>
      </c>
      <c r="P41" s="26">
        <f t="shared" si="1"/>
        <v>0</v>
      </c>
    </row>
    <row r="42" spans="1:16" ht="15.95" customHeight="1">
      <c r="A42" s="19" t="s">
        <v>89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5">
        <f t="shared" si="8"/>
        <v>0</v>
      </c>
      <c r="P42" s="26">
        <f t="shared" si="1"/>
        <v>0</v>
      </c>
    </row>
    <row r="43" spans="1:16" ht="15.95" customHeight="1">
      <c r="A43" s="19" t="s">
        <v>90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5">
        <f t="shared" si="8"/>
        <v>0</v>
      </c>
      <c r="P43" s="26">
        <f t="shared" si="1"/>
        <v>0</v>
      </c>
    </row>
    <row r="44" spans="1:16" ht="15.95" customHeight="1">
      <c r="A44" s="19" t="s">
        <v>91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5">
        <f t="shared" si="8"/>
        <v>0</v>
      </c>
      <c r="P44" s="26">
        <f t="shared" si="1"/>
        <v>0</v>
      </c>
    </row>
    <row r="45" spans="1:16" ht="15.95" customHeight="1">
      <c r="A45" s="19" t="s">
        <v>92</v>
      </c>
      <c r="B45" s="20">
        <v>0.02</v>
      </c>
      <c r="C45" s="20">
        <f>180/10000</f>
        <v>1.7999999999999999E-2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5">
        <f t="shared" si="8"/>
        <v>1.7999999999999999E-2</v>
      </c>
      <c r="P45" s="26">
        <f t="shared" si="1"/>
        <v>0.89999999999999991</v>
      </c>
    </row>
    <row r="46" spans="1:16" ht="15.95" customHeight="1">
      <c r="A46" s="21" t="s">
        <v>26</v>
      </c>
      <c r="B46" s="18">
        <f>B47+B80</f>
        <v>0</v>
      </c>
      <c r="C46" s="18">
        <f t="shared" ref="C46:N46" si="9">C47+C80</f>
        <v>0</v>
      </c>
      <c r="D46" s="18">
        <f t="shared" si="9"/>
        <v>0</v>
      </c>
      <c r="E46" s="18">
        <f t="shared" si="9"/>
        <v>0</v>
      </c>
      <c r="F46" s="18">
        <f t="shared" si="9"/>
        <v>0</v>
      </c>
      <c r="G46" s="18">
        <f t="shared" si="9"/>
        <v>0</v>
      </c>
      <c r="H46" s="18">
        <f t="shared" si="9"/>
        <v>0</v>
      </c>
      <c r="I46" s="18">
        <f t="shared" si="9"/>
        <v>0</v>
      </c>
      <c r="J46" s="18">
        <f t="shared" si="9"/>
        <v>0</v>
      </c>
      <c r="K46" s="18">
        <f t="shared" si="9"/>
        <v>0</v>
      </c>
      <c r="L46" s="18">
        <f t="shared" si="9"/>
        <v>0</v>
      </c>
      <c r="M46" s="18">
        <f t="shared" si="9"/>
        <v>0</v>
      </c>
      <c r="N46" s="18">
        <f t="shared" si="9"/>
        <v>0</v>
      </c>
      <c r="O46" s="18">
        <f t="shared" si="8"/>
        <v>0</v>
      </c>
      <c r="P46" s="23">
        <f t="shared" si="1"/>
        <v>0</v>
      </c>
    </row>
    <row r="47" spans="1:16" ht="15.95" customHeight="1">
      <c r="A47" s="18" t="s">
        <v>93</v>
      </c>
      <c r="B47" s="18">
        <f>SUM(B48:B79)</f>
        <v>0</v>
      </c>
      <c r="C47" s="18">
        <f t="shared" ref="C47:N47" si="10">SUM(C48:C79)</f>
        <v>0</v>
      </c>
      <c r="D47" s="18">
        <f t="shared" si="10"/>
        <v>0</v>
      </c>
      <c r="E47" s="18">
        <f t="shared" si="10"/>
        <v>0</v>
      </c>
      <c r="F47" s="18">
        <f t="shared" si="10"/>
        <v>0</v>
      </c>
      <c r="G47" s="18">
        <f t="shared" si="10"/>
        <v>0</v>
      </c>
      <c r="H47" s="18">
        <f t="shared" si="10"/>
        <v>0</v>
      </c>
      <c r="I47" s="18">
        <f t="shared" si="10"/>
        <v>0</v>
      </c>
      <c r="J47" s="18">
        <f t="shared" si="10"/>
        <v>0</v>
      </c>
      <c r="K47" s="18">
        <f t="shared" si="10"/>
        <v>0</v>
      </c>
      <c r="L47" s="18">
        <f t="shared" si="10"/>
        <v>0</v>
      </c>
      <c r="M47" s="18">
        <f t="shared" si="10"/>
        <v>0</v>
      </c>
      <c r="N47" s="18">
        <f t="shared" si="10"/>
        <v>0</v>
      </c>
      <c r="O47" s="18">
        <f t="shared" si="8"/>
        <v>0</v>
      </c>
      <c r="P47" s="23">
        <f t="shared" si="1"/>
        <v>0</v>
      </c>
    </row>
    <row r="48" spans="1:16" ht="15.95" customHeight="1">
      <c r="A48" s="19" t="s">
        <v>62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5">
        <f t="shared" si="8"/>
        <v>0</v>
      </c>
      <c r="P48" s="26">
        <f t="shared" si="1"/>
        <v>0</v>
      </c>
    </row>
    <row r="49" spans="1:16" ht="15.95" customHeight="1">
      <c r="A49" s="19" t="s">
        <v>63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5">
        <f t="shared" si="8"/>
        <v>0</v>
      </c>
      <c r="P49" s="26">
        <f t="shared" si="1"/>
        <v>0</v>
      </c>
    </row>
    <row r="50" spans="1:16" ht="15.95" customHeight="1">
      <c r="A50" s="19" t="s">
        <v>64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5">
        <f t="shared" si="8"/>
        <v>0</v>
      </c>
      <c r="P50" s="26">
        <f t="shared" si="1"/>
        <v>0</v>
      </c>
    </row>
    <row r="51" spans="1:16" ht="15.95" customHeight="1">
      <c r="A51" s="19" t="s">
        <v>65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5">
        <f t="shared" si="8"/>
        <v>0</v>
      </c>
      <c r="P51" s="26">
        <f t="shared" si="1"/>
        <v>0</v>
      </c>
    </row>
    <row r="52" spans="1:16" ht="15.95" customHeight="1">
      <c r="A52" s="19" t="s">
        <v>66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5">
        <f t="shared" si="8"/>
        <v>0</v>
      </c>
      <c r="P52" s="26">
        <f t="shared" si="1"/>
        <v>0</v>
      </c>
    </row>
    <row r="53" spans="1:16" ht="15.95" customHeight="1">
      <c r="A53" s="19" t="s">
        <v>67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5">
        <f t="shared" si="8"/>
        <v>0</v>
      </c>
      <c r="P53" s="26">
        <f t="shared" si="1"/>
        <v>0</v>
      </c>
    </row>
    <row r="54" spans="1:16" ht="15.95" customHeight="1">
      <c r="A54" s="19" t="s">
        <v>68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5">
        <f t="shared" si="8"/>
        <v>0</v>
      </c>
      <c r="P54" s="26">
        <f t="shared" si="1"/>
        <v>0</v>
      </c>
    </row>
    <row r="55" spans="1:16" ht="15.95" customHeight="1">
      <c r="A55" s="19" t="s">
        <v>69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5">
        <f t="shared" si="8"/>
        <v>0</v>
      </c>
      <c r="P55" s="26">
        <f t="shared" si="1"/>
        <v>0</v>
      </c>
    </row>
    <row r="56" spans="1:16" ht="15.95" customHeight="1">
      <c r="A56" s="19" t="s">
        <v>70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5">
        <f t="shared" si="8"/>
        <v>0</v>
      </c>
      <c r="P56" s="26">
        <f t="shared" si="1"/>
        <v>0</v>
      </c>
    </row>
    <row r="57" spans="1:16" ht="15.95" customHeight="1">
      <c r="A57" s="19" t="s">
        <v>71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5">
        <f t="shared" si="8"/>
        <v>0</v>
      </c>
      <c r="P57" s="26">
        <f t="shared" si="1"/>
        <v>0</v>
      </c>
    </row>
    <row r="58" spans="1:16" ht="15.95" customHeight="1">
      <c r="A58" s="19" t="s">
        <v>72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5">
        <f t="shared" si="8"/>
        <v>0</v>
      </c>
      <c r="P58" s="26">
        <f t="shared" si="1"/>
        <v>0</v>
      </c>
    </row>
    <row r="59" spans="1:16" ht="15.95" customHeight="1">
      <c r="A59" s="19" t="s">
        <v>73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5">
        <f t="shared" si="8"/>
        <v>0</v>
      </c>
      <c r="P59" s="26">
        <f t="shared" si="1"/>
        <v>0</v>
      </c>
    </row>
    <row r="60" spans="1:16" ht="15.95" customHeight="1">
      <c r="A60" s="19" t="s">
        <v>74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5">
        <f t="shared" si="8"/>
        <v>0</v>
      </c>
      <c r="P60" s="26">
        <f t="shared" si="1"/>
        <v>0</v>
      </c>
    </row>
    <row r="61" spans="1:16" ht="15.95" customHeight="1">
      <c r="A61" s="19" t="s">
        <v>75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5">
        <f t="shared" si="8"/>
        <v>0</v>
      </c>
      <c r="P61" s="26">
        <f t="shared" si="1"/>
        <v>0</v>
      </c>
    </row>
    <row r="62" spans="1:16" ht="15.95" customHeight="1">
      <c r="A62" s="19" t="s">
        <v>76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5">
        <f t="shared" si="8"/>
        <v>0</v>
      </c>
      <c r="P62" s="26">
        <f t="shared" si="1"/>
        <v>0</v>
      </c>
    </row>
    <row r="63" spans="1:16" ht="15.95" customHeight="1">
      <c r="A63" s="19" t="s">
        <v>77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5">
        <f t="shared" si="8"/>
        <v>0</v>
      </c>
      <c r="P63" s="26">
        <f t="shared" si="1"/>
        <v>0</v>
      </c>
    </row>
    <row r="64" spans="1:16" ht="15.95" customHeight="1">
      <c r="A64" s="19" t="s">
        <v>78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5">
        <f t="shared" si="8"/>
        <v>0</v>
      </c>
      <c r="P64" s="26">
        <f t="shared" si="1"/>
        <v>0</v>
      </c>
    </row>
    <row r="65" spans="1:16" ht="15.95" customHeight="1">
      <c r="A65" s="19" t="s">
        <v>79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5">
        <f t="shared" si="8"/>
        <v>0</v>
      </c>
      <c r="P65" s="26">
        <f t="shared" si="1"/>
        <v>0</v>
      </c>
    </row>
    <row r="66" spans="1:16" ht="15.95" customHeight="1">
      <c r="A66" s="19" t="s">
        <v>80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5">
        <f t="shared" si="8"/>
        <v>0</v>
      </c>
      <c r="P66" s="26">
        <f t="shared" si="1"/>
        <v>0</v>
      </c>
    </row>
    <row r="67" spans="1:16" ht="15.95" customHeight="1">
      <c r="A67" s="19" t="s">
        <v>81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5">
        <f t="shared" si="8"/>
        <v>0</v>
      </c>
      <c r="P67" s="26">
        <f t="shared" si="1"/>
        <v>0</v>
      </c>
    </row>
    <row r="68" spans="1:16" ht="15.95" customHeight="1">
      <c r="A68" s="19" t="s">
        <v>60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5">
        <f t="shared" si="8"/>
        <v>0</v>
      </c>
      <c r="P68" s="26">
        <f t="shared" si="1"/>
        <v>0</v>
      </c>
    </row>
    <row r="69" spans="1:16" ht="15.95" customHeight="1">
      <c r="A69" s="19" t="s">
        <v>82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5">
        <f t="shared" si="8"/>
        <v>0</v>
      </c>
      <c r="P69" s="26">
        <f t="shared" si="1"/>
        <v>0</v>
      </c>
    </row>
    <row r="70" spans="1:16" ht="15.95" customHeight="1">
      <c r="A70" s="19" t="s">
        <v>83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5">
        <f t="shared" si="8"/>
        <v>0</v>
      </c>
      <c r="P70" s="26">
        <f t="shared" ref="P70:P85" si="11">IFERROR(O70/B70,)</f>
        <v>0</v>
      </c>
    </row>
    <row r="71" spans="1:16" ht="15.95" customHeight="1">
      <c r="A71" s="19" t="s">
        <v>84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5">
        <f t="shared" si="8"/>
        <v>0</v>
      </c>
      <c r="P71" s="26">
        <f t="shared" si="11"/>
        <v>0</v>
      </c>
    </row>
    <row r="72" spans="1:16" ht="15.95" customHeight="1">
      <c r="A72" s="19" t="s">
        <v>85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5">
        <f t="shared" si="8"/>
        <v>0</v>
      </c>
      <c r="P72" s="26">
        <f t="shared" si="11"/>
        <v>0</v>
      </c>
    </row>
    <row r="73" spans="1:16" ht="15.95" customHeight="1">
      <c r="A73" s="19" t="s">
        <v>86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5">
        <f t="shared" si="8"/>
        <v>0</v>
      </c>
      <c r="P73" s="26">
        <f t="shared" si="11"/>
        <v>0</v>
      </c>
    </row>
    <row r="74" spans="1:16" ht="15.95" customHeight="1">
      <c r="A74" s="19" t="s">
        <v>87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5">
        <f t="shared" si="8"/>
        <v>0</v>
      </c>
      <c r="P74" s="26">
        <f t="shared" si="11"/>
        <v>0</v>
      </c>
    </row>
    <row r="75" spans="1:16" ht="15.95" customHeight="1">
      <c r="A75" s="19" t="s">
        <v>88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5">
        <f t="shared" si="8"/>
        <v>0</v>
      </c>
      <c r="P75" s="26">
        <f t="shared" si="11"/>
        <v>0</v>
      </c>
    </row>
    <row r="76" spans="1:16" ht="15.95" customHeight="1">
      <c r="A76" s="19" t="s">
        <v>89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5">
        <f t="shared" si="8"/>
        <v>0</v>
      </c>
      <c r="P76" s="26">
        <f t="shared" si="11"/>
        <v>0</v>
      </c>
    </row>
    <row r="77" spans="1:16" ht="15.95" customHeight="1">
      <c r="A77" s="19" t="s">
        <v>90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5">
        <f t="shared" si="8"/>
        <v>0</v>
      </c>
      <c r="P77" s="26">
        <f t="shared" si="11"/>
        <v>0</v>
      </c>
    </row>
    <row r="78" spans="1:16" ht="15.95" customHeight="1">
      <c r="A78" s="19" t="s">
        <v>91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4"/>
      <c r="M78" s="20"/>
      <c r="N78" s="20"/>
      <c r="O78" s="25">
        <f t="shared" si="8"/>
        <v>0</v>
      </c>
      <c r="P78" s="26">
        <f t="shared" si="11"/>
        <v>0</v>
      </c>
    </row>
    <row r="79" spans="1:16" ht="15.95" customHeight="1">
      <c r="A79" s="19" t="s">
        <v>92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5">
        <f t="shared" si="8"/>
        <v>0</v>
      </c>
      <c r="P79" s="26">
        <f t="shared" si="11"/>
        <v>0</v>
      </c>
    </row>
    <row r="80" spans="1:16" ht="15.95" customHeight="1">
      <c r="A80" s="18" t="s">
        <v>94</v>
      </c>
      <c r="B80" s="18">
        <f>SUM(B81:B85)</f>
        <v>0</v>
      </c>
      <c r="C80" s="18">
        <f t="shared" ref="C80:N80" si="12">SUM(C81:C85)</f>
        <v>0</v>
      </c>
      <c r="D80" s="18">
        <f t="shared" si="12"/>
        <v>0</v>
      </c>
      <c r="E80" s="18">
        <f t="shared" si="12"/>
        <v>0</v>
      </c>
      <c r="F80" s="18">
        <f t="shared" si="12"/>
        <v>0</v>
      </c>
      <c r="G80" s="18">
        <f t="shared" si="12"/>
        <v>0</v>
      </c>
      <c r="H80" s="18">
        <f t="shared" si="12"/>
        <v>0</v>
      </c>
      <c r="I80" s="18">
        <f t="shared" si="12"/>
        <v>0</v>
      </c>
      <c r="J80" s="18">
        <f t="shared" si="12"/>
        <v>0</v>
      </c>
      <c r="K80" s="18">
        <f t="shared" si="12"/>
        <v>0</v>
      </c>
      <c r="L80" s="18">
        <f t="shared" si="12"/>
        <v>0</v>
      </c>
      <c r="M80" s="18">
        <f t="shared" si="12"/>
        <v>0</v>
      </c>
      <c r="N80" s="18">
        <f t="shared" si="12"/>
        <v>0</v>
      </c>
      <c r="O80" s="18">
        <f t="shared" si="8"/>
        <v>0</v>
      </c>
      <c r="P80" s="23">
        <f t="shared" si="11"/>
        <v>0</v>
      </c>
    </row>
    <row r="81" spans="1:16" ht="15.95" customHeight="1">
      <c r="A81" s="19" t="s">
        <v>95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4"/>
      <c r="M81" s="20"/>
      <c r="N81" s="20"/>
      <c r="O81" s="18">
        <f t="shared" si="8"/>
        <v>0</v>
      </c>
      <c r="P81" s="26"/>
    </row>
    <row r="82" spans="1:16" ht="15.95" customHeight="1">
      <c r="A82" s="19" t="s">
        <v>96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5">
        <f t="shared" si="8"/>
        <v>0</v>
      </c>
      <c r="P82" s="26">
        <f t="shared" si="11"/>
        <v>0</v>
      </c>
    </row>
    <row r="83" spans="1:16" ht="15.95" customHeight="1">
      <c r="A83" s="19" t="s">
        <v>97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5">
        <f t="shared" si="8"/>
        <v>0</v>
      </c>
      <c r="P83" s="26">
        <f t="shared" si="11"/>
        <v>0</v>
      </c>
    </row>
    <row r="84" spans="1:16" ht="15.95" customHeight="1">
      <c r="A84" s="19" t="s">
        <v>98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5">
        <f t="shared" si="8"/>
        <v>0</v>
      </c>
      <c r="P84" s="26">
        <f t="shared" si="11"/>
        <v>0</v>
      </c>
    </row>
    <row r="85" spans="1:16" ht="15.95" customHeight="1">
      <c r="A85" s="19" t="s">
        <v>99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5">
        <f t="shared" si="8"/>
        <v>0</v>
      </c>
      <c r="P85" s="26">
        <f t="shared" si="11"/>
        <v>0</v>
      </c>
    </row>
    <row r="87" spans="1:16" ht="15.95" customHeight="1">
      <c r="A87" s="8" t="s">
        <v>100</v>
      </c>
      <c r="B87" s="9"/>
    </row>
  </sheetData>
  <mergeCells count="6">
    <mergeCell ref="A1:P1"/>
    <mergeCell ref="C2:N2"/>
    <mergeCell ref="A2:A3"/>
    <mergeCell ref="B2:B3"/>
    <mergeCell ref="O2:O3"/>
    <mergeCell ref="P2:P3"/>
  </mergeCells>
  <phoneticPr fontId="33" type="noConversion"/>
  <pageMargins left="0.74803149606299202" right="0.74803149606299202" top="0.98425196850393704" bottom="0.98425196850393704" header="0.511811023622047" footer="0.511811023622047"/>
  <pageSetup paperSize="9" scale="91" fitToHeight="0" orientation="landscape"/>
  <ignoredErrors>
    <ignoredError sqref="O2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"/>
  <sheetViews>
    <sheetView workbookViewId="0">
      <pane xSplit="2" ySplit="2" topLeftCell="C3" activePane="bottomRight" state="frozen"/>
      <selection pane="topRight"/>
      <selection pane="bottomLeft"/>
      <selection pane="bottomRight" activeCell="C22" sqref="C22"/>
    </sheetView>
  </sheetViews>
  <sheetFormatPr defaultColWidth="8.875" defaultRowHeight="15.95" customHeight="1"/>
  <cols>
    <col min="1" max="2" width="15.5" customWidth="1"/>
    <col min="3" max="3" width="55" customWidth="1"/>
    <col min="4" max="8" width="15.5" customWidth="1"/>
  </cols>
  <sheetData>
    <row r="1" spans="1:16" s="1" customFormat="1" ht="32.1" customHeight="1">
      <c r="A1" s="69" t="s">
        <v>114</v>
      </c>
      <c r="B1" s="69"/>
      <c r="C1" s="69"/>
      <c r="D1" s="69"/>
      <c r="E1" s="69"/>
      <c r="F1" s="69"/>
      <c r="G1" s="69"/>
      <c r="H1" s="69"/>
      <c r="I1" s="10"/>
      <c r="J1" s="10"/>
      <c r="K1" s="10"/>
      <c r="L1" s="10"/>
      <c r="M1" s="10"/>
      <c r="N1" s="10"/>
      <c r="O1" s="10"/>
      <c r="P1" s="10"/>
    </row>
    <row r="2" spans="1:16" ht="15.95" customHeight="1">
      <c r="A2" s="3" t="s">
        <v>101</v>
      </c>
      <c r="B2" s="3" t="s">
        <v>102</v>
      </c>
      <c r="C2" s="3" t="s">
        <v>103</v>
      </c>
      <c r="D2" s="3" t="s">
        <v>104</v>
      </c>
      <c r="E2" s="3" t="s">
        <v>105</v>
      </c>
      <c r="F2" s="3" t="s">
        <v>106</v>
      </c>
      <c r="G2" s="4" t="s">
        <v>116</v>
      </c>
      <c r="H2" s="4" t="s">
        <v>118</v>
      </c>
    </row>
    <row r="3" spans="1:16" s="2" customFormat="1" ht="15.95" customHeight="1">
      <c r="A3" s="84" t="s">
        <v>107</v>
      </c>
      <c r="B3" s="84" t="s">
        <v>108</v>
      </c>
      <c r="C3" s="5"/>
      <c r="D3" s="6"/>
      <c r="E3" s="6"/>
      <c r="F3" s="6"/>
      <c r="G3" s="6"/>
      <c r="H3" s="6">
        <f>F3</f>
        <v>0</v>
      </c>
    </row>
    <row r="4" spans="1:16" s="2" customFormat="1" ht="15.95" customHeight="1">
      <c r="A4" s="84"/>
      <c r="B4" s="84"/>
      <c r="C4" s="5"/>
      <c r="D4" s="6"/>
      <c r="E4" s="6"/>
      <c r="F4" s="6"/>
      <c r="G4" s="6"/>
      <c r="H4" s="6">
        <f t="shared" ref="H4:H12" si="0">F4</f>
        <v>0</v>
      </c>
    </row>
    <row r="5" spans="1:16" s="2" customFormat="1" ht="15.95" customHeight="1">
      <c r="A5" s="84"/>
      <c r="B5" s="84"/>
      <c r="C5" s="5"/>
      <c r="D5" s="6"/>
      <c r="E5" s="6"/>
      <c r="F5" s="6"/>
      <c r="G5" s="6"/>
      <c r="H5" s="6">
        <f t="shared" si="0"/>
        <v>0</v>
      </c>
    </row>
    <row r="6" spans="1:16" s="2" customFormat="1" ht="15.95" customHeight="1">
      <c r="A6" s="84"/>
      <c r="B6" s="84"/>
      <c r="C6" s="5"/>
      <c r="D6" s="6"/>
      <c r="E6" s="6"/>
      <c r="F6" s="6"/>
      <c r="G6" s="6"/>
      <c r="H6" s="6">
        <f t="shared" si="0"/>
        <v>0</v>
      </c>
    </row>
    <row r="7" spans="1:16" s="2" customFormat="1" ht="15.95" customHeight="1">
      <c r="A7" s="84"/>
      <c r="B7" s="84"/>
      <c r="C7" s="5"/>
      <c r="D7" s="6"/>
      <c r="E7" s="6"/>
      <c r="F7" s="6"/>
      <c r="G7" s="6"/>
      <c r="H7" s="6">
        <f t="shared" si="0"/>
        <v>0</v>
      </c>
    </row>
    <row r="8" spans="1:16" s="2" customFormat="1" ht="15.95" customHeight="1">
      <c r="A8" s="84"/>
      <c r="B8" s="84"/>
      <c r="C8" s="5"/>
      <c r="D8" s="6"/>
      <c r="E8" s="6"/>
      <c r="F8" s="6"/>
      <c r="G8" s="6"/>
      <c r="H8" s="6">
        <f t="shared" si="0"/>
        <v>0</v>
      </c>
    </row>
    <row r="9" spans="1:16" s="2" customFormat="1" ht="15.95" customHeight="1">
      <c r="A9" s="84"/>
      <c r="B9" s="84"/>
      <c r="C9" s="5"/>
      <c r="D9" s="6"/>
      <c r="E9" s="6"/>
      <c r="F9" s="6"/>
      <c r="G9" s="6"/>
      <c r="H9" s="6">
        <f t="shared" si="0"/>
        <v>0</v>
      </c>
    </row>
    <row r="10" spans="1:16" s="2" customFormat="1" ht="15.95" customHeight="1">
      <c r="A10" s="84"/>
      <c r="B10" s="84"/>
      <c r="C10" s="5"/>
      <c r="D10" s="6"/>
      <c r="E10" s="6"/>
      <c r="F10" s="6"/>
      <c r="G10" s="6"/>
      <c r="H10" s="6">
        <f t="shared" si="0"/>
        <v>0</v>
      </c>
    </row>
    <row r="11" spans="1:16" s="2" customFormat="1" ht="15.95" customHeight="1">
      <c r="A11" s="84"/>
      <c r="B11" s="84"/>
      <c r="C11" s="5"/>
      <c r="D11" s="6"/>
      <c r="E11" s="6"/>
      <c r="F11" s="6"/>
      <c r="G11" s="6"/>
      <c r="H11" s="6">
        <f t="shared" si="0"/>
        <v>0</v>
      </c>
    </row>
    <row r="12" spans="1:16" s="2" customFormat="1" ht="15.95" customHeight="1">
      <c r="A12" s="84"/>
      <c r="B12" s="84"/>
      <c r="C12" s="5"/>
      <c r="D12" s="6"/>
      <c r="E12" s="6"/>
      <c r="F12" s="6"/>
      <c r="G12" s="6"/>
      <c r="H12" s="6">
        <f t="shared" si="0"/>
        <v>0</v>
      </c>
    </row>
    <row r="13" spans="1:16" s="2" customFormat="1" ht="15.95" customHeight="1">
      <c r="A13" s="84"/>
      <c r="B13" s="84"/>
      <c r="C13" s="6"/>
      <c r="D13" s="6"/>
      <c r="E13" s="6"/>
      <c r="F13" s="6"/>
      <c r="G13" s="6"/>
      <c r="H13" s="6"/>
    </row>
    <row r="14" spans="1:16" s="2" customFormat="1" ht="15.95" customHeight="1">
      <c r="A14" s="84"/>
      <c r="B14" s="84"/>
      <c r="C14" s="6"/>
      <c r="D14" s="6"/>
      <c r="E14" s="6"/>
      <c r="F14" s="6"/>
      <c r="G14" s="6"/>
      <c r="H14" s="6"/>
    </row>
    <row r="15" spans="1:16" ht="15.95" customHeight="1">
      <c r="A15" s="83" t="s">
        <v>109</v>
      </c>
      <c r="B15" s="83"/>
      <c r="C15" s="83"/>
      <c r="D15" s="83"/>
      <c r="E15" s="83"/>
      <c r="F15" s="83"/>
      <c r="G15" s="7">
        <f>SUM(G3:G14)</f>
        <v>0</v>
      </c>
      <c r="H15" s="7">
        <f>SUM(H3:H14)</f>
        <v>0</v>
      </c>
    </row>
    <row r="17" spans="1:2" ht="15.95" customHeight="1">
      <c r="A17" s="8" t="s">
        <v>100</v>
      </c>
      <c r="B17" s="9"/>
    </row>
  </sheetData>
  <mergeCells count="4">
    <mergeCell ref="A1:H1"/>
    <mergeCell ref="A15:F15"/>
    <mergeCell ref="A3:A14"/>
    <mergeCell ref="B3:B14"/>
  </mergeCells>
  <phoneticPr fontId="3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指标统计</vt:lpstr>
      <vt:lpstr>预算执行汇总</vt:lpstr>
      <vt:lpstr>费用预算执行明细</vt:lpstr>
      <vt:lpstr>资本性支出计划与执行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youhu</dc:creator>
  <cp:lastModifiedBy>联谊AIMIN</cp:lastModifiedBy>
  <cp:lastPrinted>2024-11-06T04:14:00Z</cp:lastPrinted>
  <dcterms:created xsi:type="dcterms:W3CDTF">2023-12-28T04:28:00Z</dcterms:created>
  <dcterms:modified xsi:type="dcterms:W3CDTF">2026-05-07T09:29:19Z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740C751E201A4DAA95E09953EE06D517_13</vt:lpwstr>
  </property>
  <property fmtid="{D5CDD505-2E9C-101B-9397-08002B2CF9AE}" pid="3" name="KSOProductBuildVer">
    <vt:lpwstr>2052-12.1.0.19302</vt:lpwstr>
  </property>
  <property fmtid="{D5CDD505-2E9C-101B-9397-08002B2CF9AE}" pid="4" name="KSOReadingLayout">
    <vt:bool>true</vt:bool>
  </property>
</Properties>
</file>