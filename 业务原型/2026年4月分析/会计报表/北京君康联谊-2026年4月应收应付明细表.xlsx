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F:\2023.9.13\君康联谊\君康联谊\3、财务报表\财务报表（月度）--本公司\2026年度\4月上报集团\"/>
    </mc:Choice>
  </mc:AlternateContent>
  <xr:revisionPtr revIDLastSave="0" documentId="13_ncr:1_{FBD473DA-6D2A-4877-A566-2E0AE9E52C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应收款明细统计" sheetId="1" r:id="rId1"/>
    <sheet name="应付款明细统计" sheetId="2" r:id="rId2"/>
  </sheets>
  <externalReferences>
    <externalReference r:id="rId3"/>
  </externalReferences>
  <definedNames>
    <definedName name="_xlnm._FilterDatabase" localSheetId="0" hidden="1">应收款明细统计!$A$1:$G$1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2" l="1"/>
  <c r="E12" i="2"/>
  <c r="G16" i="1"/>
  <c r="G15" i="1"/>
  <c r="E12" i="1" l="1"/>
  <c r="G12" i="1" s="1"/>
  <c r="E10" i="1"/>
  <c r="G10" i="1" s="1"/>
  <c r="E8" i="2"/>
  <c r="E10" i="2" s="1"/>
  <c r="G7" i="1"/>
  <c r="E5" i="2"/>
  <c r="E8" i="1"/>
  <c r="E9" i="1" s="1"/>
  <c r="F5" i="1"/>
  <c r="G5" i="1" s="1"/>
  <c r="F2" i="1"/>
  <c r="F9" i="1" s="1"/>
  <c r="G8" i="1"/>
  <c r="G6" i="1"/>
  <c r="F13" i="1"/>
  <c r="G3" i="1"/>
  <c r="G4" i="1"/>
  <c r="G11" i="1"/>
  <c r="E7" i="2" l="1"/>
  <c r="G13" i="1"/>
  <c r="E13" i="1"/>
  <c r="E14" i="1" s="1"/>
  <c r="G2" i="1"/>
  <c r="F14" i="1"/>
  <c r="G9" i="1"/>
  <c r="E11" i="2" l="1"/>
  <c r="G14" i="1"/>
</calcChain>
</file>

<file path=xl/sharedStrings.xml><?xml version="1.0" encoding="utf-8"?>
<sst xmlns="http://schemas.openxmlformats.org/spreadsheetml/2006/main" count="81" uniqueCount="59">
  <si>
    <t>往来对象名称</t>
  </si>
  <si>
    <t>会计科目</t>
  </si>
  <si>
    <t>往来项目说明</t>
  </si>
  <si>
    <t>款项形成日期</t>
  </si>
  <si>
    <t>应收金额</t>
  </si>
  <si>
    <t>减值准备</t>
  </si>
  <si>
    <t>应收净额</t>
  </si>
  <si>
    <t>应付金额</t>
  </si>
  <si>
    <t>其他应收款</t>
    <phoneticPr fontId="5" type="noConversion"/>
  </si>
  <si>
    <t>预付账款</t>
    <phoneticPr fontId="5" type="noConversion"/>
  </si>
  <si>
    <t>国网北京市电力公司</t>
  </si>
  <si>
    <t>中建交通建设集团有限公司</t>
  </si>
  <si>
    <t>北京顺义自来水有限责任公司</t>
  </si>
  <si>
    <t>北京中晨联谊房地产开发有限公司</t>
  </si>
  <si>
    <t>北京中建建筑设计院有限公司(张海明）</t>
  </si>
  <si>
    <t>上海大业房地产开发有限公司</t>
  </si>
  <si>
    <t>万晓武</t>
  </si>
  <si>
    <t>建筑材料预付款</t>
  </si>
  <si>
    <t>代付中晨验资费</t>
  </si>
  <si>
    <t>北京中建建筑设计院有限公司的合同尾款</t>
  </si>
  <si>
    <t>设备采购预付款</t>
  </si>
  <si>
    <t>原君康联谊办公房屋押金</t>
  </si>
  <si>
    <t>顺义项目电费</t>
  </si>
  <si>
    <t>预付工程款及代垫水电费</t>
  </si>
  <si>
    <t>顺义项目水费</t>
  </si>
  <si>
    <t>其他应收款小计：</t>
    <phoneticPr fontId="5" type="noConversion"/>
  </si>
  <si>
    <t>预付账款小计：</t>
    <phoneticPr fontId="5" type="noConversion"/>
  </si>
  <si>
    <t>应收款总计：</t>
    <phoneticPr fontId="5" type="noConversion"/>
  </si>
  <si>
    <t>氛特斯帝咨询顾问有限公司</t>
  </si>
  <si>
    <t>应付账款</t>
    <phoneticPr fontId="5" type="noConversion"/>
  </si>
  <si>
    <t>其他应付款</t>
    <phoneticPr fontId="5" type="noConversion"/>
  </si>
  <si>
    <t>计提应付合同【JK-YL-SJ001-2019】氛特斯帝咨询顾问有限公司，泳池设计费</t>
  </si>
  <si>
    <t>君康人寿保险股份有限公司</t>
  </si>
  <si>
    <t>代扣代缴员工公积金款项</t>
  </si>
  <si>
    <t>上海凡申企业管理中心（有限合伙）</t>
  </si>
  <si>
    <t>借款</t>
  </si>
  <si>
    <t>履约保证金</t>
  </si>
  <si>
    <t>应付账款小计：</t>
    <phoneticPr fontId="5" type="noConversion"/>
  </si>
  <si>
    <t>其他应付款小计：</t>
    <phoneticPr fontId="5" type="noConversion"/>
  </si>
  <si>
    <t>应付款总计：</t>
    <phoneticPr fontId="5" type="noConversion"/>
  </si>
  <si>
    <t>备注</t>
    <phoneticPr fontId="5" type="noConversion"/>
  </si>
  <si>
    <t>计提合同【JK056补1】北京帝测科技股份有限公司，11-0813项目2022.12-2023.4基坑沉降观测费</t>
    <phoneticPr fontId="5" type="noConversion"/>
  </si>
  <si>
    <t>北京帝测科技股份有限公司</t>
    <phoneticPr fontId="5" type="noConversion"/>
  </si>
  <si>
    <t>因对方多开具发票0.9元，暂计入应付账款，在下次付款时少开具0.9元，调平发票金额与付款金额。</t>
    <phoneticPr fontId="5" type="noConversion"/>
  </si>
  <si>
    <t>中建交通建设集团有限公司</t>
    <phoneticPr fontId="5" type="noConversion"/>
  </si>
  <si>
    <t>计提合同【JKLY-2019-JA-002及补2】中建交通建设集团有限公司，11-0813项目总承包工程补充协议二工程款</t>
    <phoneticPr fontId="5" type="noConversion"/>
  </si>
  <si>
    <t>计提合同【JKLY-2019-JA-002及补3】中建交通建设集团有限公司，11-0813项目总承包工程补充协议三工程款</t>
  </si>
  <si>
    <t>北京市建设工程质量第一检测所有限责任公司</t>
  </si>
  <si>
    <t>计提合同【JKLY-QQ-FW-2023-011】北京市建设工程质量第一检测所有限责任公司，11-0813项目锈蚀钢筋及防水卷材性能检测服务费</t>
  </si>
  <si>
    <t>已开发票</t>
  </si>
  <si>
    <t>已通过结算申请OA流程。</t>
    <phoneticPr fontId="5" type="noConversion"/>
  </si>
  <si>
    <t>其他应收款校对：</t>
    <phoneticPr fontId="5" type="noConversion"/>
  </si>
  <si>
    <t>预付账款校对：</t>
    <phoneticPr fontId="5" type="noConversion"/>
  </si>
  <si>
    <t>应付账款校对：</t>
    <phoneticPr fontId="5" type="noConversion"/>
  </si>
  <si>
    <t>其他应付款</t>
  </si>
  <si>
    <t>预付工程款，20,000,000.00元，2020年9月18日支付；
代垫水电费，1,652,101.39元，2020年8月-2025年12月累计形成。</t>
    <phoneticPr fontId="5" type="noConversion"/>
  </si>
  <si>
    <t>代扣代缴员工社保</t>
    <phoneticPr fontId="5" type="noConversion"/>
  </si>
  <si>
    <t>代扣代缴社保</t>
    <phoneticPr fontId="5" type="noConversion"/>
  </si>
  <si>
    <t>借款本金：43,335,649.00元
 借款利息：3,280,041.16元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</si>
</sst>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_-* #,##0\¥_-;\-* #,##0\¥_-;_-* &quot;-&quot;\¥_-;_-@_-"/>
    <numFmt numFmtId="177" formatCode="yyyy&quot;年&quot;m&quot;月&quot;;@"/>
    <numFmt numFmtId="178" formatCode="[$-F800]dddd\,\ mmmm\ dd\,\ yyyy"/>
  </numFmts>
  <fonts count="9" x14ac:knownFonts="1">
    <font>
      <sz val="11"/>
      <color theme="1"/>
      <name val="宋体"/>
      <charset val="134"/>
      <scheme val="minor"/>
    </font>
    <font>
      <b/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0" fontId="2" fillId="0" borderId="0">
      <alignment vertical="center"/>
    </xf>
    <xf numFmtId="0" fontId="4" fillId="0" borderId="0">
      <alignment vertical="center"/>
    </xf>
    <xf numFmtId="0" fontId="8" fillId="0" borderId="0">
      <alignment vertical="top"/>
      <protection locked="0"/>
    </xf>
  </cellStyleXfs>
  <cellXfs count="38">
    <xf numFmtId="0" fontId="0" fillId="0" borderId="0" xfId="0">
      <alignment vertical="center"/>
    </xf>
    <xf numFmtId="49" fontId="1" fillId="2" borderId="1" xfId="3" applyNumberFormat="1" applyFont="1" applyFill="1" applyBorder="1" applyAlignment="1">
      <alignment horizontal="center" vertical="center" wrapText="1"/>
    </xf>
    <xf numFmtId="49" fontId="1" fillId="2" borderId="2" xfId="3" applyNumberFormat="1" applyFont="1" applyFill="1" applyBorder="1" applyAlignment="1">
      <alignment horizontal="center" vertical="center" wrapText="1"/>
    </xf>
    <xf numFmtId="177" fontId="1" fillId="2" borderId="2" xfId="3" applyNumberFormat="1" applyFont="1" applyFill="1" applyBorder="1" applyAlignment="1">
      <alignment horizontal="center" vertical="center" wrapText="1"/>
    </xf>
    <xf numFmtId="43" fontId="1" fillId="2" borderId="2" xfId="1" applyFont="1" applyFill="1" applyBorder="1" applyAlignment="1">
      <alignment horizontal="center" vertical="center" wrapText="1"/>
    </xf>
    <xf numFmtId="43" fontId="1" fillId="2" borderId="3" xfId="1" applyFont="1" applyFill="1" applyBorder="1" applyAlignment="1">
      <alignment horizontal="center" vertical="center" wrapText="1"/>
    </xf>
    <xf numFmtId="178" fontId="0" fillId="0" borderId="0" xfId="0" applyNumberFormat="1">
      <alignment vertical="center"/>
    </xf>
    <xf numFmtId="43" fontId="0" fillId="0" borderId="0" xfId="1" applyFont="1">
      <alignment vertical="center"/>
    </xf>
    <xf numFmtId="0" fontId="6" fillId="0" borderId="6" xfId="0" applyFont="1" applyBorder="1">
      <alignment vertical="center"/>
    </xf>
    <xf numFmtId="0" fontId="6" fillId="0" borderId="4" xfId="0" applyFont="1" applyBorder="1">
      <alignment vertical="center"/>
    </xf>
    <xf numFmtId="178" fontId="6" fillId="0" borderId="4" xfId="0" applyNumberFormat="1" applyFont="1" applyBorder="1">
      <alignment vertical="center"/>
    </xf>
    <xf numFmtId="43" fontId="6" fillId="0" borderId="4" xfId="1" applyFont="1" applyBorder="1">
      <alignment vertical="center"/>
    </xf>
    <xf numFmtId="43" fontId="6" fillId="3" borderId="4" xfId="1" applyFont="1" applyFill="1" applyBorder="1">
      <alignment vertical="center"/>
    </xf>
    <xf numFmtId="43" fontId="6" fillId="3" borderId="7" xfId="1" applyFont="1" applyFill="1" applyBorder="1">
      <alignment vertical="center"/>
    </xf>
    <xf numFmtId="43" fontId="6" fillId="3" borderId="5" xfId="1" applyFont="1" applyFill="1" applyBorder="1">
      <alignment vertical="center"/>
    </xf>
    <xf numFmtId="43" fontId="6" fillId="3" borderId="9" xfId="1" applyFont="1" applyFill="1" applyBorder="1">
      <alignment vertical="center"/>
    </xf>
    <xf numFmtId="43" fontId="7" fillId="2" borderId="11" xfId="1" applyFont="1" applyFill="1" applyBorder="1" applyAlignment="1">
      <alignment horizontal="center" vertical="center" wrapText="1"/>
    </xf>
    <xf numFmtId="43" fontId="7" fillId="2" borderId="12" xfId="1" applyFont="1" applyFill="1" applyBorder="1" applyAlignment="1">
      <alignment horizontal="center" vertical="center" wrapText="1"/>
    </xf>
    <xf numFmtId="43" fontId="6" fillId="0" borderId="7" xfId="1" applyFont="1" applyBorder="1">
      <alignment vertical="center"/>
    </xf>
    <xf numFmtId="43" fontId="1" fillId="2" borderId="13" xfId="1" applyFont="1" applyFill="1" applyBorder="1" applyAlignment="1">
      <alignment horizontal="center" vertical="center" wrapText="1"/>
    </xf>
    <xf numFmtId="43" fontId="6" fillId="0" borderId="14" xfId="1" applyFont="1" applyBorder="1">
      <alignment vertical="center"/>
    </xf>
    <xf numFmtId="43" fontId="6" fillId="3" borderId="14" xfId="1" applyFont="1" applyFill="1" applyBorder="1">
      <alignment vertical="center"/>
    </xf>
    <xf numFmtId="43" fontId="6" fillId="3" borderId="15" xfId="1" applyFont="1" applyFill="1" applyBorder="1">
      <alignment vertical="center"/>
    </xf>
    <xf numFmtId="43" fontId="7" fillId="2" borderId="16" xfId="1" applyFont="1" applyFill="1" applyBorder="1" applyAlignment="1">
      <alignment horizontal="center" vertical="center" wrapText="1"/>
    </xf>
    <xf numFmtId="43" fontId="6" fillId="0" borderId="7" xfId="1" applyFont="1" applyBorder="1" applyAlignment="1">
      <alignment vertical="center"/>
    </xf>
    <xf numFmtId="43" fontId="6" fillId="3" borderId="7" xfId="1" applyFont="1" applyFill="1" applyBorder="1" applyAlignment="1">
      <alignment vertical="center" wrapText="1"/>
    </xf>
    <xf numFmtId="43" fontId="6" fillId="0" borderId="14" xfId="0" applyNumberFormat="1" applyFont="1" applyBorder="1">
      <alignment vertical="center"/>
    </xf>
    <xf numFmtId="0" fontId="0" fillId="0" borderId="7" xfId="0" applyBorder="1">
      <alignment vertical="center"/>
    </xf>
    <xf numFmtId="0" fontId="6" fillId="0" borderId="7" xfId="0" applyFont="1" applyBorder="1" applyAlignment="1">
      <alignment vertical="center" wrapText="1"/>
    </xf>
    <xf numFmtId="43" fontId="6" fillId="0" borderId="7" xfId="1" applyFont="1" applyBorder="1" applyAlignment="1">
      <alignment vertical="center" wrapText="1"/>
    </xf>
    <xf numFmtId="43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49" fontId="7" fillId="2" borderId="10" xfId="3" applyNumberFormat="1" applyFont="1" applyFill="1" applyBorder="1" applyAlignment="1">
      <alignment horizontal="center" vertical="center" wrapText="1"/>
    </xf>
    <xf numFmtId="49" fontId="7" fillId="2" borderId="11" xfId="3" applyNumberFormat="1" applyFont="1" applyFill="1" applyBorder="1" applyAlignment="1">
      <alignment horizontal="center" vertical="center" wrapText="1"/>
    </xf>
  </cellXfs>
  <cellStyles count="6">
    <cellStyle name="Comma_PBC_minsheng草稿" xfId="2" xr:uid="{00000000-0005-0000-0000-00001B000000}"/>
    <cellStyle name="Normal" xfId="5" xr:uid="{B94E295D-B9B5-4C3B-B748-4FE9742BF91E}"/>
    <cellStyle name="常规" xfId="0" builtinId="0"/>
    <cellStyle name="常规 2" xfId="4" xr:uid="{00000000-0005-0000-0000-000034000000}"/>
    <cellStyle name="常规 2 2" xfId="3" xr:uid="{00000000-0005-0000-0000-00002E000000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271;&#20140;&#21531;&#24247;&#32852;&#35850;-2026&#24180;4&#26399;&#26376;&#25253;&#65288;&#36130;&#21153;&#25253;&#34920;&#12289;&#31185;&#30446;&#20313;&#39069;&#34920;&#12289;&#31649;&#29702;&#36153;&#29992;&#26126;&#32454;&#3492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资产负债表"/>
      <sheetName val="利润表"/>
      <sheetName val="现金流量表"/>
      <sheetName val="科目余额表"/>
      <sheetName val="管理费用明细表"/>
    </sheetNames>
    <sheetDataSet>
      <sheetData sheetId="0">
        <row r="10">
          <cell r="E10">
            <v>675939.28</v>
          </cell>
        </row>
        <row r="12">
          <cell r="B12">
            <v>91749.719999998793</v>
          </cell>
        </row>
        <row r="13">
          <cell r="B13">
            <v>12124587</v>
          </cell>
        </row>
        <row r="15">
          <cell r="E15">
            <v>49615690.159999996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6"/>
  <sheetViews>
    <sheetView tabSelected="1" workbookViewId="0">
      <selection activeCell="E20" sqref="E20"/>
    </sheetView>
  </sheetViews>
  <sheetFormatPr defaultColWidth="9" defaultRowHeight="13.5" x14ac:dyDescent="0.15"/>
  <cols>
    <col min="1" max="1" width="29.75" customWidth="1"/>
    <col min="2" max="2" width="14" customWidth="1"/>
    <col min="3" max="3" width="29.75" customWidth="1"/>
    <col min="4" max="4" width="14.5" bestFit="1" customWidth="1"/>
    <col min="5" max="7" width="20.625" customWidth="1"/>
    <col min="8" max="8" width="53.25" customWidth="1"/>
  </cols>
  <sheetData>
    <row r="1" spans="1:8" ht="28.5" customHeight="1" x14ac:dyDescent="0.1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19" t="s">
        <v>6</v>
      </c>
      <c r="H1" s="5" t="s">
        <v>40</v>
      </c>
    </row>
    <row r="2" spans="1:8" ht="28.5" customHeight="1" x14ac:dyDescent="0.15">
      <c r="A2" s="8" t="s">
        <v>44</v>
      </c>
      <c r="B2" s="9" t="s">
        <v>8</v>
      </c>
      <c r="C2" s="9" t="s">
        <v>17</v>
      </c>
      <c r="D2" s="10">
        <v>43711</v>
      </c>
      <c r="E2" s="11">
        <v>300000000</v>
      </c>
      <c r="F2" s="11">
        <f>285000000+2910000</f>
        <v>287910000</v>
      </c>
      <c r="G2" s="26">
        <f>E2-F2</f>
        <v>12090000</v>
      </c>
      <c r="H2" s="27"/>
    </row>
    <row r="3" spans="1:8" ht="28.5" customHeight="1" x14ac:dyDescent="0.15">
      <c r="A3" s="8" t="s">
        <v>13</v>
      </c>
      <c r="B3" s="9" t="s">
        <v>8</v>
      </c>
      <c r="C3" s="9" t="s">
        <v>18</v>
      </c>
      <c r="D3" s="10">
        <v>42807</v>
      </c>
      <c r="E3" s="11">
        <v>2000</v>
      </c>
      <c r="F3" s="11">
        <v>2000</v>
      </c>
      <c r="G3" s="26">
        <f t="shared" ref="G3:G12" si="0">E3-F3</f>
        <v>0</v>
      </c>
      <c r="H3" s="27"/>
    </row>
    <row r="4" spans="1:8" ht="28.5" customHeight="1" x14ac:dyDescent="0.15">
      <c r="A4" s="8" t="s">
        <v>14</v>
      </c>
      <c r="B4" s="9" t="s">
        <v>8</v>
      </c>
      <c r="C4" s="9" t="s">
        <v>19</v>
      </c>
      <c r="D4" s="10">
        <v>43049</v>
      </c>
      <c r="E4" s="11">
        <v>150000</v>
      </c>
      <c r="F4" s="11">
        <v>150000</v>
      </c>
      <c r="G4" s="26">
        <f t="shared" si="0"/>
        <v>0</v>
      </c>
      <c r="H4" s="27"/>
    </row>
    <row r="5" spans="1:8" ht="28.5" customHeight="1" x14ac:dyDescent="0.15">
      <c r="A5" s="8" t="s">
        <v>15</v>
      </c>
      <c r="B5" s="9" t="s">
        <v>8</v>
      </c>
      <c r="C5" s="9" t="s">
        <v>20</v>
      </c>
      <c r="D5" s="10">
        <v>44180</v>
      </c>
      <c r="E5" s="11">
        <v>1032834818.9299999</v>
      </c>
      <c r="F5" s="11">
        <f>981193077.98+51641740.95</f>
        <v>1032834818.9300001</v>
      </c>
      <c r="G5" s="26">
        <f t="shared" si="0"/>
        <v>0</v>
      </c>
      <c r="H5" s="27"/>
    </row>
    <row r="6" spans="1:8" ht="28.5" customHeight="1" x14ac:dyDescent="0.15">
      <c r="A6" s="8" t="s">
        <v>16</v>
      </c>
      <c r="B6" s="9" t="s">
        <v>8</v>
      </c>
      <c r="C6" s="9" t="s">
        <v>21</v>
      </c>
      <c r="D6" s="10">
        <v>43006</v>
      </c>
      <c r="E6" s="11">
        <v>23000</v>
      </c>
      <c r="F6" s="11"/>
      <c r="G6" s="26">
        <f t="shared" ref="G6:G8" si="1">E6-F6</f>
        <v>23000</v>
      </c>
      <c r="H6" s="27"/>
    </row>
    <row r="7" spans="1:8" ht="28.5" customHeight="1" x14ac:dyDescent="0.15">
      <c r="A7" s="8" t="s">
        <v>56</v>
      </c>
      <c r="B7" s="9" t="s">
        <v>54</v>
      </c>
      <c r="C7" s="9" t="s">
        <v>57</v>
      </c>
      <c r="D7" s="10">
        <v>46068</v>
      </c>
      <c r="E7" s="11">
        <v>0</v>
      </c>
      <c r="F7" s="11"/>
      <c r="G7" s="26">
        <f t="shared" ref="G7" si="2">E7-F7</f>
        <v>0</v>
      </c>
      <c r="H7" s="28"/>
    </row>
    <row r="8" spans="1:8" ht="28.5" customHeight="1" x14ac:dyDescent="0.15">
      <c r="A8" s="8" t="s">
        <v>33</v>
      </c>
      <c r="B8" s="9" t="s">
        <v>54</v>
      </c>
      <c r="C8" s="9" t="s">
        <v>57</v>
      </c>
      <c r="D8" s="10">
        <v>46068</v>
      </c>
      <c r="E8" s="11">
        <f>23174/2</f>
        <v>11587</v>
      </c>
      <c r="F8" s="11"/>
      <c r="G8" s="26">
        <f t="shared" si="1"/>
        <v>11587</v>
      </c>
      <c r="H8" s="28"/>
    </row>
    <row r="9" spans="1:8" ht="28.5" customHeight="1" x14ac:dyDescent="0.15">
      <c r="A9" s="32" t="s">
        <v>25</v>
      </c>
      <c r="B9" s="33"/>
      <c r="C9" s="33"/>
      <c r="D9" s="33"/>
      <c r="E9" s="12">
        <f>SUM(E2:E8)</f>
        <v>1333021405.9299998</v>
      </c>
      <c r="F9" s="12">
        <f>SUM(F2:F8)</f>
        <v>1320896818.9300001</v>
      </c>
      <c r="G9" s="21">
        <f>SUM(G2:G8)</f>
        <v>12124587</v>
      </c>
      <c r="H9" s="13"/>
    </row>
    <row r="10" spans="1:8" ht="28.5" customHeight="1" x14ac:dyDescent="0.15">
      <c r="A10" s="8" t="s">
        <v>10</v>
      </c>
      <c r="B10" s="9" t="s">
        <v>9</v>
      </c>
      <c r="C10" s="9" t="s">
        <v>22</v>
      </c>
      <c r="D10" s="10">
        <v>46125</v>
      </c>
      <c r="E10" s="11">
        <f>35225.12+8221.97+6863.67</f>
        <v>50310.76</v>
      </c>
      <c r="F10" s="11"/>
      <c r="G10" s="26">
        <f t="shared" si="0"/>
        <v>50310.76</v>
      </c>
      <c r="H10" s="28"/>
    </row>
    <row r="11" spans="1:8" ht="28.5" customHeight="1" x14ac:dyDescent="0.15">
      <c r="A11" s="8" t="s">
        <v>11</v>
      </c>
      <c r="B11" s="9" t="s">
        <v>9</v>
      </c>
      <c r="C11" s="9" t="s">
        <v>23</v>
      </c>
      <c r="D11" s="10">
        <v>46010</v>
      </c>
      <c r="E11" s="11">
        <v>21652101.390000001</v>
      </c>
      <c r="F11" s="11">
        <v>21611715.43</v>
      </c>
      <c r="G11" s="26">
        <f t="shared" si="0"/>
        <v>40385.960000000894</v>
      </c>
      <c r="H11" s="28" t="s">
        <v>55</v>
      </c>
    </row>
    <row r="12" spans="1:8" ht="28.5" customHeight="1" x14ac:dyDescent="0.15">
      <c r="A12" s="8" t="s">
        <v>12</v>
      </c>
      <c r="B12" s="9" t="s">
        <v>9</v>
      </c>
      <c r="C12" s="9" t="s">
        <v>24</v>
      </c>
      <c r="D12" s="10">
        <v>46125</v>
      </c>
      <c r="E12" s="11">
        <f>720+144+189</f>
        <v>1053</v>
      </c>
      <c r="F12" s="11"/>
      <c r="G12" s="26">
        <f t="shared" si="0"/>
        <v>1053</v>
      </c>
      <c r="H12" s="27"/>
    </row>
    <row r="13" spans="1:8" ht="28.5" customHeight="1" x14ac:dyDescent="0.15">
      <c r="A13" s="34" t="s">
        <v>26</v>
      </c>
      <c r="B13" s="35"/>
      <c r="C13" s="35"/>
      <c r="D13" s="35"/>
      <c r="E13" s="14">
        <f>SUM(E10:E12)</f>
        <v>21703465.150000002</v>
      </c>
      <c r="F13" s="14">
        <f>SUM(F10:F12)</f>
        <v>21611715.43</v>
      </c>
      <c r="G13" s="22">
        <f>SUM(G10:G12)</f>
        <v>91749.720000000903</v>
      </c>
      <c r="H13" s="15"/>
    </row>
    <row r="14" spans="1:8" ht="28.5" customHeight="1" thickBot="1" x14ac:dyDescent="0.2">
      <c r="A14" s="36" t="s">
        <v>27</v>
      </c>
      <c r="B14" s="37"/>
      <c r="C14" s="37"/>
      <c r="D14" s="37"/>
      <c r="E14" s="16">
        <f>E9+E13</f>
        <v>1354724871.0799999</v>
      </c>
      <c r="F14" s="16">
        <f>F9+F13</f>
        <v>1342508534.3600001</v>
      </c>
      <c r="G14" s="23">
        <f>G9+G13</f>
        <v>12216336.720000001</v>
      </c>
      <c r="H14" s="17"/>
    </row>
    <row r="15" spans="1:8" x14ac:dyDescent="0.15">
      <c r="D15" s="6"/>
      <c r="E15" s="7"/>
      <c r="F15" s="31" t="s">
        <v>51</v>
      </c>
      <c r="G15" s="7">
        <f>G9-[1]资产负债表!$B$13</f>
        <v>0</v>
      </c>
    </row>
    <row r="16" spans="1:8" x14ac:dyDescent="0.15">
      <c r="D16" s="6"/>
      <c r="E16" s="7"/>
      <c r="F16" s="31" t="s">
        <v>52</v>
      </c>
      <c r="G16" s="7">
        <f>G13-[1]资产负债表!$B$12</f>
        <v>2.1100277081131935E-9</v>
      </c>
    </row>
    <row r="17" spans="4:5" x14ac:dyDescent="0.15">
      <c r="D17" s="6"/>
      <c r="E17" s="7"/>
    </row>
    <row r="18" spans="4:5" x14ac:dyDescent="0.15">
      <c r="D18" s="6"/>
      <c r="E18" s="7"/>
    </row>
    <row r="19" spans="4:5" x14ac:dyDescent="0.15">
      <c r="D19" s="6"/>
      <c r="E19" s="7"/>
    </row>
    <row r="20" spans="4:5" x14ac:dyDescent="0.15">
      <c r="D20" s="6"/>
      <c r="E20" s="7"/>
    </row>
    <row r="21" spans="4:5" x14ac:dyDescent="0.15">
      <c r="D21" s="6"/>
      <c r="E21" s="7"/>
    </row>
    <row r="22" spans="4:5" x14ac:dyDescent="0.15">
      <c r="D22" s="6"/>
      <c r="E22" s="7"/>
    </row>
    <row r="23" spans="4:5" x14ac:dyDescent="0.15">
      <c r="D23" s="6"/>
      <c r="E23" s="7"/>
    </row>
    <row r="24" spans="4:5" x14ac:dyDescent="0.15">
      <c r="D24" s="6"/>
      <c r="E24" s="7"/>
    </row>
    <row r="25" spans="4:5" x14ac:dyDescent="0.15">
      <c r="D25" s="6"/>
      <c r="E25" s="7"/>
    </row>
    <row r="26" spans="4:5" x14ac:dyDescent="0.15">
      <c r="D26" s="6"/>
      <c r="E26" s="7"/>
    </row>
    <row r="27" spans="4:5" x14ac:dyDescent="0.15">
      <c r="D27" s="6"/>
      <c r="E27" s="7"/>
    </row>
    <row r="28" spans="4:5" x14ac:dyDescent="0.15">
      <c r="E28" s="7"/>
    </row>
    <row r="29" spans="4:5" x14ac:dyDescent="0.15">
      <c r="E29" s="7"/>
    </row>
    <row r="30" spans="4:5" x14ac:dyDescent="0.15">
      <c r="E30" s="7"/>
    </row>
    <row r="31" spans="4:5" x14ac:dyDescent="0.15">
      <c r="E31" s="7"/>
    </row>
    <row r="32" spans="4:5" x14ac:dyDescent="0.15">
      <c r="E32" s="7"/>
    </row>
    <row r="33" spans="5:5" x14ac:dyDescent="0.15">
      <c r="E33" s="7"/>
    </row>
    <row r="34" spans="5:5" x14ac:dyDescent="0.15">
      <c r="E34" s="7"/>
    </row>
    <row r="35" spans="5:5" x14ac:dyDescent="0.15">
      <c r="E35" s="7"/>
    </row>
    <row r="36" spans="5:5" x14ac:dyDescent="0.15">
      <c r="E36" s="7"/>
    </row>
    <row r="37" spans="5:5" x14ac:dyDescent="0.15">
      <c r="E37" s="7"/>
    </row>
    <row r="38" spans="5:5" x14ac:dyDescent="0.15">
      <c r="E38" s="7"/>
    </row>
    <row r="39" spans="5:5" x14ac:dyDescent="0.15">
      <c r="E39" s="7"/>
    </row>
    <row r="40" spans="5:5" x14ac:dyDescent="0.15">
      <c r="E40" s="7"/>
    </row>
    <row r="41" spans="5:5" x14ac:dyDescent="0.15">
      <c r="E41" s="7"/>
    </row>
    <row r="42" spans="5:5" x14ac:dyDescent="0.15">
      <c r="E42" s="7"/>
    </row>
    <row r="43" spans="5:5" x14ac:dyDescent="0.15">
      <c r="E43" s="7"/>
    </row>
    <row r="44" spans="5:5" x14ac:dyDescent="0.15">
      <c r="E44" s="7"/>
    </row>
    <row r="45" spans="5:5" x14ac:dyDescent="0.15">
      <c r="E45" s="7"/>
    </row>
    <row r="46" spans="5:5" x14ac:dyDescent="0.15">
      <c r="E46" s="7"/>
    </row>
  </sheetData>
  <autoFilter ref="A1:G1" xr:uid="{00000000-0009-0000-0000-000000000000}"/>
  <mergeCells count="3">
    <mergeCell ref="A9:D9"/>
    <mergeCell ref="A13:D13"/>
    <mergeCell ref="A14:D14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65" fitToHeight="0" orientation="landscape" r:id="rId1"/>
  <headerFooter>
    <oddFooter>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9"/>
  <sheetViews>
    <sheetView workbookViewId="0">
      <selection activeCell="C17" sqref="C17"/>
    </sheetView>
  </sheetViews>
  <sheetFormatPr defaultColWidth="9" defaultRowHeight="13.5" x14ac:dyDescent="0.15"/>
  <cols>
    <col min="1" max="1" width="33.875" bestFit="1" customWidth="1"/>
    <col min="2" max="2" width="14.25" customWidth="1"/>
    <col min="3" max="3" width="92.125" customWidth="1"/>
    <col min="4" max="4" width="14.25" customWidth="1"/>
    <col min="5" max="5" width="20.125" customWidth="1"/>
    <col min="6" max="6" width="37.375" customWidth="1"/>
  </cols>
  <sheetData>
    <row r="1" spans="1:6" ht="28.5" customHeight="1" x14ac:dyDescent="0.15">
      <c r="A1" s="1" t="s">
        <v>0</v>
      </c>
      <c r="B1" s="2" t="s">
        <v>1</v>
      </c>
      <c r="C1" s="2" t="s">
        <v>2</v>
      </c>
      <c r="D1" s="3" t="s">
        <v>3</v>
      </c>
      <c r="E1" s="19" t="s">
        <v>7</v>
      </c>
      <c r="F1" s="5" t="s">
        <v>40</v>
      </c>
    </row>
    <row r="2" spans="1:6" ht="28.5" customHeight="1" x14ac:dyDescent="0.15">
      <c r="A2" s="8" t="s">
        <v>28</v>
      </c>
      <c r="B2" s="9" t="s">
        <v>29</v>
      </c>
      <c r="C2" s="9" t="s">
        <v>31</v>
      </c>
      <c r="D2" s="10">
        <v>43600</v>
      </c>
      <c r="E2" s="20">
        <v>47969.47</v>
      </c>
      <c r="F2" s="18"/>
    </row>
    <row r="3" spans="1:6" ht="39.75" customHeight="1" x14ac:dyDescent="0.15">
      <c r="A3" s="8" t="s">
        <v>42</v>
      </c>
      <c r="B3" s="9" t="s">
        <v>29</v>
      </c>
      <c r="C3" s="9" t="s">
        <v>41</v>
      </c>
      <c r="D3" s="10">
        <v>45348</v>
      </c>
      <c r="E3" s="20">
        <v>0.9</v>
      </c>
      <c r="F3" s="29" t="s">
        <v>43</v>
      </c>
    </row>
    <row r="4" spans="1:6" ht="39.75" customHeight="1" x14ac:dyDescent="0.15">
      <c r="A4" s="8" t="s">
        <v>44</v>
      </c>
      <c r="B4" s="9" t="s">
        <v>29</v>
      </c>
      <c r="C4" s="9" t="s">
        <v>45</v>
      </c>
      <c r="D4" s="10">
        <v>45808</v>
      </c>
      <c r="E4" s="20">
        <v>208466.17</v>
      </c>
      <c r="F4" s="29" t="s">
        <v>49</v>
      </c>
    </row>
    <row r="5" spans="1:6" ht="39.75" customHeight="1" x14ac:dyDescent="0.15">
      <c r="A5" s="8" t="s">
        <v>44</v>
      </c>
      <c r="B5" s="9" t="s">
        <v>29</v>
      </c>
      <c r="C5" s="9" t="s">
        <v>46</v>
      </c>
      <c r="D5" s="10">
        <v>45808</v>
      </c>
      <c r="E5" s="20">
        <f>751819.56-356291.82</f>
        <v>395527.74000000005</v>
      </c>
      <c r="F5" s="29" t="s">
        <v>49</v>
      </c>
    </row>
    <row r="6" spans="1:6" ht="39.75" customHeight="1" x14ac:dyDescent="0.15">
      <c r="A6" s="8" t="s">
        <v>47</v>
      </c>
      <c r="B6" s="9" t="s">
        <v>29</v>
      </c>
      <c r="C6" s="9" t="s">
        <v>48</v>
      </c>
      <c r="D6" s="10">
        <v>45808</v>
      </c>
      <c r="E6" s="20">
        <v>23975</v>
      </c>
      <c r="F6" s="29" t="s">
        <v>50</v>
      </c>
    </row>
    <row r="7" spans="1:6" ht="28.5" customHeight="1" x14ac:dyDescent="0.15">
      <c r="A7" s="32" t="s">
        <v>37</v>
      </c>
      <c r="B7" s="33"/>
      <c r="C7" s="33"/>
      <c r="D7" s="33"/>
      <c r="E7" s="21">
        <f>SUM(E2:E6)</f>
        <v>675939.28</v>
      </c>
      <c r="F7" s="13"/>
    </row>
    <row r="8" spans="1:6" ht="35.25" customHeight="1" x14ac:dyDescent="0.15">
      <c r="A8" s="8" t="s">
        <v>32</v>
      </c>
      <c r="B8" s="9" t="s">
        <v>30</v>
      </c>
      <c r="C8" s="9" t="s">
        <v>35</v>
      </c>
      <c r="D8" s="10">
        <v>46066</v>
      </c>
      <c r="E8" s="20">
        <f>24936181.13+5518129.23+5621705.42+286868.42+1376000+1690501.91+500000+297167.97+1200000+309622.61+468400+612719.07+321196.35+1315645.73+329008.29+1500000+332544.03</f>
        <v>46615690.159999996</v>
      </c>
      <c r="F8" s="29" t="s">
        <v>58</v>
      </c>
    </row>
    <row r="9" spans="1:6" ht="28.5" customHeight="1" x14ac:dyDescent="0.15">
      <c r="A9" s="8" t="s">
        <v>34</v>
      </c>
      <c r="B9" s="9" t="s">
        <v>30</v>
      </c>
      <c r="C9" s="9" t="s">
        <v>36</v>
      </c>
      <c r="D9" s="10">
        <v>44018</v>
      </c>
      <c r="E9" s="20">
        <v>3000000</v>
      </c>
      <c r="F9" s="24"/>
    </row>
    <row r="10" spans="1:6" ht="28.5" customHeight="1" x14ac:dyDescent="0.15">
      <c r="A10" s="34" t="s">
        <v>38</v>
      </c>
      <c r="B10" s="35"/>
      <c r="C10" s="35"/>
      <c r="D10" s="35"/>
      <c r="E10" s="22">
        <f>SUM(E8:E9)</f>
        <v>49615690.159999996</v>
      </c>
      <c r="F10" s="25"/>
    </row>
    <row r="11" spans="1:6" ht="28.5" customHeight="1" thickBot="1" x14ac:dyDescent="0.2">
      <c r="A11" s="36" t="s">
        <v>39</v>
      </c>
      <c r="B11" s="37"/>
      <c r="C11" s="37"/>
      <c r="D11" s="37"/>
      <c r="E11" s="23">
        <f>E7+E10</f>
        <v>50291629.439999998</v>
      </c>
      <c r="F11" s="17"/>
    </row>
    <row r="12" spans="1:6" x14ac:dyDescent="0.15">
      <c r="D12" s="31" t="s">
        <v>53</v>
      </c>
      <c r="E12" s="30">
        <f>E7-[1]资产负债表!$E$10</f>
        <v>0</v>
      </c>
    </row>
    <row r="13" spans="1:6" x14ac:dyDescent="0.15">
      <c r="D13" s="31" t="s">
        <v>51</v>
      </c>
      <c r="E13" s="30">
        <f>E10-[1]资产负债表!$E$15</f>
        <v>0</v>
      </c>
    </row>
    <row r="19" spans="6:6" x14ac:dyDescent="0.15">
      <c r="F19" s="30"/>
    </row>
  </sheetData>
  <mergeCells count="3">
    <mergeCell ref="A7:D7"/>
    <mergeCell ref="A10:D10"/>
    <mergeCell ref="A11:D11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62" orientation="landscape" r:id="rId1"/>
  <headerFooter>
    <oddFooter>第 &amp;P 页，共 &amp;N 页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应收款明细统计</vt:lpstr>
      <vt:lpstr>应付款明细统计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联谊AIMIN</dc:creator>
  <cp:lastModifiedBy>联谊AIMIN</cp:lastModifiedBy>
  <cp:lastPrinted>2024-01-08T06:29:20Z</cp:lastPrinted>
  <dcterms:created xsi:type="dcterms:W3CDTF">2023-12-26T09:17:00Z</dcterms:created>
  <dcterms:modified xsi:type="dcterms:W3CDTF">2026-05-08T03:31:50Z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6D0CF395F6F14676882628D91C5E745F</vt:lpwstr>
  </property>
  <property fmtid="{D5CDD505-2E9C-101B-9397-08002B2CF9AE}" pid="3" name="KSOProductBuildVer">
    <vt:lpwstr>2052-11.8.2.12089</vt:lpwstr>
  </property>
</Properties>
</file>