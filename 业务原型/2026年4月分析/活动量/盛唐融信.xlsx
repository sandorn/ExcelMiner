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50" windowHeight="12280" activeTab="3"/>
  </bookViews>
  <sheets>
    <sheet name="填写说明" sheetId="4" r:id="rId1"/>
    <sheet name="写字楼和商业综合体类" sheetId="2" r:id="rId2"/>
    <sheet name="酒店类" sheetId="1" r:id="rId3"/>
    <sheet name="保险类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黄伟</author>
  </authors>
  <commentList>
    <comment ref="A7" authorId="0">
      <text>
        <r>
          <rPr>
            <b/>
            <sz val="9"/>
            <rFont val="宋体"/>
            <charset val="134"/>
          </rPr>
          <t>黄伟:</t>
        </r>
        <r>
          <rPr>
            <sz val="9"/>
            <rFont val="宋体"/>
            <charset val="134"/>
          </rPr>
          <t xml:space="preserve">
入住的房间数量</t>
        </r>
      </text>
    </comment>
  </commentList>
</comments>
</file>

<file path=xl/sharedStrings.xml><?xml version="1.0" encoding="utf-8"?>
<sst xmlns="http://schemas.openxmlformats.org/spreadsheetml/2006/main" count="215" uniqueCount="102">
  <si>
    <t>填写说明</t>
  </si>
  <si>
    <t>1、</t>
  </si>
  <si>
    <t>子公司类别</t>
  </si>
  <si>
    <t>写字楼类：中言地产、钱隆商管、君康凯丹</t>
  </si>
  <si>
    <t>商业综合体类：重庆宜新、君康春夏秋冬</t>
  </si>
  <si>
    <t>酒店类：伯豪瑞庭、瑞尔酒店</t>
  </si>
  <si>
    <t>保险类：盛唐融信、君康经纪</t>
  </si>
  <si>
    <t>工程类：君康联谊、君康联杰</t>
  </si>
  <si>
    <t>按分类填写对应表格</t>
  </si>
  <si>
    <t>2、</t>
  </si>
  <si>
    <t>指标说明</t>
  </si>
  <si>
    <t>计划列是指子公司根据自身经营计划安排分解到月的目标，受统计口径影响无法分解的计划值可不填写</t>
  </si>
  <si>
    <t>达成列是指当月实际达成情况</t>
  </si>
  <si>
    <t>3、</t>
  </si>
  <si>
    <t>表格结构不得修改</t>
  </si>
  <si>
    <t>精确到两位小数</t>
  </si>
  <si>
    <t>2024年各月指标达成统计表</t>
  </si>
  <si>
    <t>项目            年月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</si>
  <si>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</si>
  <si>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</si>
  <si>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</si>
  <si>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</si>
  <si>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</si>
  <si>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</si>
  <si>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</si>
  <si>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</si>
  <si>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</si>
  <si>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</si>
  <si>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</si>
  <si>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</si>
  <si>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合计</t>
  </si>
  <si>
    <t>计划</t>
  </si>
  <si>
    <t>达成</t>
  </si>
  <si>
    <t>整体情况</t>
  </si>
  <si>
    <t>期初面积</t>
  </si>
  <si>
    <t>签约面积</t>
  </si>
  <si>
    <t>平均租金</t>
  </si>
  <si>
    <t>退租面积</t>
  </si>
  <si>
    <t>月末面积</t>
  </si>
  <si>
    <t>合作渠道</t>
  </si>
  <si>
    <t>带客数量</t>
  </si>
  <si>
    <t>成交数量</t>
  </si>
  <si>
    <t>成交周期</t>
  </si>
  <si>
    <t>转化率</t>
  </si>
  <si>
    <t>自有招商</t>
  </si>
  <si>
    <t>续租情况</t>
  </si>
  <si>
    <t>到期面积</t>
  </si>
  <si>
    <t>续签面积</t>
  </si>
  <si>
    <t>项目              年月</t>
  </si>
  <si>
    <t>协议客户</t>
  </si>
  <si>
    <t>签约数量</t>
  </si>
  <si>
    <t>新签数量</t>
  </si>
  <si>
    <t>激活率</t>
  </si>
  <si>
    <t>客户情况</t>
  </si>
  <si>
    <t>旅行团</t>
  </si>
  <si>
    <t>平台散客</t>
  </si>
  <si>
    <t>营销活动</t>
  </si>
  <si>
    <t>投放数量</t>
  </si>
  <si>
    <t>受众数量</t>
  </si>
  <si>
    <t>2026年各月指标达成统计表</t>
  </si>
  <si>
    <t>项目             年月</t>
  </si>
  <si>
    <t>人力</t>
  </si>
  <si>
    <t>期初人力</t>
  </si>
  <si>
    <t>当月入职</t>
  </si>
  <si>
    <t>当月离职</t>
  </si>
  <si>
    <t>当月净增</t>
  </si>
  <si>
    <t>月末人力</t>
  </si>
  <si>
    <t>平均人力</t>
  </si>
  <si>
    <t>开单人数</t>
  </si>
  <si>
    <t>活动率</t>
  </si>
  <si>
    <t>产能</t>
  </si>
  <si>
    <t>承保新单规模保费</t>
  </si>
  <si>
    <t>承保期交规模保费</t>
  </si>
  <si>
    <t>应收13月续期保费</t>
  </si>
  <si>
    <t>实收13月续期保费</t>
  </si>
  <si>
    <t>应收25月续期保费</t>
  </si>
  <si>
    <t>实收25月续期保费</t>
  </si>
  <si>
    <t>承保件数</t>
  </si>
  <si>
    <t>件均保费</t>
  </si>
  <si>
    <t>人均保费</t>
  </si>
  <si>
    <t>公司</t>
  </si>
  <si>
    <t>年度计划</t>
  </si>
  <si>
    <t>2026年
1月</t>
  </si>
  <si>
    <t>2026年
2月</t>
  </si>
  <si>
    <t>2026年
3月</t>
  </si>
  <si>
    <t>2026年
4月</t>
  </si>
  <si>
    <t>2026年
5月</t>
  </si>
  <si>
    <t>2026年
6月</t>
  </si>
  <si>
    <t>2026年
7月</t>
  </si>
  <si>
    <t>2026年
8月</t>
  </si>
  <si>
    <t>2026年
9月</t>
  </si>
  <si>
    <t>2026年
10月</t>
  </si>
  <si>
    <t>2026年
11月</t>
  </si>
  <si>
    <t>2026年
12月</t>
  </si>
  <si>
    <t>盛唐融信</t>
  </si>
  <si>
    <t>其中：首期</t>
  </si>
  <si>
    <t>其中：续期</t>
  </si>
  <si>
    <t>首期规模保费</t>
  </si>
  <si>
    <t>首年标准保费</t>
  </si>
  <si>
    <t>人均产能</t>
  </si>
  <si>
    <t>开单人次</t>
  </si>
  <si>
    <t>件数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</si>
</sst>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#,##0.00_ "/>
    <numFmt numFmtId="179" formatCode="_ * #,##0_ ;_ * \-#,##0_ ;_ * &quot;-&quot;??_ ;_ @_ "/>
    <numFmt numFmtId="180" formatCode="_ * #,##0.00_ ;_ * \-#,##0.00_ ;_ * &quot;-&quot;??.00_ ;_ @_ "/>
    <numFmt numFmtId="181" formatCode="0.0_ "/>
  </numFmts>
  <fonts count="31">
    <font>
      <sz val="11"/>
      <color theme="1"/>
      <name val="等距更纱黑体 SC"/>
      <charset val="134"/>
    </font>
    <font>
      <sz val="11"/>
      <color theme="1"/>
      <name val="微软雅黑"/>
      <charset val="134"/>
    </font>
    <font>
      <b/>
      <sz val="18"/>
      <color theme="1"/>
      <name val="微软雅黑"/>
      <charset val="134"/>
    </font>
    <font>
      <b/>
      <sz val="11"/>
      <color theme="0"/>
      <name val="微软雅黑"/>
      <charset val="134"/>
    </font>
    <font>
      <b/>
      <sz val="11"/>
      <color theme="1"/>
      <name val="微软雅黑"/>
      <charset val="134"/>
    </font>
    <font>
      <sz val="11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theme="0"/>
      <name val="等距更纱黑体 SC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 diagonalDown="1">
      <left style="thin">
        <color auto="1"/>
      </left>
      <right/>
      <top style="thin">
        <color auto="1"/>
      </top>
      <bottom/>
      <diagonal style="thin">
        <color auto="1"/>
      </diagonal>
    </border>
    <border diagonalDown="1">
      <left/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/>
      <top/>
      <bottom style="thin">
        <color auto="1"/>
      </bottom>
      <diagonal style="thin">
        <color auto="1"/>
      </diagonal>
    </border>
    <border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1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14" applyNumberFormat="0" applyAlignment="0" applyProtection="0">
      <alignment vertical="center"/>
    </xf>
    <xf numFmtId="0" fontId="19" fillId="7" borderId="15" applyNumberFormat="0" applyAlignment="0" applyProtection="0">
      <alignment vertical="center"/>
    </xf>
    <xf numFmtId="0" fontId="20" fillId="7" borderId="14" applyNumberFormat="0" applyAlignment="0" applyProtection="0">
      <alignment vertical="center"/>
    </xf>
    <xf numFmtId="0" fontId="21" fillId="8" borderId="16" applyNumberFormat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4" fillId="0" borderId="7" xfId="0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/>
    </xf>
    <xf numFmtId="176" fontId="1" fillId="0" borderId="3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9" fontId="1" fillId="0" borderId="3" xfId="3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43" fontId="1" fillId="0" borderId="3" xfId="0" applyNumberFormat="1" applyFont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/>
    </xf>
    <xf numFmtId="178" fontId="1" fillId="0" borderId="3" xfId="0" applyNumberFormat="1" applyFont="1" applyBorder="1" applyAlignment="1">
      <alignment horizontal="center" vertical="center"/>
    </xf>
    <xf numFmtId="179" fontId="3" fillId="2" borderId="3" xfId="49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179" fontId="5" fillId="0" borderId="3" xfId="49" applyNumberFormat="1" applyFont="1" applyFill="1" applyBorder="1" applyAlignment="1">
      <alignment horizontal="center" vertical="center" wrapText="1"/>
    </xf>
    <xf numFmtId="43" fontId="6" fillId="0" borderId="3" xfId="0" applyNumberFormat="1" applyFont="1" applyBorder="1" applyAlignment="1">
      <alignment horizontal="right" vertical="center"/>
    </xf>
    <xf numFmtId="180" fontId="7" fillId="0" borderId="3" xfId="0" applyNumberFormat="1" applyFont="1" applyBorder="1" applyAlignment="1">
      <alignment horizontal="right" vertical="center"/>
    </xf>
    <xf numFmtId="177" fontId="1" fillId="0" borderId="3" xfId="0" applyNumberFormat="1" applyFont="1" applyBorder="1" applyAlignment="1">
      <alignment horizontal="right" vertical="center"/>
    </xf>
    <xf numFmtId="176" fontId="1" fillId="0" borderId="3" xfId="0" applyNumberFormat="1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181" fontId="1" fillId="0" borderId="3" xfId="0" applyNumberFormat="1" applyFont="1" applyBorder="1" applyAlignment="1">
      <alignment horizontal="right" vertical="center"/>
    </xf>
    <xf numFmtId="0" fontId="3" fillId="2" borderId="9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3" borderId="0" xfId="0" applyFill="1">
      <alignment vertical="center"/>
    </xf>
    <xf numFmtId="0" fontId="8" fillId="4" borderId="0" xfId="0" applyFont="1" applyFill="1">
      <alignment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千位分隔 17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D9D9D9"/>
      <color rgb="00C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13"/>
  <sheetViews>
    <sheetView workbookViewId="0">
      <selection activeCell="F7" sqref="F7"/>
    </sheetView>
  </sheetViews>
  <sheetFormatPr defaultColWidth="9" defaultRowHeight="28.9" customHeight="1" outlineLevelCol="1"/>
  <cols>
    <col min="1" max="1" width="11.1272727272727" style="37" customWidth="1"/>
    <col min="2" max="16384" width="9" style="37"/>
  </cols>
  <sheetData>
    <row r="1" customHeight="1" spans="1:2">
      <c r="A1" s="38" t="s">
        <v>0</v>
      </c>
    </row>
    <row r="2" customHeight="1" spans="1:2">
      <c r="A2" s="39" t="s">
        <v>1</v>
      </c>
      <c r="B2" s="37" t="s">
        <v>2</v>
      </c>
    </row>
    <row r="3" ht="13.5" customHeight="1" spans="1:2">
      <c r="A3" s="39"/>
      <c r="B3" s="40" t="s">
        <v>3</v>
      </c>
    </row>
    <row r="4" customHeight="1" spans="1:2">
      <c r="A4" s="39"/>
      <c r="B4" s="37" t="s">
        <v>4</v>
      </c>
    </row>
    <row r="5" customHeight="1" spans="1:2">
      <c r="A5" s="39"/>
      <c r="B5" s="37" t="s">
        <v>5</v>
      </c>
    </row>
    <row r="6" customHeight="1" spans="1:2">
      <c r="A6" s="39"/>
      <c r="B6" s="37" t="s">
        <v>6</v>
      </c>
    </row>
    <row r="7" customHeight="1" spans="1:2">
      <c r="A7" s="39"/>
      <c r="B7" s="37" t="s">
        <v>7</v>
      </c>
    </row>
    <row r="8" customHeight="1" spans="1:2">
      <c r="A8" s="39"/>
      <c r="B8" s="37" t="s">
        <v>8</v>
      </c>
    </row>
    <row r="9" customHeight="1" spans="1:2">
      <c r="A9" s="39" t="s">
        <v>9</v>
      </c>
      <c r="B9" s="37" t="s">
        <v>10</v>
      </c>
    </row>
    <row r="10" customHeight="1" spans="1:2">
      <c r="A10" s="39"/>
      <c r="B10" s="37" t="s">
        <v>11</v>
      </c>
    </row>
    <row r="11" customHeight="1" spans="1:2">
      <c r="A11" s="39"/>
      <c r="B11" s="37" t="s">
        <v>12</v>
      </c>
    </row>
    <row r="12" customHeight="1" spans="1:2">
      <c r="A12" s="39" t="s">
        <v>13</v>
      </c>
      <c r="B12" s="37" t="s">
        <v>14</v>
      </c>
    </row>
    <row r="13" customHeight="1" spans="1:2">
      <c r="B13" s="37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AB20"/>
  <sheetViews>
    <sheetView workbookViewId="0">
      <pane xSplit="2" ySplit="3" topLeftCell="G4" activePane="bottomRight" state="frozen"/>
      <selection/>
      <selection pane="topRight"/>
      <selection pane="bottomLeft"/>
      <selection pane="bottomRight" activeCell="G16" sqref="G16"/>
    </sheetView>
  </sheetViews>
  <sheetFormatPr defaultColWidth="9" defaultRowHeight="30" customHeight="1"/>
  <cols>
    <col min="1" max="1" width="9" style="1" customWidth="1"/>
    <col min="2" max="2" width="13.2545454545455" style="1" customWidth="1"/>
    <col min="3" max="28" width="10.6272727272727" style="1" customWidth="1"/>
  </cols>
  <sheetData>
    <row r="1" customHeight="1" spans="1:28">
      <c r="A1" s="3" t="s">
        <v>16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27" customHeight="1" spans="1:28">
      <c r="A2" s="32" t="s">
        <v>17</v>
      </c>
      <c r="B2" s="32"/>
      <c r="C2" s="6" t="s">
        <v>18</v>
      </c>
      <c r="D2" s="6"/>
      <c r="E2" s="6" t="s">
        <v>19</v>
      </c>
      <c r="F2" s="6"/>
      <c r="G2" s="6" t="s">
        <v>20</v>
      </c>
      <c r="H2" s="6"/>
      <c r="I2" s="6" t="s">
        <v>21</v>
      </c>
      <c r="J2" s="6"/>
      <c r="K2" s="6" t="s">
        <v>22</v>
      </c>
      <c r="L2" s="6"/>
      <c r="M2" s="6" t="s">
        <v>23</v>
      </c>
      <c r="N2" s="6"/>
      <c r="O2" s="6" t="s">
        <v>24</v>
      </c>
      <c r="P2" s="6"/>
      <c r="Q2" s="6" t="s">
        <v>25</v>
      </c>
      <c r="R2" s="6"/>
      <c r="S2" s="6" t="s">
        <v>26</v>
      </c>
      <c r="T2" s="6"/>
      <c r="U2" s="6" t="s">
        <v>27</v>
      </c>
      <c r="V2" s="6"/>
      <c r="W2" s="6" t="s">
        <v>28</v>
      </c>
      <c r="X2" s="6"/>
      <c r="Y2" s="6" t="s">
        <v>29</v>
      </c>
      <c r="Z2" s="6"/>
      <c r="AA2" s="6" t="s">
        <v>30</v>
      </c>
      <c r="AB2" s="6"/>
    </row>
    <row r="3" ht="27" customHeight="1" spans="1:28">
      <c r="A3" s="32"/>
      <c r="B3" s="32"/>
      <c r="C3" s="6" t="s">
        <v>31</v>
      </c>
      <c r="D3" s="6" t="s">
        <v>32</v>
      </c>
      <c r="E3" s="6" t="s">
        <v>31</v>
      </c>
      <c r="F3" s="6" t="s">
        <v>32</v>
      </c>
      <c r="G3" s="6" t="s">
        <v>31</v>
      </c>
      <c r="H3" s="6" t="s">
        <v>32</v>
      </c>
      <c r="I3" s="6" t="s">
        <v>31</v>
      </c>
      <c r="J3" s="6" t="s">
        <v>32</v>
      </c>
      <c r="K3" s="6" t="s">
        <v>31</v>
      </c>
      <c r="L3" s="6" t="s">
        <v>32</v>
      </c>
      <c r="M3" s="6" t="s">
        <v>31</v>
      </c>
      <c r="N3" s="6" t="s">
        <v>32</v>
      </c>
      <c r="O3" s="6" t="s">
        <v>31</v>
      </c>
      <c r="P3" s="6" t="s">
        <v>32</v>
      </c>
      <c r="Q3" s="6" t="s">
        <v>31</v>
      </c>
      <c r="R3" s="6" t="s">
        <v>32</v>
      </c>
      <c r="S3" s="6" t="s">
        <v>31</v>
      </c>
      <c r="T3" s="6" t="s">
        <v>32</v>
      </c>
      <c r="U3" s="6" t="s">
        <v>31</v>
      </c>
      <c r="V3" s="6" t="s">
        <v>32</v>
      </c>
      <c r="W3" s="6" t="s">
        <v>31</v>
      </c>
      <c r="X3" s="6" t="s">
        <v>32</v>
      </c>
      <c r="Y3" s="6" t="s">
        <v>31</v>
      </c>
      <c r="Z3" s="6" t="s">
        <v>32</v>
      </c>
      <c r="AA3" s="6" t="s">
        <v>31</v>
      </c>
      <c r="AB3" s="6" t="s">
        <v>32</v>
      </c>
    </row>
    <row r="4" ht="27" customHeight="1" spans="1:28">
      <c r="A4" s="10" t="s">
        <v>33</v>
      </c>
      <c r="B4" s="10" t="s">
        <v>34</v>
      </c>
      <c r="C4" s="10"/>
      <c r="D4" s="11"/>
      <c r="E4" s="11"/>
      <c r="F4" s="11"/>
      <c r="G4" s="10"/>
      <c r="H4" s="11"/>
      <c r="I4" s="11"/>
      <c r="J4" s="11"/>
      <c r="K4" s="10"/>
      <c r="L4" s="11"/>
      <c r="M4" s="11"/>
      <c r="N4" s="11"/>
      <c r="O4" s="10"/>
      <c r="P4" s="11"/>
      <c r="Q4" s="11"/>
      <c r="R4" s="11"/>
      <c r="S4" s="10"/>
      <c r="T4" s="11"/>
      <c r="U4" s="11"/>
      <c r="V4" s="11"/>
      <c r="W4" s="10"/>
      <c r="X4" s="11"/>
      <c r="Y4" s="11"/>
      <c r="Z4" s="11"/>
      <c r="AA4" s="12"/>
      <c r="AB4" s="12"/>
    </row>
    <row r="5" ht="27" customHeight="1" spans="1:28">
      <c r="A5" s="10"/>
      <c r="B5" s="10" t="s">
        <v>35</v>
      </c>
      <c r="C5" s="10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0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 ht="27" customHeight="1" spans="1:28">
      <c r="A6" s="10"/>
      <c r="B6" s="10" t="s">
        <v>36</v>
      </c>
      <c r="C6" s="10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0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 ht="27" customHeight="1" spans="1:28">
      <c r="A7" s="10"/>
      <c r="B7" s="10" t="s">
        <v>37</v>
      </c>
      <c r="C7" s="1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0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 ht="27" customHeight="1" spans="1:28">
      <c r="A8" s="10"/>
      <c r="B8" s="10" t="s">
        <v>38</v>
      </c>
      <c r="C8" s="10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0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 ht="27" customHeight="1" spans="1:28">
      <c r="A9" s="10" t="s">
        <v>39</v>
      </c>
      <c r="B9" s="10" t="s">
        <v>40</v>
      </c>
      <c r="C9" s="10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0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ht="27" customHeight="1" spans="1:28">
      <c r="A10" s="10"/>
      <c r="B10" s="10" t="s">
        <v>41</v>
      </c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0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 ht="27" customHeight="1" spans="1:28">
      <c r="A11" s="10"/>
      <c r="B11" s="10" t="s">
        <v>35</v>
      </c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0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 ht="27" customHeight="1" spans="1:28">
      <c r="A12" s="10"/>
      <c r="B12" s="10" t="s">
        <v>42</v>
      </c>
      <c r="C12" s="10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0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ht="27" customHeight="1" spans="1:28">
      <c r="A13" s="10"/>
      <c r="B13" s="10" t="s">
        <v>43</v>
      </c>
      <c r="C13" s="10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0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 ht="27" customHeight="1" spans="1:28">
      <c r="A14" s="10" t="s">
        <v>44</v>
      </c>
      <c r="B14" s="10" t="s">
        <v>40</v>
      </c>
      <c r="C14" s="10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0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 ht="27" customHeight="1" spans="1:28">
      <c r="A15" s="10"/>
      <c r="B15" s="10" t="s">
        <v>41</v>
      </c>
      <c r="C15" s="10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0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 ht="27" customHeight="1" spans="1:28">
      <c r="A16" s="10"/>
      <c r="B16" s="10" t="s">
        <v>35</v>
      </c>
      <c r="C16" s="10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0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 ht="27" customHeight="1" spans="1:28">
      <c r="A17" s="10"/>
      <c r="B17" s="10" t="s">
        <v>42</v>
      </c>
      <c r="C17" s="10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0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 ht="27" customHeight="1" spans="1:28">
      <c r="A18" s="10"/>
      <c r="B18" s="10" t="s">
        <v>43</v>
      </c>
      <c r="C18" s="10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0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 ht="27" customHeight="1" spans="1:28">
      <c r="A19" s="10" t="s">
        <v>45</v>
      </c>
      <c r="B19" s="10" t="s">
        <v>46</v>
      </c>
      <c r="C19" s="10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0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ht="27" customHeight="1" spans="1:28">
      <c r="A20" s="10"/>
      <c r="B20" s="10" t="s">
        <v>47</v>
      </c>
      <c r="C20" s="10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0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</sheetData>
  <mergeCells count="19">
    <mergeCell ref="A1:AB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4:A8"/>
    <mergeCell ref="A9:A13"/>
    <mergeCell ref="A14:A18"/>
    <mergeCell ref="A19:A20"/>
    <mergeCell ref="A2:B3"/>
  </mergeCells>
  <pageMargins left="0.75" right="0.75" top="1" bottom="1" header="0.5" footer="0.5"/>
  <pageSetup paperSize="9" scale="95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pageSetUpPr fitToPage="1"/>
  </sheetPr>
  <dimension ref="A1:AB13"/>
  <sheetViews>
    <sheetView workbookViewId="0">
      <selection activeCell="D10" sqref="D10"/>
    </sheetView>
  </sheetViews>
  <sheetFormatPr defaultColWidth="9" defaultRowHeight="28.15" customHeight="1"/>
  <cols>
    <col min="1" max="1" width="9" style="1"/>
    <col min="2" max="2" width="9.5" style="1" customWidth="1"/>
    <col min="3" max="28" width="10.6272727272727" style="1" customWidth="1"/>
    <col min="29" max="16384" width="9" style="1"/>
  </cols>
  <sheetData>
    <row r="1" customHeight="1" spans="1:28">
      <c r="A1" s="3" t="s">
        <v>16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27" customHeight="1" spans="1:28">
      <c r="A2" s="32" t="s">
        <v>48</v>
      </c>
      <c r="B2" s="32"/>
      <c r="C2" s="6" t="s">
        <v>18</v>
      </c>
      <c r="D2" s="6"/>
      <c r="E2" s="6" t="s">
        <v>19</v>
      </c>
      <c r="F2" s="6"/>
      <c r="G2" s="6" t="s">
        <v>20</v>
      </c>
      <c r="H2" s="6"/>
      <c r="I2" s="6" t="s">
        <v>21</v>
      </c>
      <c r="J2" s="6"/>
      <c r="K2" s="6" t="s">
        <v>22</v>
      </c>
      <c r="L2" s="6"/>
      <c r="M2" s="6" t="s">
        <v>23</v>
      </c>
      <c r="N2" s="6"/>
      <c r="O2" s="6" t="s">
        <v>24</v>
      </c>
      <c r="P2" s="6"/>
      <c r="Q2" s="6" t="s">
        <v>25</v>
      </c>
      <c r="R2" s="6"/>
      <c r="S2" s="6" t="s">
        <v>26</v>
      </c>
      <c r="T2" s="6"/>
      <c r="U2" s="6" t="s">
        <v>27</v>
      </c>
      <c r="V2" s="6"/>
      <c r="W2" s="6" t="s">
        <v>28</v>
      </c>
      <c r="X2" s="6"/>
      <c r="Y2" s="6" t="s">
        <v>29</v>
      </c>
      <c r="Z2" s="6"/>
      <c r="AA2" s="6" t="s">
        <v>30</v>
      </c>
      <c r="AB2" s="6"/>
    </row>
    <row r="3" ht="27" customHeight="1" spans="1:28">
      <c r="A3" s="32"/>
      <c r="B3" s="32"/>
      <c r="C3" s="6" t="s">
        <v>31</v>
      </c>
      <c r="D3" s="6" t="s">
        <v>32</v>
      </c>
      <c r="E3" s="6" t="s">
        <v>31</v>
      </c>
      <c r="F3" s="6" t="s">
        <v>32</v>
      </c>
      <c r="G3" s="6" t="s">
        <v>31</v>
      </c>
      <c r="H3" s="6" t="s">
        <v>32</v>
      </c>
      <c r="I3" s="6" t="s">
        <v>31</v>
      </c>
      <c r="J3" s="6" t="s">
        <v>32</v>
      </c>
      <c r="K3" s="6" t="s">
        <v>31</v>
      </c>
      <c r="L3" s="6" t="s">
        <v>32</v>
      </c>
      <c r="M3" s="6" t="s">
        <v>31</v>
      </c>
      <c r="N3" s="6" t="s">
        <v>32</v>
      </c>
      <c r="O3" s="6" t="s">
        <v>31</v>
      </c>
      <c r="P3" s="6" t="s">
        <v>32</v>
      </c>
      <c r="Q3" s="6" t="s">
        <v>31</v>
      </c>
      <c r="R3" s="6" t="s">
        <v>32</v>
      </c>
      <c r="S3" s="6" t="s">
        <v>31</v>
      </c>
      <c r="T3" s="6" t="s">
        <v>32</v>
      </c>
      <c r="U3" s="6" t="s">
        <v>31</v>
      </c>
      <c r="V3" s="6" t="s">
        <v>32</v>
      </c>
      <c r="W3" s="6" t="s">
        <v>31</v>
      </c>
      <c r="X3" s="6" t="s">
        <v>32</v>
      </c>
      <c r="Y3" s="6" t="s">
        <v>31</v>
      </c>
      <c r="Z3" s="6" t="s">
        <v>32</v>
      </c>
      <c r="AA3" s="6" t="s">
        <v>31</v>
      </c>
      <c r="AB3" s="6" t="s">
        <v>32</v>
      </c>
    </row>
    <row r="4" ht="27" customHeight="1" spans="1:28">
      <c r="A4" s="33" t="s">
        <v>49</v>
      </c>
      <c r="B4" s="34" t="s">
        <v>50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 ht="27" customHeight="1" spans="1:28">
      <c r="A5" s="35"/>
      <c r="B5" s="34" t="s">
        <v>51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 ht="27" customHeight="1" spans="1:28">
      <c r="A6" s="35"/>
      <c r="B6" s="34" t="s">
        <v>52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ht="27" customHeight="1" spans="1:28">
      <c r="A7" s="33" t="s">
        <v>53</v>
      </c>
      <c r="B7" s="34" t="s">
        <v>49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ht="27" customHeight="1" spans="1:28">
      <c r="A8" s="35"/>
      <c r="B8" s="34" t="s">
        <v>54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ht="27" customHeight="1" spans="1:28">
      <c r="A9" s="36"/>
      <c r="B9" s="34" t="s">
        <v>55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ht="27" customHeight="1" spans="1:28">
      <c r="A10" s="33" t="s">
        <v>56</v>
      </c>
      <c r="B10" s="34" t="s">
        <v>57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ht="27" customHeight="1" spans="1:28">
      <c r="A11" s="35"/>
      <c r="B11" s="34" t="s">
        <v>58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ht="27" customHeight="1" spans="1:28">
      <c r="A12" s="35"/>
      <c r="B12" s="34" t="s">
        <v>41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 ht="27" customHeight="1" spans="1:28">
      <c r="A13" s="36"/>
      <c r="B13" s="34" t="s">
        <v>43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</sheetData>
  <mergeCells count="18">
    <mergeCell ref="A1:AB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4:A6"/>
    <mergeCell ref="A7:A9"/>
    <mergeCell ref="A10:A13"/>
    <mergeCell ref="A2:B3"/>
  </mergeCells>
  <pageMargins left="0.75" right="0.75" top="1" bottom="1" header="0.5" footer="0.5"/>
  <pageSetup paperSize="9" scale="95" orientation="landscape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pageSetUpPr fitToPage="1"/>
  </sheetPr>
  <dimension ref="A1:AB32"/>
  <sheetViews>
    <sheetView tabSelected="1" zoomScale="85" zoomScaleNormal="85" workbookViewId="0">
      <pane xSplit="2" ySplit="2" topLeftCell="C3" activePane="bottomRight" state="frozen"/>
      <selection/>
      <selection pane="topRight"/>
      <selection pane="bottomLeft"/>
      <selection pane="bottomRight" activeCell="L15" sqref="L15"/>
    </sheetView>
  </sheetViews>
  <sheetFormatPr defaultColWidth="9" defaultRowHeight="30" customHeight="1"/>
  <cols>
    <col min="1" max="1" width="9" style="1" customWidth="1"/>
    <col min="2" max="2" width="18.5" style="1" customWidth="1"/>
    <col min="3" max="4" width="10.6272727272727" style="1" customWidth="1"/>
    <col min="5" max="5" width="11.7727272727273" style="1" customWidth="1"/>
    <col min="6" max="20" width="10.6272727272727" style="1" customWidth="1"/>
    <col min="21" max="22" width="10.6272727272727" style="2" customWidth="1"/>
    <col min="23" max="28" width="10.6272727272727" style="1" customWidth="1"/>
    <col min="29" max="16384" width="9" style="1"/>
  </cols>
  <sheetData>
    <row r="1" customHeight="1" spans="1:28">
      <c r="A1" s="3" t="s">
        <v>59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27" customHeight="1" spans="1:28">
      <c r="A2" s="4" t="s">
        <v>60</v>
      </c>
      <c r="B2" s="5"/>
      <c r="C2" s="6" t="s">
        <v>18</v>
      </c>
      <c r="D2" s="6"/>
      <c r="E2" s="6" t="s">
        <v>19</v>
      </c>
      <c r="F2" s="6"/>
      <c r="G2" s="6" t="s">
        <v>20</v>
      </c>
      <c r="H2" s="6"/>
      <c r="I2" s="6" t="s">
        <v>21</v>
      </c>
      <c r="J2" s="6"/>
      <c r="K2" s="6" t="s">
        <v>22</v>
      </c>
      <c r="L2" s="6"/>
      <c r="M2" s="6" t="s">
        <v>23</v>
      </c>
      <c r="N2" s="6"/>
      <c r="O2" s="6" t="s">
        <v>24</v>
      </c>
      <c r="P2" s="6"/>
      <c r="Q2" s="6" t="s">
        <v>25</v>
      </c>
      <c r="R2" s="6"/>
      <c r="S2" s="6" t="s">
        <v>26</v>
      </c>
      <c r="T2" s="6"/>
      <c r="U2" s="6" t="s">
        <v>27</v>
      </c>
      <c r="V2" s="6"/>
      <c r="W2" s="6" t="s">
        <v>28</v>
      </c>
      <c r="X2" s="6"/>
      <c r="Y2" s="6" t="s">
        <v>29</v>
      </c>
      <c r="Z2" s="6"/>
      <c r="AA2" s="6" t="s">
        <v>30</v>
      </c>
      <c r="AB2" s="6"/>
    </row>
    <row r="3" ht="27" customHeight="1" spans="1:28">
      <c r="A3" s="7"/>
      <c r="B3" s="8"/>
      <c r="C3" s="6" t="s">
        <v>31</v>
      </c>
      <c r="D3" s="6" t="s">
        <v>32</v>
      </c>
      <c r="E3" s="6" t="s">
        <v>31</v>
      </c>
      <c r="F3" s="6" t="s">
        <v>32</v>
      </c>
      <c r="G3" s="6" t="s">
        <v>31</v>
      </c>
      <c r="H3" s="6" t="s">
        <v>32</v>
      </c>
      <c r="I3" s="6" t="s">
        <v>31</v>
      </c>
      <c r="J3" s="6" t="s">
        <v>32</v>
      </c>
      <c r="K3" s="6" t="s">
        <v>31</v>
      </c>
      <c r="L3" s="6" t="s">
        <v>32</v>
      </c>
      <c r="M3" s="6" t="s">
        <v>31</v>
      </c>
      <c r="N3" s="6" t="s">
        <v>32</v>
      </c>
      <c r="O3" s="6" t="s">
        <v>31</v>
      </c>
      <c r="P3" s="6" t="s">
        <v>32</v>
      </c>
      <c r="Q3" s="6" t="s">
        <v>31</v>
      </c>
      <c r="R3" s="6" t="s">
        <v>32</v>
      </c>
      <c r="S3" s="6" t="s">
        <v>31</v>
      </c>
      <c r="T3" s="6" t="s">
        <v>32</v>
      </c>
      <c r="U3" s="6" t="s">
        <v>31</v>
      </c>
      <c r="V3" s="6" t="s">
        <v>32</v>
      </c>
      <c r="W3" s="6" t="s">
        <v>31</v>
      </c>
      <c r="X3" s="6" t="s">
        <v>32</v>
      </c>
      <c r="Y3" s="6" t="s">
        <v>31</v>
      </c>
      <c r="Z3" s="6" t="s">
        <v>32</v>
      </c>
      <c r="AA3" s="6" t="s">
        <v>31</v>
      </c>
      <c r="AB3" s="6" t="s">
        <v>32</v>
      </c>
    </row>
    <row r="4" ht="27" customHeight="1" spans="1:28">
      <c r="A4" s="9" t="s">
        <v>61</v>
      </c>
      <c r="B4" s="10" t="s">
        <v>62</v>
      </c>
      <c r="C4" s="11">
        <v>97</v>
      </c>
      <c r="D4" s="11">
        <v>97</v>
      </c>
      <c r="E4" s="11">
        <v>97</v>
      </c>
      <c r="F4" s="11">
        <v>97</v>
      </c>
      <c r="G4" s="11">
        <v>97</v>
      </c>
      <c r="H4" s="11">
        <v>97</v>
      </c>
      <c r="I4" s="11">
        <v>96</v>
      </c>
      <c r="J4" s="11">
        <v>96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2"/>
      <c r="AB4" s="12"/>
    </row>
    <row r="5" ht="27" customHeight="1" spans="1:28">
      <c r="A5" s="13"/>
      <c r="B5" s="10" t="s">
        <v>63</v>
      </c>
      <c r="C5" s="11">
        <v>0</v>
      </c>
      <c r="D5" s="11">
        <v>0</v>
      </c>
      <c r="E5" s="11"/>
      <c r="F5" s="11"/>
      <c r="G5" s="11"/>
      <c r="H5" s="11">
        <v>1</v>
      </c>
      <c r="I5" s="11"/>
      <c r="J5" s="11">
        <v>1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2"/>
      <c r="AB5" s="12"/>
    </row>
    <row r="6" ht="27" customHeight="1" spans="1:28">
      <c r="A6" s="13"/>
      <c r="B6" s="10" t="s">
        <v>64</v>
      </c>
      <c r="C6" s="11">
        <v>0</v>
      </c>
      <c r="D6" s="11">
        <v>0</v>
      </c>
      <c r="E6" s="11"/>
      <c r="F6" s="11"/>
      <c r="G6" s="11"/>
      <c r="H6" s="11">
        <v>2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2"/>
      <c r="AB6" s="12"/>
    </row>
    <row r="7" ht="27" customHeight="1" spans="1:28">
      <c r="A7" s="13"/>
      <c r="B7" s="10" t="s">
        <v>65</v>
      </c>
      <c r="C7" s="11">
        <v>0</v>
      </c>
      <c r="D7" s="11">
        <v>3</v>
      </c>
      <c r="E7" s="11">
        <f t="shared" ref="E7:I7" si="0">E5-E6</f>
        <v>0</v>
      </c>
      <c r="F7" s="11">
        <f t="shared" si="0"/>
        <v>0</v>
      </c>
      <c r="G7" s="11">
        <f t="shared" si="0"/>
        <v>0</v>
      </c>
      <c r="H7" s="11">
        <f t="shared" si="0"/>
        <v>-1</v>
      </c>
      <c r="I7" s="11">
        <f t="shared" si="0"/>
        <v>0</v>
      </c>
      <c r="J7" s="11">
        <f t="shared" ref="J7" si="1">J5-J6</f>
        <v>1</v>
      </c>
      <c r="K7" s="11">
        <f t="shared" ref="K7:R7" si="2">K5-K6</f>
        <v>0</v>
      </c>
      <c r="L7" s="11">
        <f t="shared" si="2"/>
        <v>0</v>
      </c>
      <c r="M7" s="11">
        <f t="shared" si="2"/>
        <v>0</v>
      </c>
      <c r="N7" s="11">
        <f t="shared" si="2"/>
        <v>0</v>
      </c>
      <c r="O7" s="11">
        <f t="shared" si="2"/>
        <v>0</v>
      </c>
      <c r="P7" s="11">
        <f t="shared" si="2"/>
        <v>0</v>
      </c>
      <c r="Q7" s="11">
        <f t="shared" si="2"/>
        <v>0</v>
      </c>
      <c r="R7" s="11">
        <f t="shared" si="2"/>
        <v>0</v>
      </c>
      <c r="S7" s="11">
        <f t="shared" ref="S7:V7" si="3">S5-S6</f>
        <v>0</v>
      </c>
      <c r="T7" s="11">
        <f t="shared" si="3"/>
        <v>0</v>
      </c>
      <c r="U7" s="11">
        <f t="shared" si="3"/>
        <v>0</v>
      </c>
      <c r="V7" s="11">
        <f t="shared" si="3"/>
        <v>0</v>
      </c>
      <c r="W7" s="11">
        <f t="shared" ref="W7:Z7" si="4">W5-W6</f>
        <v>0</v>
      </c>
      <c r="X7" s="11">
        <f t="shared" si="4"/>
        <v>0</v>
      </c>
      <c r="Y7" s="11">
        <f t="shared" si="4"/>
        <v>0</v>
      </c>
      <c r="Z7" s="11">
        <f t="shared" si="4"/>
        <v>0</v>
      </c>
      <c r="AA7" s="12"/>
      <c r="AB7" s="12"/>
    </row>
    <row r="8" ht="27" customHeight="1" spans="1:28">
      <c r="A8" s="13"/>
      <c r="B8" s="10" t="s">
        <v>66</v>
      </c>
      <c r="C8" s="11">
        <f>C4+C7</f>
        <v>97</v>
      </c>
      <c r="D8" s="11">
        <v>97</v>
      </c>
      <c r="E8" s="11">
        <f t="shared" ref="E8:L8" si="5">E4+E7</f>
        <v>97</v>
      </c>
      <c r="F8" s="11">
        <f t="shared" si="5"/>
        <v>97</v>
      </c>
      <c r="G8" s="11">
        <f t="shared" si="5"/>
        <v>97</v>
      </c>
      <c r="H8" s="11">
        <v>96</v>
      </c>
      <c r="I8" s="11">
        <f t="shared" si="5"/>
        <v>96</v>
      </c>
      <c r="J8" s="11">
        <f t="shared" ref="J8" si="6">J4+J7</f>
        <v>97</v>
      </c>
      <c r="K8" s="11">
        <f t="shared" si="5"/>
        <v>0</v>
      </c>
      <c r="L8" s="11">
        <f t="shared" si="5"/>
        <v>0</v>
      </c>
      <c r="M8" s="11">
        <f t="shared" ref="M8:N8" si="7">M4+M7</f>
        <v>0</v>
      </c>
      <c r="N8" s="11">
        <f t="shared" si="7"/>
        <v>0</v>
      </c>
      <c r="O8" s="11">
        <f t="shared" ref="O8:R8" si="8">O4+O7</f>
        <v>0</v>
      </c>
      <c r="P8" s="11">
        <f t="shared" si="8"/>
        <v>0</v>
      </c>
      <c r="Q8" s="11">
        <f t="shared" si="8"/>
        <v>0</v>
      </c>
      <c r="R8" s="11">
        <f t="shared" si="8"/>
        <v>0</v>
      </c>
      <c r="S8" s="11">
        <f t="shared" ref="S8:V8" si="9">S4+S7</f>
        <v>0</v>
      </c>
      <c r="T8" s="11">
        <f t="shared" si="9"/>
        <v>0</v>
      </c>
      <c r="U8" s="11">
        <f t="shared" si="9"/>
        <v>0</v>
      </c>
      <c r="V8" s="11">
        <f t="shared" si="9"/>
        <v>0</v>
      </c>
      <c r="W8" s="11">
        <f t="shared" ref="W8:Z8" si="10">W4+W7</f>
        <v>0</v>
      </c>
      <c r="X8" s="11">
        <f t="shared" si="10"/>
        <v>0</v>
      </c>
      <c r="Y8" s="11">
        <f t="shared" si="10"/>
        <v>0</v>
      </c>
      <c r="Z8" s="11">
        <f t="shared" si="10"/>
        <v>0</v>
      </c>
      <c r="AA8" s="12"/>
      <c r="AB8" s="12"/>
    </row>
    <row r="9" ht="27" customHeight="1" spans="1:28">
      <c r="A9" s="13"/>
      <c r="B9" s="10" t="s">
        <v>67</v>
      </c>
      <c r="C9" s="11">
        <f t="shared" ref="C9:L9" si="11">(C8+C4)/2</f>
        <v>97</v>
      </c>
      <c r="D9" s="14">
        <v>97</v>
      </c>
      <c r="E9" s="14">
        <f t="shared" si="11"/>
        <v>97</v>
      </c>
      <c r="F9" s="11">
        <f t="shared" si="11"/>
        <v>97</v>
      </c>
      <c r="G9" s="11">
        <f t="shared" si="11"/>
        <v>97</v>
      </c>
      <c r="H9" s="15">
        <f t="shared" si="11"/>
        <v>96.5</v>
      </c>
      <c r="I9" s="11">
        <f t="shared" si="11"/>
        <v>96</v>
      </c>
      <c r="J9" s="11">
        <f t="shared" ref="J9" si="12">(J8+J4)/2</f>
        <v>96.5</v>
      </c>
      <c r="K9" s="11">
        <f t="shared" si="11"/>
        <v>0</v>
      </c>
      <c r="L9" s="11">
        <f t="shared" si="11"/>
        <v>0</v>
      </c>
      <c r="M9" s="11">
        <f t="shared" ref="M9:N9" si="13">(M8+M4)/2</f>
        <v>0</v>
      </c>
      <c r="N9" s="11">
        <f t="shared" si="13"/>
        <v>0</v>
      </c>
      <c r="O9" s="11">
        <f t="shared" ref="O9:R9" si="14">(O8+O4)/2</f>
        <v>0</v>
      </c>
      <c r="P9" s="11">
        <f t="shared" si="14"/>
        <v>0</v>
      </c>
      <c r="Q9" s="11">
        <f t="shared" si="14"/>
        <v>0</v>
      </c>
      <c r="R9" s="11">
        <f t="shared" si="14"/>
        <v>0</v>
      </c>
      <c r="S9" s="11">
        <f t="shared" ref="S9:V9" si="15">(S8+S4)/2</f>
        <v>0</v>
      </c>
      <c r="T9" s="11">
        <f t="shared" si="15"/>
        <v>0</v>
      </c>
      <c r="U9" s="11">
        <f t="shared" si="15"/>
        <v>0</v>
      </c>
      <c r="V9" s="11">
        <f t="shared" si="15"/>
        <v>0</v>
      </c>
      <c r="W9" s="11">
        <f t="shared" ref="W9:Z9" si="16">(W8+W4)/2</f>
        <v>0</v>
      </c>
      <c r="X9" s="11">
        <f t="shared" si="16"/>
        <v>0</v>
      </c>
      <c r="Y9" s="11">
        <f t="shared" si="16"/>
        <v>0</v>
      </c>
      <c r="Z9" s="11">
        <f t="shared" si="16"/>
        <v>0</v>
      </c>
      <c r="AA9" s="12"/>
      <c r="AB9" s="12"/>
    </row>
    <row r="10" ht="27" customHeight="1" spans="1:28">
      <c r="A10" s="13"/>
      <c r="B10" s="10" t="s">
        <v>68</v>
      </c>
      <c r="C10" s="11">
        <v>10</v>
      </c>
      <c r="D10" s="11">
        <v>2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5"/>
      <c r="T10" s="15"/>
      <c r="U10" s="11"/>
      <c r="V10" s="11"/>
      <c r="W10" s="11"/>
      <c r="X10" s="11"/>
      <c r="Y10" s="11"/>
      <c r="Z10" s="11"/>
      <c r="AA10" s="12"/>
      <c r="AB10" s="12"/>
    </row>
    <row r="11" ht="27" customHeight="1" spans="1:28">
      <c r="A11" s="16"/>
      <c r="B11" s="10" t="s">
        <v>69</v>
      </c>
      <c r="C11" s="17">
        <f>C10/C8</f>
        <v>0.103092783505155</v>
      </c>
      <c r="D11" s="17">
        <f>D10/D8</f>
        <v>0.0206185567010309</v>
      </c>
      <c r="E11" s="17">
        <f>IFERROR(E10/E8,0)</f>
        <v>0</v>
      </c>
      <c r="F11" s="17">
        <f>IFERROR(F10/F8,0)</f>
        <v>0</v>
      </c>
      <c r="G11" s="17">
        <f t="shared" ref="G11:Z11" si="17">IFERROR(G10/G8,0)</f>
        <v>0</v>
      </c>
      <c r="H11" s="17">
        <f t="shared" si="17"/>
        <v>0</v>
      </c>
      <c r="I11" s="17">
        <f t="shared" si="17"/>
        <v>0</v>
      </c>
      <c r="J11" s="17">
        <f t="shared" si="17"/>
        <v>0</v>
      </c>
      <c r="K11" s="17">
        <f t="shared" si="17"/>
        <v>0</v>
      </c>
      <c r="L11" s="17">
        <f t="shared" si="17"/>
        <v>0</v>
      </c>
      <c r="M11" s="17">
        <f t="shared" si="17"/>
        <v>0</v>
      </c>
      <c r="N11" s="17">
        <f t="shared" si="17"/>
        <v>0</v>
      </c>
      <c r="O11" s="17">
        <f t="shared" si="17"/>
        <v>0</v>
      </c>
      <c r="P11" s="17">
        <f t="shared" si="17"/>
        <v>0</v>
      </c>
      <c r="Q11" s="17">
        <f t="shared" si="17"/>
        <v>0</v>
      </c>
      <c r="R11" s="17">
        <f t="shared" si="17"/>
        <v>0</v>
      </c>
      <c r="S11" s="17">
        <f t="shared" si="17"/>
        <v>0</v>
      </c>
      <c r="T11" s="17">
        <f t="shared" si="17"/>
        <v>0</v>
      </c>
      <c r="U11" s="17">
        <f t="shared" si="17"/>
        <v>0</v>
      </c>
      <c r="V11" s="17">
        <f t="shared" si="17"/>
        <v>0</v>
      </c>
      <c r="W11" s="17">
        <f t="shared" si="17"/>
        <v>0</v>
      </c>
      <c r="X11" s="17">
        <f t="shared" si="17"/>
        <v>0</v>
      </c>
      <c r="Y11" s="17">
        <f t="shared" si="17"/>
        <v>0</v>
      </c>
      <c r="Z11" s="17">
        <f t="shared" si="17"/>
        <v>0</v>
      </c>
      <c r="AA11" s="12"/>
      <c r="AB11" s="12"/>
    </row>
    <row r="12" ht="27" customHeight="1" spans="1:28">
      <c r="A12" s="10" t="s">
        <v>70</v>
      </c>
      <c r="B12" s="10" t="s">
        <v>71</v>
      </c>
      <c r="C12" s="18">
        <f>D27</f>
        <v>114.933333333333</v>
      </c>
      <c r="D12" s="18">
        <v>7.1105</v>
      </c>
      <c r="E12" s="18">
        <v>114.933333333333</v>
      </c>
      <c r="F12" s="18"/>
      <c r="G12" s="18">
        <v>114.933333333333</v>
      </c>
      <c r="H12" s="19">
        <v>0.2142</v>
      </c>
      <c r="I12" s="20">
        <v>57.4666666666667</v>
      </c>
      <c r="J12" s="19">
        <v>0</v>
      </c>
      <c r="K12" s="11"/>
      <c r="L12" s="21"/>
      <c r="M12" s="11"/>
      <c r="N12" s="21"/>
      <c r="O12" s="11"/>
      <c r="P12" s="21"/>
      <c r="Q12" s="11"/>
      <c r="R12" s="21"/>
      <c r="S12" s="15"/>
      <c r="T12" s="20"/>
      <c r="U12" s="11"/>
      <c r="V12" s="18"/>
      <c r="W12" s="11"/>
      <c r="X12" s="18"/>
      <c r="Y12" s="11"/>
      <c r="Z12" s="18"/>
      <c r="AA12" s="12"/>
      <c r="AB12" s="12"/>
    </row>
    <row r="13" ht="27" customHeight="1" spans="1:28">
      <c r="A13" s="10"/>
      <c r="B13" s="10" t="s">
        <v>72</v>
      </c>
      <c r="C13" s="18">
        <v>109.186666666666</v>
      </c>
      <c r="D13" s="18">
        <v>7</v>
      </c>
      <c r="E13" s="18">
        <v>29.6125733333332</v>
      </c>
      <c r="F13" s="18"/>
      <c r="G13" s="18">
        <v>29.6125733333332</v>
      </c>
      <c r="H13" s="19">
        <v>0</v>
      </c>
      <c r="I13" s="20">
        <v>14.8062866666667</v>
      </c>
      <c r="J13" s="19">
        <v>0</v>
      </c>
      <c r="K13" s="11"/>
      <c r="L13" s="21"/>
      <c r="M13" s="11"/>
      <c r="N13" s="21"/>
      <c r="O13" s="11"/>
      <c r="P13" s="21"/>
      <c r="Q13" s="11"/>
      <c r="R13" s="21"/>
      <c r="S13" s="15"/>
      <c r="T13" s="20"/>
      <c r="U13" s="11"/>
      <c r="V13" s="18"/>
      <c r="W13" s="11"/>
      <c r="X13" s="18"/>
      <c r="Y13" s="11"/>
      <c r="Z13" s="18"/>
      <c r="AA13" s="12"/>
      <c r="AB13" s="12"/>
    </row>
    <row r="14" ht="27" customHeight="1" spans="1:28">
      <c r="A14" s="10"/>
      <c r="B14" s="10" t="s">
        <v>73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0"/>
      <c r="Q14" s="12"/>
      <c r="R14" s="12"/>
      <c r="S14" s="12"/>
      <c r="T14" s="12"/>
      <c r="U14" s="11"/>
      <c r="V14" s="11"/>
      <c r="W14" s="12"/>
      <c r="X14" s="12"/>
      <c r="Y14" s="12"/>
      <c r="Z14" s="12"/>
      <c r="AA14" s="12"/>
      <c r="AB14" s="12"/>
    </row>
    <row r="15" ht="27" customHeight="1" spans="1:28">
      <c r="A15" s="10"/>
      <c r="B15" s="10" t="s">
        <v>74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0"/>
      <c r="Q15" s="12"/>
      <c r="R15" s="12"/>
      <c r="S15" s="12"/>
      <c r="T15" s="12"/>
      <c r="U15" s="11"/>
      <c r="V15" s="11"/>
      <c r="W15" s="12"/>
      <c r="X15" s="12"/>
      <c r="Y15" s="12"/>
      <c r="Z15" s="12"/>
      <c r="AA15" s="12"/>
      <c r="AB15" s="12"/>
    </row>
    <row r="16" ht="27" customHeight="1" spans="1:28">
      <c r="A16" s="10"/>
      <c r="B16" s="10" t="s">
        <v>75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0"/>
      <c r="Q16" s="12"/>
      <c r="R16" s="12"/>
      <c r="S16" s="12"/>
      <c r="T16" s="12"/>
      <c r="U16" s="11"/>
      <c r="V16" s="11"/>
      <c r="W16" s="12"/>
      <c r="X16" s="12"/>
      <c r="Y16" s="12"/>
      <c r="Z16" s="12"/>
      <c r="AA16" s="12"/>
      <c r="AB16" s="12"/>
    </row>
    <row r="17" ht="27" customHeight="1" spans="1:28">
      <c r="A17" s="10"/>
      <c r="B17" s="10" t="s">
        <v>76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0"/>
      <c r="Q17" s="12"/>
      <c r="R17" s="12"/>
      <c r="S17" s="12"/>
      <c r="T17" s="12"/>
      <c r="U17" s="11"/>
      <c r="V17" s="11"/>
      <c r="W17" s="12"/>
      <c r="X17" s="12"/>
      <c r="Y17" s="12"/>
      <c r="Z17" s="12"/>
      <c r="AA17" s="12"/>
      <c r="AB17" s="12"/>
    </row>
    <row r="18" ht="27" customHeight="1" spans="1:28">
      <c r="A18" s="10"/>
      <c r="B18" s="10" t="s">
        <v>77</v>
      </c>
      <c r="C18" s="11">
        <v>10</v>
      </c>
      <c r="D18" s="11">
        <v>6</v>
      </c>
      <c r="E18" s="11">
        <v>10</v>
      </c>
      <c r="F18" s="11"/>
      <c r="G18" s="11">
        <v>10</v>
      </c>
      <c r="H18" s="11">
        <v>2</v>
      </c>
      <c r="I18" s="11">
        <v>10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/>
      <c r="AB18" s="12"/>
    </row>
    <row r="19" ht="27" customHeight="1" spans="1:28">
      <c r="A19" s="10"/>
      <c r="B19" s="10" t="s">
        <v>78</v>
      </c>
      <c r="C19" s="15">
        <f>C13/C18</f>
        <v>10.9186666666666</v>
      </c>
      <c r="D19" s="15">
        <f>D13/D18</f>
        <v>1.16666666666667</v>
      </c>
      <c r="E19" s="15">
        <f>IFERROR(E13/E18,0)</f>
        <v>2.96125733333332</v>
      </c>
      <c r="F19" s="15">
        <f t="shared" ref="F19:Z19" si="18">IFERROR(F13/F18,0)</f>
        <v>0</v>
      </c>
      <c r="G19" s="15">
        <f t="shared" si="18"/>
        <v>2.96125733333332</v>
      </c>
      <c r="H19" s="15">
        <f t="shared" si="18"/>
        <v>0</v>
      </c>
      <c r="I19" s="15">
        <f t="shared" si="18"/>
        <v>1.48062866666667</v>
      </c>
      <c r="J19" s="15">
        <f t="shared" si="18"/>
        <v>0</v>
      </c>
      <c r="K19" s="15">
        <f t="shared" si="18"/>
        <v>0</v>
      </c>
      <c r="L19" s="15">
        <f t="shared" si="18"/>
        <v>0</v>
      </c>
      <c r="M19" s="15">
        <f t="shared" si="18"/>
        <v>0</v>
      </c>
      <c r="N19" s="15">
        <f t="shared" si="18"/>
        <v>0</v>
      </c>
      <c r="O19" s="15">
        <f t="shared" si="18"/>
        <v>0</v>
      </c>
      <c r="P19" s="15">
        <f t="shared" si="18"/>
        <v>0</v>
      </c>
      <c r="Q19" s="15">
        <f t="shared" si="18"/>
        <v>0</v>
      </c>
      <c r="R19" s="15">
        <f t="shared" si="18"/>
        <v>0</v>
      </c>
      <c r="S19" s="15">
        <f t="shared" si="18"/>
        <v>0</v>
      </c>
      <c r="T19" s="15">
        <f t="shared" si="18"/>
        <v>0</v>
      </c>
      <c r="U19" s="15">
        <f t="shared" si="18"/>
        <v>0</v>
      </c>
      <c r="V19" s="15">
        <f t="shared" si="18"/>
        <v>0</v>
      </c>
      <c r="W19" s="15">
        <f t="shared" si="18"/>
        <v>0</v>
      </c>
      <c r="X19" s="15">
        <f t="shared" si="18"/>
        <v>0</v>
      </c>
      <c r="Y19" s="15">
        <f t="shared" si="18"/>
        <v>0</v>
      </c>
      <c r="Z19" s="15">
        <f t="shared" si="18"/>
        <v>0</v>
      </c>
      <c r="AA19" s="12"/>
      <c r="AB19" s="12"/>
    </row>
    <row r="20" ht="27" customHeight="1" spans="1:28">
      <c r="A20" s="10"/>
      <c r="B20" s="10" t="s">
        <v>79</v>
      </c>
      <c r="C20" s="21">
        <f>C13/C8</f>
        <v>1.12563573883161</v>
      </c>
      <c r="D20" s="21">
        <f>D13/D8</f>
        <v>0.0721649484536082</v>
      </c>
      <c r="E20" s="21">
        <f>IFERROR(E13/E8,0)</f>
        <v>0.305284261168383</v>
      </c>
      <c r="F20" s="21">
        <f t="shared" ref="F20:Z20" si="19">IFERROR(F13/F8,0)</f>
        <v>0</v>
      </c>
      <c r="G20" s="21">
        <f t="shared" si="19"/>
        <v>0.305284261168383</v>
      </c>
      <c r="H20" s="21">
        <f t="shared" si="19"/>
        <v>0</v>
      </c>
      <c r="I20" s="21">
        <f t="shared" si="19"/>
        <v>0.154232152777778</v>
      </c>
      <c r="J20" s="21">
        <f t="shared" si="19"/>
        <v>0</v>
      </c>
      <c r="K20" s="21">
        <f t="shared" si="19"/>
        <v>0</v>
      </c>
      <c r="L20" s="21">
        <f t="shared" si="19"/>
        <v>0</v>
      </c>
      <c r="M20" s="21">
        <f t="shared" si="19"/>
        <v>0</v>
      </c>
      <c r="N20" s="21">
        <f t="shared" si="19"/>
        <v>0</v>
      </c>
      <c r="O20" s="21">
        <f t="shared" si="19"/>
        <v>0</v>
      </c>
      <c r="P20" s="21">
        <f t="shared" si="19"/>
        <v>0</v>
      </c>
      <c r="Q20" s="21">
        <f t="shared" si="19"/>
        <v>0</v>
      </c>
      <c r="R20" s="21">
        <f t="shared" si="19"/>
        <v>0</v>
      </c>
      <c r="S20" s="21">
        <f t="shared" si="19"/>
        <v>0</v>
      </c>
      <c r="T20" s="21">
        <f t="shared" si="19"/>
        <v>0</v>
      </c>
      <c r="U20" s="21">
        <f t="shared" si="19"/>
        <v>0</v>
      </c>
      <c r="V20" s="21">
        <f t="shared" si="19"/>
        <v>0</v>
      </c>
      <c r="W20" s="21">
        <f t="shared" si="19"/>
        <v>0</v>
      </c>
      <c r="X20" s="21">
        <f t="shared" si="19"/>
        <v>0</v>
      </c>
      <c r="Y20" s="21">
        <f t="shared" si="19"/>
        <v>0</v>
      </c>
      <c r="Z20" s="21">
        <f t="shared" si="19"/>
        <v>0</v>
      </c>
      <c r="AA20" s="12"/>
      <c r="AB20" s="12"/>
    </row>
    <row r="23" customHeight="1" spans="1:28">
      <c r="B23" s="22" t="s">
        <v>80</v>
      </c>
      <c r="C23" s="23" t="s">
        <v>81</v>
      </c>
      <c r="D23" s="24" t="s">
        <v>82</v>
      </c>
      <c r="E23" s="24" t="s">
        <v>83</v>
      </c>
      <c r="F23" s="24" t="s">
        <v>84</v>
      </c>
      <c r="G23" s="24" t="s">
        <v>85</v>
      </c>
      <c r="H23" s="24" t="s">
        <v>86</v>
      </c>
      <c r="I23" s="24" t="s">
        <v>87</v>
      </c>
      <c r="J23" s="24" t="s">
        <v>88</v>
      </c>
      <c r="K23" s="24" t="s">
        <v>89</v>
      </c>
      <c r="L23" s="24" t="s">
        <v>90</v>
      </c>
      <c r="M23" s="24" t="s">
        <v>91</v>
      </c>
      <c r="N23" s="24" t="s">
        <v>92</v>
      </c>
      <c r="O23" s="24" t="s">
        <v>93</v>
      </c>
    </row>
    <row r="24" customHeight="1" spans="1:28">
      <c r="B24" s="25" t="s">
        <v>94</v>
      </c>
      <c r="C24" s="26">
        <f t="shared" ref="C24:C28" si="20">SUM(D24:O24)</f>
        <v>755.361936223396</v>
      </c>
      <c r="D24" s="27">
        <f>SUM(D25:D26)</f>
        <v>81.3321217302012</v>
      </c>
      <c r="E24" s="27">
        <f t="shared" ref="E24:O24" si="21">SUM(E25:E26)</f>
        <v>67.746444982088</v>
      </c>
      <c r="F24" s="27">
        <f t="shared" si="21"/>
        <v>85.1051000533144</v>
      </c>
      <c r="G24" s="27">
        <f t="shared" si="21"/>
        <v>51.1490727863271</v>
      </c>
      <c r="H24" s="27">
        <f t="shared" si="21"/>
        <v>52.773448314629</v>
      </c>
      <c r="I24" s="27">
        <f t="shared" si="21"/>
        <v>60.4332505882139</v>
      </c>
      <c r="J24" s="27">
        <f t="shared" si="21"/>
        <v>57.3943389016352</v>
      </c>
      <c r="K24" s="27">
        <f t="shared" si="21"/>
        <v>59.4558791775786</v>
      </c>
      <c r="L24" s="27">
        <f t="shared" si="21"/>
        <v>75.2464552963521</v>
      </c>
      <c r="M24" s="27">
        <f t="shared" si="21"/>
        <v>46.8077075267736</v>
      </c>
      <c r="N24" s="27">
        <f t="shared" si="21"/>
        <v>54.7165526720566</v>
      </c>
      <c r="O24" s="27">
        <f t="shared" si="21"/>
        <v>63.2015641942264</v>
      </c>
    </row>
    <row r="25" customHeight="1" spans="1:28">
      <c r="B25" s="25" t="s">
        <v>95</v>
      </c>
      <c r="C25" s="26">
        <f t="shared" si="20"/>
        <v>410.41874146</v>
      </c>
      <c r="D25" s="27">
        <v>54.7224988613333</v>
      </c>
      <c r="E25" s="27">
        <v>54.7224988613333</v>
      </c>
      <c r="F25" s="27">
        <v>54.7224988613333</v>
      </c>
      <c r="G25" s="27">
        <v>27.3612494306667</v>
      </c>
      <c r="H25" s="27">
        <v>27.3612494306667</v>
      </c>
      <c r="I25" s="27">
        <v>27.3612494306667</v>
      </c>
      <c r="J25" s="27">
        <v>34.2015617883333</v>
      </c>
      <c r="K25" s="27">
        <v>34.2015617883333</v>
      </c>
      <c r="L25" s="27">
        <v>34.2015617883333</v>
      </c>
      <c r="M25" s="27">
        <v>20.520937073</v>
      </c>
      <c r="N25" s="27">
        <v>20.520937073</v>
      </c>
      <c r="O25" s="27">
        <v>20.520937073</v>
      </c>
      <c r="U25" s="1"/>
      <c r="V25" s="1"/>
    </row>
    <row r="26" customHeight="1" spans="1:28">
      <c r="B26" s="11" t="s">
        <v>96</v>
      </c>
      <c r="C26" s="26">
        <f t="shared" si="20"/>
        <v>344.943194763396</v>
      </c>
      <c r="D26" s="27">
        <v>26.6096228688679</v>
      </c>
      <c r="E26" s="27">
        <v>13.0239461207547</v>
      </c>
      <c r="F26" s="27">
        <v>30.3826011919811</v>
      </c>
      <c r="G26" s="27">
        <v>23.7878233556604</v>
      </c>
      <c r="H26" s="27">
        <v>25.4121988839623</v>
      </c>
      <c r="I26" s="27">
        <v>33.0720011575472</v>
      </c>
      <c r="J26" s="27">
        <v>23.1927771133019</v>
      </c>
      <c r="K26" s="27">
        <v>25.2543173892453</v>
      </c>
      <c r="L26" s="27">
        <v>41.0448935080188</v>
      </c>
      <c r="M26" s="27">
        <v>26.2867704537736</v>
      </c>
      <c r="N26" s="27">
        <v>34.1956155990566</v>
      </c>
      <c r="O26" s="27">
        <v>42.6806271212264</v>
      </c>
    </row>
    <row r="27" customHeight="1" spans="1:28">
      <c r="B27" s="11" t="s">
        <v>97</v>
      </c>
      <c r="C27" s="26">
        <f t="shared" si="20"/>
        <v>861.999999999999</v>
      </c>
      <c r="D27" s="28">
        <v>114.933333333333</v>
      </c>
      <c r="E27" s="28">
        <v>114.933333333333</v>
      </c>
      <c r="F27" s="28">
        <v>114.933333333333</v>
      </c>
      <c r="G27" s="28">
        <v>57.4666666666667</v>
      </c>
      <c r="H27" s="28">
        <v>57.4666666666667</v>
      </c>
      <c r="I27" s="28">
        <v>57.4666666666667</v>
      </c>
      <c r="J27" s="28">
        <v>71.8333333333334</v>
      </c>
      <c r="K27" s="28">
        <v>71.8333333333334</v>
      </c>
      <c r="L27" s="28">
        <v>71.8333333333334</v>
      </c>
      <c r="M27" s="28">
        <v>43.1</v>
      </c>
      <c r="N27" s="28">
        <v>43.1</v>
      </c>
      <c r="O27" s="28">
        <v>43.1</v>
      </c>
    </row>
    <row r="28" customHeight="1" spans="1:28">
      <c r="B28" s="11" t="s">
        <v>98</v>
      </c>
      <c r="C28" s="26">
        <f t="shared" si="20"/>
        <v>222.0943</v>
      </c>
      <c r="D28" s="28">
        <v>29.6125733333332</v>
      </c>
      <c r="E28" s="28">
        <v>29.6125733333332</v>
      </c>
      <c r="F28" s="28">
        <v>29.6125733333332</v>
      </c>
      <c r="G28" s="28">
        <v>14.8062866666667</v>
      </c>
      <c r="H28" s="28">
        <v>14.8062866666667</v>
      </c>
      <c r="I28" s="28">
        <v>14.8062866666667</v>
      </c>
      <c r="J28" s="28">
        <v>18.5078583333334</v>
      </c>
      <c r="K28" s="28">
        <v>18.5078583333334</v>
      </c>
      <c r="L28" s="28">
        <v>18.5078583333334</v>
      </c>
      <c r="M28" s="28">
        <v>11.104715</v>
      </c>
      <c r="N28" s="28">
        <v>11.104715</v>
      </c>
      <c r="O28" s="28">
        <v>11.104715</v>
      </c>
    </row>
    <row r="29" customHeight="1" spans="1:28">
      <c r="B29" s="11" t="s">
        <v>99</v>
      </c>
      <c r="C29" s="29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</row>
    <row r="30" customHeight="1" spans="1:28">
      <c r="B30" s="11" t="s">
        <v>100</v>
      </c>
      <c r="C30" s="29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</row>
    <row r="31" customHeight="1" spans="1:28">
      <c r="B31" s="11" t="s">
        <v>78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customHeight="1" spans="1:28">
      <c r="B32" s="11" t="s">
        <v>101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</row>
  </sheetData>
  <mergeCells count="17">
    <mergeCell ref="A1:AB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4:A11"/>
    <mergeCell ref="A12:A20"/>
    <mergeCell ref="A2:B3"/>
  </mergeCells>
  <pageMargins left="0.75" right="0.75" top="1" bottom="1" header="0.5" footer="0.5"/>
  <pageSetup paperSize="9" scale="9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填写说明</vt:lpstr>
      <vt:lpstr>写字楼和商业综合体类</vt:lpstr>
      <vt:lpstr>酒店类</vt:lpstr>
      <vt:lpstr>保险类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xinjun</dc:creator>
  <cp:lastModifiedBy>lxj</cp:lastModifiedBy>
  <dcterms:created xsi:type="dcterms:W3CDTF">2024-01-09T03:44:00Z</dcterms:created>
  <dcterms:modified xsi:type="dcterms:W3CDTF">2026-05-18T09:07:10Z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36717A74148645AEB1EB97BEF3172EC7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