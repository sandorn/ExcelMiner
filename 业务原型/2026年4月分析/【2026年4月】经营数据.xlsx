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填写页" sheetId="1" r:id="rId1"/>
    <sheet name="保险类" sheetId="2" r:id="rId2"/>
    <sheet name="酒店类" sheetId="3" r:id="rId3"/>
    <sheet name="商写类" sheetId="4" r:id="rId4"/>
    <sheet name="北京中言" sheetId="5" r:id="rId5"/>
    <sheet name="大连凯丹" sheetId="6" r:id="rId6"/>
    <sheet name="福建钱隆" sheetId="7" r:id="rId7"/>
    <sheet name="春夏秋冬" sheetId="8" r:id="rId8"/>
    <sheet name="重庆宜新" sheetId="9" r:id="rId9"/>
    <sheet name="伯豪瑞廷" sheetId="10" r:id="rId10"/>
    <sheet name="重庆瑞尔" sheetId="11" r:id="rId11"/>
    <sheet name="盛唐融信" sheetId="12" r:id="rId12"/>
    <sheet name="君康经纪" sheetId="13" r:id="rId13"/>
    <sheet name="AI分析结果" sheetId="14" r:id="rId14"/>
  </sheets>
  <calcPr calcId="122211"/>
</workbook>
</file>

<file path=xl/sharedStrings.xml><?xml version="1.0" encoding="utf-8"?>
<sst xmlns="http://schemas.openxmlformats.org/spreadsheetml/2006/main" count="66" uniqueCount="38">
  <si>
    <t>2026年4月</t>
    <phoneticPr fontId="1"/>
  </si>
  <si>
    <t>公司/板块</t>
    <phoneticPr fontId="1"/>
  </si>
  <si>
    <t>类别</t>
    <phoneticPr fontId="1"/>
  </si>
  <si>
    <t>业态</t>
    <phoneticPr fontId="1"/>
  </si>
  <si>
    <t>评分</t>
    <phoneticPr fontId="1"/>
  </si>
  <si>
    <t>分析内容</t>
    <phoneticPr fontId="1"/>
  </si>
  <si>
    <t>保险板块</t>
    <phoneticPr fontId="1"/>
  </si>
  <si>
    <t>segment</t>
    <phoneticPr fontId="1"/>
  </si>
  <si>
    <t>保险</t>
    <phoneticPr fontId="1"/>
  </si>
  <si>
    <t>0/10</t>
    <phoneticPr fontId="1"/>
  </si>
  <si>
    <t>盛唐融信人力规模大但活动率低，君康经纪人均产能和件均保费更高。
人力与活动：盛唐融信月末人力97人，活动率2%；君康经纪月末人力35人，活动率17%。
承保新单及效率：盛唐融信新单规模保费YTD 7.32万元，人均保费0.08万元；君康经纪新单规模保费YTD 102.05万元，人均保费2.92万元。
月度规模保费：盛唐融信1月保费7.11万元，3月0.21万元；君康经纪1月保费100.00万元，2月0.51万元，3月1.34万元，4月0.20万元。</t>
    <phoneticPr fontId="1"/>
  </si>
  <si>
    <t>酒店板块</t>
    <phoneticPr fontId="1"/>
  </si>
  <si>
    <t>酒店</t>
    <phoneticPr fontId="1"/>
  </si>
  <si>
    <t>伯豪瑞廷营销转化率显著高于重庆瑞尔，但OTA评分略低。
营销活动：伯豪瑞廷转化率24%，受众3.58万，成交8494笔；重庆瑞尔转化率0%，受众6万，成交仅2笔。
OTA评分：伯豪瑞廷评分在4.67-4.69间波动；重庆瑞尔评分稳定为4.70。
月均入住率：伯豪瑞廷入住率0.55-0.88，波动较大；重庆瑞尔入住率0.32-0.75，整体偏低。</t>
    <phoneticPr fontId="1"/>
  </si>
  <si>
    <t>商写板块</t>
    <phoneticPr fontId="1"/>
  </si>
  <si>
    <t>商写</t>
    <phoneticPr fontId="1"/>
  </si>
  <si>
    <t>北京中言新增签约面积最高，福建钱隆续签率最优。  
整体情况：北京中言YTD新增签约4588㎡领先，重庆宜新YTD退租1468㎡最多。  
合作渠道：北京中言渠道带客61组、签约2672㎡居首，春夏秋冬转化率25%最高。  
自有招商：重庆宜新自营转化率67%最高，北京中言自营签约1000㎡最多。  
续租情况：福建钱隆续签率94%、续签面积7249㎡均最高，大连凯丹续签率26%最低。</t>
    <phoneticPr fontId="1"/>
  </si>
  <si>
    <t>北京中言</t>
    <phoneticPr fontId="1"/>
  </si>
  <si>
    <t>company</t>
    <phoneticPr fontId="1"/>
  </si>
  <si>
    <t>经营指标</t>
    <phoneticPr fontId="1"/>
  </si>
  <si>
    <t>8/10</t>
    <phoneticPr fontId="1"/>
  </si>
  <si>
    <t>2026年前4个月，北京中言累计营业收入3065.64万元，环比上升；EBITDA为1984.39万元，环比减亏；经营活动净现金流2602.25万元，环比上升，但月度波动大。
- 营业收入：累计3065.64万元，环比上升，月度波动大（max-min/均值=96.7%）。
- EBITDA：累计1984.39万元，环比减亏，月度波动大（max-min/均值=77.1%）。
- 经营活动净现金流：累计2602.25万元，环比上升，月度波动极大（max-min/均值=178.5%）。
- 经营支出：累计197.35万元，环比上升，成本管控有效。
- 财务指标_1：累计146.91万元，环比上升，月度波动较小（max-min/均值=4.4%）。
- 财务指标_2：累计141.36万元，环比上升，月度波动较小（max-min/均值=3.2%）。
- 财务指标_3：累计5.55万元，环比减亏，月度波动大（max-min/均值=42.9%）。
- 财务指标_4：累计50.44万元，环比上升，月度波动大（max-min/均值=57.6%）。
- 财务指标_5：累计50.44万元，环比上升，月度波动大（max-min/均值=57.6%）。
- 财务指标_6：累计0.00万元，无数据。
- 财务指标_7：累计1.94万元，仅3月发生。
- 业务指标：累计2.63万元，环比上升，月度波动小（max-min/均值=3.0%）。
- 业务指标_1：累计3.59万元，环比上升，月度波动小（max-min/均值=10.1%）。
- 业务指标_2：累计0.00万元，无数据。
- 业务指标_3：累计0.00万元，无数据。
- 业务指标_4：年度目标13.00万元，累计0.00万元，达成率0.00%，落后序时进度33.33个百分点。
- 业务指标_5：年度目标25.00万元，累计0.00万元，达成率0.00%，落后序时进度33.33个百分点。</t>
    <phoneticPr fontId="1"/>
  </si>
  <si>
    <t>大连凯丹</t>
    <phoneticPr fontId="1"/>
  </si>
  <si>
    <t>2026年前4个月，大连凯丹营业收入221.56万元，环比上升；EBITDA 121.03万元，环比上升；经营活动净现金流262.52万元，环比下降，波动大。
营业收入221.56万元，环比上升，各月波动小。
EBITDA 121.03万元，环比上升，各月波动小。
经营活动净现金流262.52万元，环比下降，波动大（1月142.94万元，4月4.81万元）。
经营支出42.89万元，成本管控有效，各月波动小。</t>
    <phoneticPr fontId="1"/>
  </si>
  <si>
    <t>福建钱隆</t>
    <phoneticPr fontId="1"/>
  </si>
  <si>
    <t>2026年前4个月，福建钱隆营业收入2495万元，无年度目标，环比上升。
营业收入2495万元，无年度目标，环比上升，月度波动大（max-min/均值=37.4%）。
EBITDA 1738万元，环比上升，月度波动较大（max-min/均值=23.5%）。
经营活动净现金流2089万元，环比上升，月度波动大（max-min/均值=57.5%）。
经营支出398万元，4月支出293.52万元，环比大幅上升，成本管控需关注。</t>
    <phoneticPr fontId="1"/>
  </si>
  <si>
    <t>春夏秋冬</t>
    <phoneticPr fontId="1"/>
  </si>
  <si>
    <t>2026年前4个月，春夏秋冬经营数据整体平稳，收入与现金流环比上升，利润类指标环比减亏。
- 营业收入累计413.23万元，环比上升，各月波动小。
- EBITDA累计208.58万元，环比减亏，各月波动小。
- 经营活动净现金流累计89.09万元，环比上升，各月波动大（-11.16至86.87）。
- 经营支出累计105.40万元，达成率未设目标，成本管控有效，各月波动小。
- 财务指标_1累计97.37万元，环比上升，各月波动小。
- 财务指标_2累计95.60万元，环比上升，各月波动小。
- 财务指标_3累计1.77万元，环比减亏，各月波动大（-0.00至1.56）。
- 财务指标_4累计8.03万元，环比上升，各月波动大（0.55至5.64）。
- 业务指标累计2.46万元，环比上升，各月波动小。
- 业务指标_1累计3.41万元，环比上升，各月波动小。
- 业务指标_4达成率0.00%，落后序时进度33.33个百分点。
- 业务指标_5达成率0.00%，落后序时进度33.33个百分点。</t>
    <phoneticPr fontId="1"/>
  </si>
  <si>
    <t>重庆宜新</t>
    <phoneticPr fontId="1"/>
  </si>
  <si>
    <t>2026年前4个月，重庆宜新营收达成序时进度，但利润与现金流表现承压。
营业收入累计162.25万元，环比上升，各月波动较大（波动率34.5%）。
EBITDA累计-44.05万元，环比减亏，但4月亏损扩大至-116.29万元。
经营活动净现金流累计-8.79万元，环比下降，4月净流出115.16万元。
经营支出累计62.62万元，达成率未设目标，成本管控需关注。</t>
    <phoneticPr fontId="1"/>
  </si>
  <si>
    <t>伯豪瑞廷</t>
    <phoneticPr fontId="1"/>
  </si>
  <si>
    <t>2026年前4个月，伯豪瑞廷经营指标表现分化，收入与利润环比上升，现金流波动较大。
营业收入累计2102.35万元，环比上升，1-4月波动大（(614.99-405.76)/均值≈41.8%）。
EBITDA累计745.94万元，环比上升，1-4月波动大（(278.19-69.88)/均值≈99.5%）。
经营活动净现金流累计63.96万元，环比下降，1-4月波动大（(207.69+186.61)/均值≈123.1%）。
经营支出累计1367.66万元，达成率未设目标，1-4月波动较小（(359.04-331.68)/均值≈8.0%）。</t>
    <phoneticPr fontId="1"/>
  </si>
  <si>
    <t>重庆瑞尔</t>
    <phoneticPr fontId="1"/>
  </si>
  <si>
    <t>2026年前4个月，重庆瑞尔经营收入稳步增长，但现金流与利润承压，序时进度33.33%。
营业收入累计320.32万元，环比上升，各月波动小。  
EBITDA累计-106.75万元，环比减亏，波动大。  
经营活动净现金流累计-214.44万元，环比下降，波动大。  
经营支出累计427.08万元，环比上升，刚性成本较高。</t>
    <phoneticPr fontId="1"/>
  </si>
  <si>
    <t>盛唐融信</t>
    <phoneticPr fontId="1"/>
  </si>
  <si>
    <t>2026年前4个月，盛唐融信营业收入107.43万元，环比上升；经营支出116.24万元，成本管控有效。
营业收入107.43万元，环比上升，各月波动大（max-min）/均值=33.5%。
EBITDA 8.75万元，环比减亏，各月波动大（max-min）/均值=125.5%。
经营活动净现金流82.62万元，环比上升，各月波动大（max-min）/均值=93.2%。
经营支出116.24万元，达成率未设目标，各月平稳，成本管控有效。
财务指标_1 81.25万元，环比上升，各月平稳。
财务指标_2 64.78万元，环比上升，各月平稳。
财务指标_3 16.47万元，环比下降，各月波动大（max-min）/均值=33.4%。
财务指标_4 34.99万元，环比下降，各月波动大（max-min）/均值=30.1%。
财务指标_5 26.94万元，环比上升，各月平稳。
财务指标_6 8.05万元，环比下降，各月波动大（max-min）/均值=65.2%。
业务指标_4 3.81万元，达成率29.33%，落后序时进度4.0个百分点，各月平稳。
业务指标_5 3.87万元，达成率15.48%，落后序时进度17.9个百分点，各月平稳。</t>
    <phoneticPr fontId="1"/>
  </si>
  <si>
    <t>君康经纪</t>
    <phoneticPr fontId="1"/>
  </si>
  <si>
    <t>2026年前4个月，君康经纪营业收入大幅超序时进度，但利润类指标亏损严重。
营业收入42.90万元，达成率4289.50%，领先序时进度4256.17个百分点，环比上升。
EBITDA-107.61万元，达成率-5380.74%，落后序时进度5414.07个百分点，环比减亏。
经营活动净现金流-102.91万元，达成率-3430.25%，落后序时进度3463.58个百分点，环比减亏。
经营支出148.90万元，达成率3722.48%，成本管控有效，环比下降。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</si>
</sst>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b/>
      <sz val="11"/>
      <color theme="1"/>
      <name val="Calibri"/>
      <family val="2"/>
      <scheme val="minor"/>
    </font>
  </fonts>
  <cellXfs count="1">
    <xf numFmtId="0" fontId="0" fillId="0" borderId="0" xfId="0" applyFont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Relationship Id="rId16" Type="http://schemas.openxmlformats.org/officeDocument/2006/relationships/theme" Target="theme/theme1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>
      <a:dk1/>
      <a:lt1/>
      <a:dk2/>
      <a:lt2/>
      <a:accent1/>
      <a:accent2/>
      <a:accent3/>
      <a:accent4/>
      <a:accent5/>
      <a:accent6/>
      <a:hlink/>
      <a:folHlink/>
    </a:clrScheme>
    <a:fontScheme>
      <a:majorFont>
        <a:latin/>
        <a:ea/>
        <a:cs/>
      </a:majorFont>
      <a:minorFont>
        <a:latin/>
        <a:ea/>
        <a:cs/>
      </a:minorFont>
    </a:fontScheme>
    <a:fmtScheme>
      <a:fillStyleLst/>
      <a:lnStyleLst/>
      <a:effectStyleLst/>
      <a:bgFillStyleLst/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4"/>
  <sheetFormatPr defaultRowHeight="13.5" x14ac:dyDescent="0.15"/>
  <cols>
    <col min="1" max="1" width="8.38" customWidth="1"/>
    <col min="3" max="3" width="8.38" customWidth="1"/>
  </cols>
  <sheetData>
    <row r="1" spans="3:3">
      <c r="C1" t="s">
        <v>0</v>
      </c>
    </row>
    <row r="2" spans="1:1">
      <c r="A2">
        <v>4</v>
      </c>
    </row>
    <row r="4" spans="1:1">
      <c r="A4">
        <v>2026</v>
      </c>
    </row>
  </sheetData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"/>
  <sheetFormatPr defaultRowHeight="13.5" x14ac:dyDescent="0.15"/>
  <cols>
    <col min="3" max="4" width="8.38" customWidth="1"/>
    <col min="7" max="8" width="8.38" customWidth="1"/>
  </cols>
  <sheetData>
    <row r="2" spans="3:4">
      <c r="C2">
        <v>97</v>
      </c>
      <c r="D2">
        <v>35</v>
      </c>
    </row>
    <row r="3" spans="3:4">
      <c r="C3">
        <v>2</v>
      </c>
      <c r="D3">
        <v>0</v>
      </c>
    </row>
    <row r="4" spans="3:4">
      <c r="C4">
        <v>2</v>
      </c>
      <c r="D4">
        <v>0</v>
      </c>
    </row>
    <row r="5" spans="3:4">
      <c r="C5">
        <v>0</v>
      </c>
      <c r="D5">
        <v>0</v>
      </c>
    </row>
    <row r="6" spans="3:4">
      <c r="C6">
        <v>97</v>
      </c>
      <c r="D6">
        <v>35</v>
      </c>
    </row>
    <row r="7" spans="3:4">
      <c r="C7">
        <v>96.75</v>
      </c>
      <c r="D7">
        <v>35</v>
      </c>
    </row>
    <row r="8" spans="3:4">
      <c r="C8">
        <v>2</v>
      </c>
      <c r="D8">
        <v>6</v>
      </c>
    </row>
    <row r="9" spans="3:4">
      <c r="C9" t="str">
        <f>=C8/C7</f>
        <v/>
      </c>
      <c r="D9" t="str">
        <f>=D8/D7</f>
        <v/>
      </c>
    </row>
    <row r="10" spans="3:4">
      <c r="C10">
        <v>7.3247</v>
      </c>
      <c r="D10">
        <v>102.05</v>
      </c>
    </row>
    <row r="11" spans="3:4">
      <c r="C11">
        <v>7</v>
      </c>
      <c r="D11">
        <v>102.05</v>
      </c>
    </row>
    <row r="12" spans="3:4">
      <c r="C12">
        <v>0</v>
      </c>
      <c r="D12">
        <v>7</v>
      </c>
    </row>
    <row r="13" spans="3:8">
      <c r="C13">
        <v>0</v>
      </c>
      <c r="D13">
        <v>7</v>
      </c>
      <c r="G13">
        <v>7.1105</v>
      </c>
      <c r="H13">
        <v>100</v>
      </c>
    </row>
    <row r="14" spans="3:8">
      <c r="C14">
        <v>0</v>
      </c>
      <c r="D14">
        <v>36.1</v>
      </c>
      <c r="G14">
        <v>0</v>
      </c>
      <c r="H14">
        <v>0.51</v>
      </c>
    </row>
    <row r="15" spans="3:8">
      <c r="C15">
        <v>0</v>
      </c>
      <c r="D15">
        <v>36.1</v>
      </c>
      <c r="G15">
        <v>0.2142</v>
      </c>
      <c r="H15">
        <v>1.34</v>
      </c>
    </row>
    <row r="16" spans="3:8">
      <c r="C16">
        <v>8</v>
      </c>
      <c r="D16">
        <v>44</v>
      </c>
      <c r="G16">
        <v>0</v>
      </c>
      <c r="H16">
        <v>0.2</v>
      </c>
    </row>
    <row r="17" spans="3:4">
      <c r="C17" t="str">
        <f>=C10/C16</f>
        <v/>
      </c>
      <c r="D17" t="str">
        <f>=D10/D16</f>
        <v/>
      </c>
    </row>
    <row r="18" spans="3:4">
      <c r="C18" t="str">
        <f>=C10/C6</f>
        <v/>
      </c>
      <c r="D18" t="str">
        <f>=D10/D6</f>
        <v/>
      </c>
    </row>
  </sheetData>
  <phoneticPr fontId="1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"/>
  <sheetFormatPr defaultRowHeight="13.5" x14ac:dyDescent="0.15"/>
  <cols>
    <col min="3" max="4" width="8.38" customWidth="1"/>
    <col min="6" max="7" width="8.38" customWidth="1"/>
    <col min="10" max="11" width="8.38" customWidth="1"/>
  </cols>
  <sheetData>
    <row r="2" spans="3:11">
      <c r="C2">
        <v>4883</v>
      </c>
      <c r="D2">
        <v>1904</v>
      </c>
      <c r="F2">
        <v>4.68</v>
      </c>
      <c r="G2">
        <v>4.7</v>
      </c>
      <c r="J2">
        <v>0.6527</v>
      </c>
      <c r="K2">
        <v>0.412863886703383</v>
      </c>
    </row>
    <row r="3" spans="3:11">
      <c r="C3">
        <v>35768</v>
      </c>
      <c r="D3">
        <v>60000</v>
      </c>
      <c r="F3">
        <v>4.67</v>
      </c>
      <c r="G3">
        <v>4.7</v>
      </c>
      <c r="J3">
        <v>0.5493</v>
      </c>
      <c r="K3">
        <v>0.319468641114983</v>
      </c>
    </row>
    <row r="4" spans="3:11">
      <c r="C4">
        <v>8494</v>
      </c>
      <c r="D4">
        <v>2</v>
      </c>
      <c r="F4">
        <v>4.69</v>
      </c>
      <c r="G4">
        <v>4.7</v>
      </c>
      <c r="J4">
        <v>0.7096</v>
      </c>
      <c r="K4">
        <v>0.593430369787569</v>
      </c>
    </row>
    <row r="5" spans="3:11">
      <c r="C5" t="str">
        <f>=C4/C3</f>
        <v/>
      </c>
      <c r="D5" t="str">
        <f>=D4/D3</f>
        <v/>
      </c>
      <c r="F5">
        <v>4.67</v>
      </c>
      <c r="G5">
        <v>4.7</v>
      </c>
      <c r="J5">
        <v>0.877</v>
      </c>
      <c r="K5">
        <v>0.745121951219512</v>
      </c>
    </row>
  </sheetData>
  <phoneticPr fontId="1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8"/>
  <sheetFormatPr defaultRowHeight="13.5" x14ac:dyDescent="0.15"/>
  <cols>
    <col min="3" max="7" width="8.38" customWidth="1"/>
  </cols>
  <sheetData>
    <row r="2" spans="3:7">
      <c r="C2">
        <v>47507.63</v>
      </c>
      <c r="D2">
        <v>13442.88</v>
      </c>
      <c r="E2">
        <v>57874.95</v>
      </c>
      <c r="F2">
        <v>31299.98</v>
      </c>
      <c r="G2">
        <v>39201.19</v>
      </c>
    </row>
    <row r="3" spans="3:7">
      <c r="C3">
        <v>4588.16</v>
      </c>
      <c r="D3">
        <v>529.12</v>
      </c>
      <c r="E3">
        <v>3104.76</v>
      </c>
      <c r="F3">
        <v>2235.04</v>
      </c>
      <c r="G3">
        <v>302.1</v>
      </c>
    </row>
    <row r="4" spans="3:7">
      <c r="C4">
        <v>0</v>
      </c>
      <c r="D4">
        <v>0</v>
      </c>
      <c r="E4">
        <v>0</v>
      </c>
      <c r="F4">
        <v>0</v>
      </c>
      <c r="G4">
        <v>0</v>
      </c>
    </row>
    <row r="5" spans="3:7">
      <c r="C5">
        <v>3738.07</v>
      </c>
      <c r="D5">
        <v>218.59</v>
      </c>
      <c r="E5">
        <v>1178.17</v>
      </c>
      <c r="F5">
        <v>366.4500000000001</v>
      </c>
      <c r="G5">
        <v>1467.83</v>
      </c>
    </row>
    <row r="6" spans="3:7">
      <c r="C6">
        <v>49589.16</v>
      </c>
      <c r="D6">
        <v>13753.41</v>
      </c>
      <c r="E6">
        <v>59801.54</v>
      </c>
      <c r="F6">
        <v>33168.57</v>
      </c>
      <c r="G6">
        <v>38035.46</v>
      </c>
    </row>
    <row r="7" spans="3:7">
      <c r="C7">
        <v>61</v>
      </c>
      <c r="D7">
        <v>54</v>
      </c>
      <c r="E7">
        <v>21</v>
      </c>
      <c r="F7">
        <v>12</v>
      </c>
      <c r="G7">
        <v>7</v>
      </c>
    </row>
    <row r="8" spans="3:7">
      <c r="C8">
        <v>2</v>
      </c>
      <c r="D8">
        <v>5</v>
      </c>
      <c r="E8">
        <v>1</v>
      </c>
      <c r="F8">
        <v>3</v>
      </c>
      <c r="G8">
        <v>0</v>
      </c>
    </row>
    <row r="9" spans="3:7">
      <c r="C9">
        <v>2672.44</v>
      </c>
      <c r="D9">
        <v>529.12</v>
      </c>
      <c r="E9">
        <v>1436.22</v>
      </c>
      <c r="F9">
        <v>1507.1999999999998</v>
      </c>
      <c r="G9">
        <v>0</v>
      </c>
    </row>
    <row r="10" spans="3:7">
      <c r="C10">
        <v>0</v>
      </c>
      <c r="D10">
        <v>0</v>
      </c>
      <c r="E10">
        <v>0</v>
      </c>
      <c r="F10">
        <v>0</v>
      </c>
      <c r="G10">
        <v>0</v>
      </c>
    </row>
    <row r="11" spans="3:7">
      <c r="C11" t="str">
        <f>=C8/C7</f>
        <v/>
      </c>
      <c r="D11" t="str">
        <f>=D8/D7</f>
        <v/>
      </c>
      <c r="E11" t="str">
        <f>=E8/E7</f>
        <v/>
      </c>
      <c r="F11" t="str">
        <f>=F8/F7</f>
        <v/>
      </c>
      <c r="G11" t="str">
        <f>=G8/G7</f>
        <v/>
      </c>
    </row>
    <row r="12" spans="3:7">
      <c r="C12">
        <v>4</v>
      </c>
      <c r="D12">
        <v>0</v>
      </c>
      <c r="E12">
        <v>7</v>
      </c>
      <c r="F12">
        <v>11</v>
      </c>
      <c r="G12">
        <v>6</v>
      </c>
    </row>
    <row r="13" spans="3:7">
      <c r="C13">
        <v>1</v>
      </c>
      <c r="D13">
        <v>0</v>
      </c>
      <c r="E13">
        <v>0</v>
      </c>
      <c r="F13">
        <v>2</v>
      </c>
      <c r="G13">
        <v>4</v>
      </c>
    </row>
    <row r="14" spans="3:7">
      <c r="C14">
        <v>1000</v>
      </c>
      <c r="D14">
        <v>0</v>
      </c>
      <c r="E14">
        <v>0</v>
      </c>
      <c r="F14">
        <v>727.84</v>
      </c>
      <c r="G14">
        <v>302.1</v>
      </c>
    </row>
    <row r="15" spans="3:7">
      <c r="C15">
        <v>0</v>
      </c>
      <c r="D15">
        <v>0</v>
      </c>
      <c r="E15">
        <v>0</v>
      </c>
      <c r="F15">
        <v>0</v>
      </c>
      <c r="G15">
        <v>0</v>
      </c>
    </row>
    <row r="16" spans="3:7">
      <c r="C16" t="str">
        <f>=C13/C12</f>
        <v/>
      </c>
      <c r="D16" t="str">
        <f>=D13/D12</f>
        <v/>
      </c>
      <c r="E16" t="str">
        <f>=E13/E12</f>
        <v/>
      </c>
      <c r="F16" t="str">
        <f>=F13/F12</f>
        <v/>
      </c>
      <c r="G16" t="str">
        <f>=G13/G12</f>
        <v/>
      </c>
    </row>
    <row r="17" spans="3:7">
      <c r="C17">
        <v>0</v>
      </c>
      <c r="D17">
        <v>218.38</v>
      </c>
      <c r="E17">
        <v>7733.49</v>
      </c>
      <c r="F17">
        <v>405.07</v>
      </c>
      <c r="G17">
        <v>825.8199999999999</v>
      </c>
    </row>
    <row r="18" spans="3:7">
      <c r="C18">
        <v>0</v>
      </c>
      <c r="D18">
        <v>57.66</v>
      </c>
      <c r="E18">
        <v>7249.51</v>
      </c>
      <c r="F18">
        <v>338.87</v>
      </c>
      <c r="G18">
        <v>675.6999999999999</v>
      </c>
    </row>
  </sheetData>
  <phoneticPr fontId="1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FormatPr defaultRowHeight="13.5" x14ac:dyDescent="0.15"/>
  <cols>
    <col min="7" max="18" width="8.38" customWidth="1"/>
  </cols>
  <sheetData>
    <row r="2" spans="7:18">
      <c r="G2">
        <v>580.609306</v>
      </c>
      <c r="H2">
        <v>567.205236</v>
      </c>
      <c r="I2">
        <v>1148.022471</v>
      </c>
      <c r="J2">
        <v>769.8049700000001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7:18">
      <c r="G3">
        <v>309.20647499999995</v>
      </c>
      <c r="H3">
        <v>296.734368</v>
      </c>
      <c r="I3">
        <v>885.00292</v>
      </c>
      <c r="J3">
        <v>493.4492800000001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7:18">
      <c r="G4">
        <v>85.64399399999999</v>
      </c>
      <c r="H4">
        <v>883.276996</v>
      </c>
      <c r="I4">
        <v>-715.535441</v>
      </c>
      <c r="J4">
        <v>2348.862225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7:18">
      <c r="G5">
        <v>46.856168</v>
      </c>
      <c r="H5">
        <v>43.40538000000001</v>
      </c>
      <c r="I5">
        <v>50.429416</v>
      </c>
      <c r="J5">
        <v>56.655602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7:18">
      <c r="G6">
        <v>32.585219</v>
      </c>
      <c r="H6">
        <v>39.025355000000005</v>
      </c>
      <c r="I6">
        <v>37.531035</v>
      </c>
      <c r="J6">
        <v>37.76773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7:18">
      <c r="G7">
        <v>32.253202</v>
      </c>
      <c r="H7">
        <v>36.318083</v>
      </c>
      <c r="I7">
        <v>35.989898000000004</v>
      </c>
      <c r="J7">
        <v>36.802752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7:18">
      <c r="G8">
        <v>0.33201699999999995</v>
      </c>
      <c r="H8">
        <v>2.7072719999999997</v>
      </c>
      <c r="I8">
        <v>1.541137</v>
      </c>
      <c r="J8">
        <v>0.964978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7:18">
      <c r="G9">
        <v>14.270949</v>
      </c>
      <c r="H9">
        <v>4.380025</v>
      </c>
      <c r="I9">
        <v>12.898381</v>
      </c>
      <c r="J9">
        <v>18.887872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7:18">
      <c r="G10">
        <v>14.270949</v>
      </c>
      <c r="H10">
        <v>4.380025</v>
      </c>
      <c r="I10">
        <v>12.898381</v>
      </c>
      <c r="J10">
        <v>18.887872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7:18"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7:18">
      <c r="G12">
        <v>0</v>
      </c>
      <c r="H12">
        <v>0</v>
      </c>
      <c r="I12">
        <v>1.935942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7:18">
      <c r="G13">
        <v>0.6413</v>
      </c>
      <c r="H13">
        <v>0.6413</v>
      </c>
      <c r="I13">
        <v>0.6774</v>
      </c>
      <c r="J13">
        <v>0.6694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7:18">
      <c r="G14">
        <v>0.8</v>
      </c>
      <c r="H14">
        <v>0.85</v>
      </c>
      <c r="I14">
        <v>0.96</v>
      </c>
      <c r="J14">
        <v>0.98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7:18"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7:18"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honeticPr fontId="1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FormatPr defaultRowHeight="13.5" x14ac:dyDescent="0.15"/>
  <cols>
    <col min="7" max="18" width="8.38" customWidth="1"/>
  </cols>
  <sheetData>
    <row r="2" spans="7:18">
      <c r="G2">
        <v>51.84</v>
      </c>
      <c r="H2">
        <v>52.73</v>
      </c>
      <c r="I2">
        <v>53.12</v>
      </c>
      <c r="J2">
        <v>63.87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7:18">
      <c r="G3">
        <v>27.46000000000001</v>
      </c>
      <c r="H3">
        <v>29.789999999999992</v>
      </c>
      <c r="I3">
        <v>26.619999999999997</v>
      </c>
      <c r="J3">
        <v>37.16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7:18">
      <c r="G4">
        <v>142.94</v>
      </c>
      <c r="H4">
        <v>51.65</v>
      </c>
      <c r="I4">
        <v>63.12</v>
      </c>
      <c r="J4">
        <v>4.81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7:18">
      <c r="G5">
        <v>10.86</v>
      </c>
      <c r="H5">
        <v>8.8</v>
      </c>
      <c r="I5">
        <v>10.79</v>
      </c>
      <c r="J5">
        <v>12.44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7:18">
      <c r="G6">
        <v>8.739999999999998</v>
      </c>
      <c r="H6">
        <v>8.8</v>
      </c>
      <c r="I6">
        <v>9.22</v>
      </c>
      <c r="J6">
        <v>12.36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7:18">
      <c r="G7">
        <v>6.35</v>
      </c>
      <c r="H7">
        <v>6.34</v>
      </c>
      <c r="I7">
        <v>6.4</v>
      </c>
      <c r="J7">
        <v>6.37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7:18">
      <c r="G8">
        <v>2.49</v>
      </c>
      <c r="H8">
        <v>2.46</v>
      </c>
      <c r="I8">
        <v>2.82</v>
      </c>
      <c r="J8">
        <v>5.99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7:18">
      <c r="G9">
        <v>2.12</v>
      </c>
      <c r="H9">
        <v>0</v>
      </c>
      <c r="I9">
        <v>1.57</v>
      </c>
      <c r="J9">
        <v>0.08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7:18">
      <c r="G10">
        <v>2.12</v>
      </c>
      <c r="H10">
        <v>0</v>
      </c>
      <c r="I10">
        <v>1.57</v>
      </c>
      <c r="J10">
        <v>0.08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7:18"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7:18">
      <c r="G12">
        <v>4.72</v>
      </c>
      <c r="H12">
        <v>3.48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7:18">
      <c r="G13">
        <v>0.715</v>
      </c>
      <c r="H13">
        <v>0.7308</v>
      </c>
      <c r="I13">
        <v>0.742</v>
      </c>
      <c r="J13">
        <v>0.7335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7:18">
      <c r="G14">
        <v>1</v>
      </c>
      <c r="H14">
        <v>0.6565</v>
      </c>
      <c r="I14">
        <v>0.8889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7:18"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7:18"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honeticPr fontId="1"/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FormatPr defaultRowHeight="13.5" x14ac:dyDescent="0.15"/>
  <cols>
    <col min="7" max="18" width="8.38" customWidth="1"/>
  </cols>
  <sheetData>
    <row r="2" spans="7:18">
      <c r="G2">
        <v>519.185934</v>
      </c>
      <c r="H2">
        <v>532.971536</v>
      </c>
      <c r="I2">
        <v>517.251925</v>
      </c>
      <c r="J2">
        <v>925.592213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7:18">
      <c r="G3">
        <v>390.207468</v>
      </c>
      <c r="H3">
        <v>411.250726</v>
      </c>
      <c r="I3">
        <v>392.543692</v>
      </c>
      <c r="J3">
        <v>544.20433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7:18">
      <c r="G4">
        <v>501.215726</v>
      </c>
      <c r="H4">
        <v>344.23802</v>
      </c>
      <c r="I4">
        <v>920.004337</v>
      </c>
      <c r="J4">
        <v>323.902081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7:18">
      <c r="G5">
        <v>36.843094</v>
      </c>
      <c r="H5">
        <v>30.590467</v>
      </c>
      <c r="I5">
        <v>37.133258</v>
      </c>
      <c r="J5">
        <v>293.517091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7:18">
      <c r="G6">
        <v>35.522094</v>
      </c>
      <c r="H6">
        <v>26.958767</v>
      </c>
      <c r="I6">
        <v>27.930338</v>
      </c>
      <c r="J6">
        <v>293.040351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7:18">
      <c r="G7">
        <v>22.264558</v>
      </c>
      <c r="H7">
        <v>22.38943</v>
      </c>
      <c r="I7">
        <v>22.990727</v>
      </c>
      <c r="J7">
        <v>21.718834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7:18">
      <c r="G8">
        <v>13.257536</v>
      </c>
      <c r="H8">
        <v>4.569337</v>
      </c>
      <c r="I8">
        <v>4.939611</v>
      </c>
      <c r="J8">
        <v>271.321517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7:18">
      <c r="G9">
        <v>1.321</v>
      </c>
      <c r="H9">
        <v>3.6317</v>
      </c>
      <c r="I9">
        <v>9.20292</v>
      </c>
      <c r="J9">
        <v>0.47674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7:18">
      <c r="G10">
        <v>1.321</v>
      </c>
      <c r="H10">
        <v>3.6317</v>
      </c>
      <c r="I10">
        <v>9.20292</v>
      </c>
      <c r="J10">
        <v>0.47674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7:18"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7:18"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7:18">
      <c r="G13">
        <v>0.551157140536193</v>
      </c>
      <c r="H13">
        <v>0.551157140536193</v>
      </c>
      <c r="I13">
        <v>0.560225552267074</v>
      </c>
      <c r="J13">
        <v>0.569504522873208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7:18">
      <c r="G14">
        <v>0.814399996567499</v>
      </c>
      <c r="H14">
        <v>0.700450876937936</v>
      </c>
      <c r="I14">
        <v>0.954530125404293</v>
      </c>
      <c r="J14">
        <v>0.960882981060045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7:18"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7:18"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honeticPr fontId="1"/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FormatPr defaultRowHeight="13.5" x14ac:dyDescent="0.15"/>
  <cols>
    <col min="7" max="18" width="8.38" customWidth="1"/>
  </cols>
  <sheetData>
    <row r="2" spans="7:18">
      <c r="G2">
        <v>115.23</v>
      </c>
      <c r="H2">
        <v>97.66</v>
      </c>
      <c r="I2">
        <v>97.81</v>
      </c>
      <c r="J2">
        <v>102.53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7:18">
      <c r="G3">
        <v>64.96</v>
      </c>
      <c r="H3">
        <v>47.55</v>
      </c>
      <c r="I3">
        <v>49.88</v>
      </c>
      <c r="J3">
        <v>46.19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7:18">
      <c r="G4">
        <v>-11.16</v>
      </c>
      <c r="H4">
        <v>-8.45</v>
      </c>
      <c r="I4">
        <v>86.87</v>
      </c>
      <c r="J4">
        <v>21.83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7:18">
      <c r="G5">
        <v>25.4393</v>
      </c>
      <c r="H5">
        <v>25.42</v>
      </c>
      <c r="I5">
        <v>23.66</v>
      </c>
      <c r="J5">
        <v>30.88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7:18">
      <c r="G6">
        <v>24.8893</v>
      </c>
      <c r="H6">
        <v>23.58</v>
      </c>
      <c r="I6">
        <v>23.66</v>
      </c>
      <c r="J6">
        <v>25.24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7:18">
      <c r="G7">
        <v>24.89</v>
      </c>
      <c r="H7">
        <v>23.48</v>
      </c>
      <c r="I7">
        <v>23.55</v>
      </c>
      <c r="J7">
        <v>23.68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7:18">
      <c r="G8">
        <v>-0.0007</v>
      </c>
      <c r="H8">
        <v>0.1</v>
      </c>
      <c r="I8">
        <v>0.11</v>
      </c>
      <c r="J8">
        <v>1.56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7:18">
      <c r="G9">
        <v>0.55</v>
      </c>
      <c r="H9">
        <v>1.84</v>
      </c>
      <c r="I9">
        <v>0</v>
      </c>
      <c r="J9">
        <v>5.64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7:18">
      <c r="G10">
        <v>0.55</v>
      </c>
      <c r="H10">
        <v>1.84</v>
      </c>
      <c r="I10">
        <v>0</v>
      </c>
      <c r="J10">
        <v>5.64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7:18"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7:18"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7:18">
      <c r="G13">
        <v>0.6011</v>
      </c>
      <c r="H13">
        <v>0.5998</v>
      </c>
      <c r="I13">
        <v>0.6228</v>
      </c>
      <c r="J13">
        <v>0.6348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7:18">
      <c r="G14">
        <v>0.8345</v>
      </c>
      <c r="H14">
        <v>0.8097</v>
      </c>
      <c r="I14">
        <v>0.888</v>
      </c>
      <c r="J14">
        <v>0.8746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7:18"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7:18"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honeticPr fontId="1"/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FormatPr defaultRowHeight="13.5" x14ac:dyDescent="0.15"/>
  <cols>
    <col min="7" max="18" width="8.38" customWidth="1"/>
  </cols>
  <sheetData>
    <row r="2" spans="7:18">
      <c r="G2">
        <v>51.121052</v>
      </c>
      <c r="H2">
        <v>28.623522</v>
      </c>
      <c r="I2">
        <v>50.833071</v>
      </c>
      <c r="J2">
        <v>31.674646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7:18">
      <c r="G3">
        <v>45.562446</v>
      </c>
      <c r="H3">
        <v>23.283589</v>
      </c>
      <c r="I3">
        <v>3.393221</v>
      </c>
      <c r="J3">
        <v>-116.289511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7:18">
      <c r="G4">
        <v>27.423488</v>
      </c>
      <c r="H4">
        <v>11.955679</v>
      </c>
      <c r="I4">
        <v>66.988168</v>
      </c>
      <c r="J4">
        <v>-115.157617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7:18">
      <c r="G5">
        <v>5.135138</v>
      </c>
      <c r="H5">
        <v>5.14162</v>
      </c>
      <c r="I5">
        <v>47.184892</v>
      </c>
      <c r="J5">
        <v>5.15811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7:18">
      <c r="G6">
        <v>5.135138</v>
      </c>
      <c r="H6">
        <v>5.133978</v>
      </c>
      <c r="I6">
        <v>5.119921</v>
      </c>
      <c r="J6">
        <v>5.15811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7:18">
      <c r="G7">
        <v>4.15351</v>
      </c>
      <c r="H7">
        <v>4.15751</v>
      </c>
      <c r="I7">
        <v>4.16351</v>
      </c>
      <c r="J7">
        <v>4.18151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7:18">
      <c r="G8">
        <v>0.981628</v>
      </c>
      <c r="H8">
        <v>0.976468</v>
      </c>
      <c r="I8">
        <v>0.956411</v>
      </c>
      <c r="J8">
        <v>0.9766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7:18">
      <c r="G9">
        <v>0</v>
      </c>
      <c r="H9">
        <v>0.007642</v>
      </c>
      <c r="I9">
        <v>42.064971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7:18">
      <c r="G10">
        <v>0</v>
      </c>
      <c r="H10">
        <v>0.007642</v>
      </c>
      <c r="I10">
        <v>42.064971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7:18"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7:18"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7:18">
      <c r="G13">
        <v>0.4458</v>
      </c>
      <c r="H13">
        <v>0.4458</v>
      </c>
      <c r="I13">
        <v>0.431</v>
      </c>
      <c r="J13">
        <v>0.43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7:18">
      <c r="G14">
        <v>0.55</v>
      </c>
      <c r="H14">
        <v>0.99</v>
      </c>
      <c r="I14">
        <v>7.94</v>
      </c>
      <c r="J14">
        <v>0.32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7:18"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7:18"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honeticPr fontId="1"/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FormatPr defaultRowHeight="13.5" x14ac:dyDescent="0.15"/>
  <cols>
    <col min="7" max="18" width="8.38" customWidth="1"/>
  </cols>
  <sheetData>
    <row r="2" spans="7:18">
      <c r="G2">
        <v>557.51</v>
      </c>
      <c r="H2">
        <v>405.76</v>
      </c>
      <c r="I2">
        <v>524.09</v>
      </c>
      <c r="J2">
        <v>614.99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7:18">
      <c r="G3">
        <v>200.89239999999995</v>
      </c>
      <c r="H3">
        <v>69.875</v>
      </c>
      <c r="I3">
        <v>196.984</v>
      </c>
      <c r="J3">
        <v>278.19100000000003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7:18">
      <c r="G4">
        <v>17.26</v>
      </c>
      <c r="H4">
        <v>25.62</v>
      </c>
      <c r="I4">
        <v>207.69</v>
      </c>
      <c r="J4">
        <v>-186.61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7:18">
      <c r="G5">
        <v>359.0376</v>
      </c>
      <c r="H5">
        <v>338.005</v>
      </c>
      <c r="I5">
        <v>331.67600000000004</v>
      </c>
      <c r="J5">
        <v>338.93899999999996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7:18">
      <c r="G6">
        <v>196.84</v>
      </c>
      <c r="H6">
        <v>206.46</v>
      </c>
      <c r="I6">
        <v>208.23</v>
      </c>
      <c r="J6">
        <v>203.96999999999997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7:18">
      <c r="G7">
        <v>167.97</v>
      </c>
      <c r="H7">
        <v>178.29999999999998</v>
      </c>
      <c r="I7">
        <v>163.82000000000002</v>
      </c>
      <c r="J7">
        <v>164.76999999999998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7:18">
      <c r="G8">
        <v>28.870000000000005</v>
      </c>
      <c r="H8">
        <v>28.16</v>
      </c>
      <c r="I8">
        <v>44.41</v>
      </c>
      <c r="J8">
        <v>39.2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7:18">
      <c r="G9">
        <v>162.1976</v>
      </c>
      <c r="H9">
        <v>131.54500000000002</v>
      </c>
      <c r="I9">
        <v>123.446</v>
      </c>
      <c r="J9">
        <v>134.969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7:18">
      <c r="G10">
        <v>51.09759999999999</v>
      </c>
      <c r="H10">
        <v>43.375</v>
      </c>
      <c r="I10">
        <v>51.276</v>
      </c>
      <c r="J10">
        <v>55.93900000000001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7:18">
      <c r="G11">
        <v>111.1</v>
      </c>
      <c r="H11">
        <v>88.17</v>
      </c>
      <c r="I11">
        <v>72.17</v>
      </c>
      <c r="J11">
        <v>79.03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7:18"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7:18">
      <c r="G13">
        <v>0.6527</v>
      </c>
      <c r="H13">
        <v>0.5493</v>
      </c>
      <c r="I13">
        <v>0.7096</v>
      </c>
      <c r="J13">
        <v>0.877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7:18">
      <c r="G14">
        <v>0.7759</v>
      </c>
      <c r="H14">
        <v>0.7279</v>
      </c>
      <c r="I14">
        <v>0.7701</v>
      </c>
      <c r="J14">
        <v>0.9935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7:18">
      <c r="G15">
        <v>4.68</v>
      </c>
      <c r="H15">
        <v>4.67</v>
      </c>
      <c r="I15">
        <v>4.69</v>
      </c>
      <c r="J15">
        <v>4.67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7:18"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honeticPr fontId="1"/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FormatPr defaultRowHeight="13.5" x14ac:dyDescent="0.15"/>
  <cols>
    <col min="7" max="18" width="8.38" customWidth="1"/>
  </cols>
  <sheetData>
    <row r="2" spans="7:18">
      <c r="G2">
        <v>78.97726</v>
      </c>
      <c r="H2">
        <v>63.822824</v>
      </c>
      <c r="I2">
        <v>80.56083</v>
      </c>
      <c r="J2">
        <v>96.956248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7:18">
      <c r="G3">
        <v>-52.776259</v>
      </c>
      <c r="H3">
        <v>-38.670642</v>
      </c>
      <c r="I3">
        <v>-1.72705700000001</v>
      </c>
      <c r="J3">
        <v>-13.573026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7:18">
      <c r="G4">
        <v>-59.297686</v>
      </c>
      <c r="H4">
        <v>-47.233397</v>
      </c>
      <c r="I4">
        <v>-17.259462</v>
      </c>
      <c r="J4">
        <v>-90.647837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7:18">
      <c r="G5">
        <v>131.622547</v>
      </c>
      <c r="H5">
        <v>102.388778</v>
      </c>
      <c r="I5">
        <v>82.703909</v>
      </c>
      <c r="J5">
        <v>110.36911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7:18">
      <c r="G6">
        <v>82.740795</v>
      </c>
      <c r="H6">
        <v>54.661567</v>
      </c>
      <c r="I6">
        <v>41.604384</v>
      </c>
      <c r="J6">
        <v>62.007687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7:18">
      <c r="G7">
        <v>77.910641</v>
      </c>
      <c r="H7">
        <v>52.070162</v>
      </c>
      <c r="I7">
        <v>46.482044</v>
      </c>
      <c r="J7">
        <v>47.60297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7:18">
      <c r="G8">
        <v>4.830154</v>
      </c>
      <c r="H8">
        <v>2.591405</v>
      </c>
      <c r="I8">
        <v>-4.87766</v>
      </c>
      <c r="J8">
        <v>14.404717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7:18">
      <c r="G9">
        <v>48.881752</v>
      </c>
      <c r="H9">
        <v>47.727211</v>
      </c>
      <c r="I9">
        <v>41.099525</v>
      </c>
      <c r="J9">
        <v>48.361423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7:18">
      <c r="G10">
        <v>14.661237</v>
      </c>
      <c r="H10">
        <v>17.69237</v>
      </c>
      <c r="I10">
        <v>15.084433</v>
      </c>
      <c r="J10">
        <v>20.184048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7:18">
      <c r="G11">
        <v>34.220515</v>
      </c>
      <c r="H11">
        <v>30.034841</v>
      </c>
      <c r="I11">
        <v>26.015092</v>
      </c>
      <c r="J11">
        <v>28.177375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7:18"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7:18">
      <c r="G13">
        <v>0.412863886703383</v>
      </c>
      <c r="H13">
        <v>0.319468641114983</v>
      </c>
      <c r="I13">
        <v>0.593430369787569</v>
      </c>
      <c r="J13">
        <v>0.745121951219512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7:18">
      <c r="G14">
        <v>0.978242349082098</v>
      </c>
      <c r="H14">
        <v>0.946512030036687</v>
      </c>
      <c r="I14">
        <v>0.896002472364109</v>
      </c>
      <c r="J14">
        <v>0.916665988723585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7:18">
      <c r="G15">
        <v>4.7</v>
      </c>
      <c r="H15">
        <v>4.7</v>
      </c>
      <c r="I15">
        <v>4.7</v>
      </c>
      <c r="J15">
        <v>4.7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7:18"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honeticPr fontId="1"/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FormatPr defaultRowHeight="13.5" x14ac:dyDescent="0.15"/>
  <cols>
    <col min="7" max="18" width="8.38" customWidth="1"/>
  </cols>
  <sheetData>
    <row r="2" spans="7:18">
      <c r="G2">
        <v>32.620633</v>
      </c>
      <c r="H2">
        <v>19.682364</v>
      </c>
      <c r="I2">
        <v>31.674955</v>
      </c>
      <c r="J2">
        <v>23.451862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7:18">
      <c r="G3">
        <v>4.668735</v>
      </c>
      <c r="H3">
        <v>-3.91312499999997</v>
      </c>
      <c r="I3">
        <v>6.554692</v>
      </c>
      <c r="J3">
        <v>1.440771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7:18">
      <c r="G4">
        <v>-18.43919</v>
      </c>
      <c r="H4">
        <v>29.445458</v>
      </c>
      <c r="I4">
        <v>58.445817</v>
      </c>
      <c r="J4">
        <v>13.167888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7:18">
      <c r="G5">
        <v>32.36311</v>
      </c>
      <c r="H5">
        <v>28.197865</v>
      </c>
      <c r="I5">
        <v>27.942634</v>
      </c>
      <c r="J5">
        <v>27.738821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7:18">
      <c r="G6">
        <v>21.927277</v>
      </c>
      <c r="H6">
        <v>19.824103</v>
      </c>
      <c r="I6">
        <v>19.711548</v>
      </c>
      <c r="J6">
        <v>19.787052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7:18">
      <c r="G7">
        <v>16.761363</v>
      </c>
      <c r="H7">
        <v>15.891363</v>
      </c>
      <c r="I7">
        <v>15.811363</v>
      </c>
      <c r="J7">
        <v>16.311363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7:18">
      <c r="G8">
        <v>5.165914</v>
      </c>
      <c r="H8">
        <v>3.93274</v>
      </c>
      <c r="I8">
        <v>3.900185</v>
      </c>
      <c r="J8">
        <v>3.475689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7:18">
      <c r="G9">
        <v>10.435833</v>
      </c>
      <c r="H9">
        <v>8.373762</v>
      </c>
      <c r="I9">
        <v>8.231086</v>
      </c>
      <c r="J9">
        <v>7.951769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7:18">
      <c r="G10">
        <v>6.921186</v>
      </c>
      <c r="H10">
        <v>6.621186</v>
      </c>
      <c r="I10">
        <v>6.621186</v>
      </c>
      <c r="J10">
        <v>6.781186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7:18">
      <c r="G11">
        <v>3.514647</v>
      </c>
      <c r="H11">
        <v>1.752576</v>
      </c>
      <c r="I11">
        <v>1.6099</v>
      </c>
      <c r="J11">
        <v>1.170583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7:18"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7:18"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7:18"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7:18"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7:18">
      <c r="G16">
        <v>7.1105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>
      <c r="G17">
        <v>0.9875</v>
      </c>
      <c r="H17">
        <v>0.9818</v>
      </c>
      <c r="I17">
        <v>0.9271</v>
      </c>
      <c r="J17">
        <v>0.9168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>
      <c r="G18">
        <v>0.9512</v>
      </c>
      <c r="H18">
        <v>0.9667</v>
      </c>
      <c r="I18">
        <v>0.9749</v>
      </c>
      <c r="J18">
        <v>0.9774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honeticPr fontId="1"/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FormatPr defaultRowHeight="13.5" x14ac:dyDescent="0.15"/>
  <cols>
    <col min="7" max="18" width="8.38" customWidth="1"/>
  </cols>
  <sheetData>
    <row r="2" spans="7:18">
      <c r="G2">
        <v>21.123507</v>
      </c>
      <c r="H2">
        <v>5.293431</v>
      </c>
      <c r="I2">
        <v>8.220388</v>
      </c>
      <c r="J2">
        <v>8.25769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7:18">
      <c r="G3">
        <v>-32.5747</v>
      </c>
      <c r="H3">
        <v>-39.343258</v>
      </c>
      <c r="I3">
        <v>-9.372579</v>
      </c>
      <c r="J3">
        <v>-26.324295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7:18">
      <c r="G4">
        <v>-24.505483</v>
      </c>
      <c r="H4">
        <v>0.032856</v>
      </c>
      <c r="I4">
        <v>-56.605711</v>
      </c>
      <c r="J4">
        <v>-21.829094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7:18">
      <c r="G5">
        <v>45.380984</v>
      </c>
      <c r="H5">
        <v>36.885018</v>
      </c>
      <c r="I5">
        <v>32.425914</v>
      </c>
      <c r="J5">
        <v>34.207451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7:18">
      <c r="G6">
        <v>27.527153</v>
      </c>
      <c r="H6">
        <v>23.919152</v>
      </c>
      <c r="I6">
        <v>25.396004</v>
      </c>
      <c r="J6">
        <v>25.454185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7:18">
      <c r="G7">
        <v>16.043974</v>
      </c>
      <c r="H7">
        <v>16.218865</v>
      </c>
      <c r="I7">
        <v>16.063923</v>
      </c>
      <c r="J7">
        <v>16.102655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7:18">
      <c r="G8">
        <v>11.483179</v>
      </c>
      <c r="H8">
        <v>7.700287</v>
      </c>
      <c r="I8">
        <v>9.332081</v>
      </c>
      <c r="J8">
        <v>9.35153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7:18">
      <c r="G9">
        <v>17.853831</v>
      </c>
      <c r="H9">
        <v>12.965866</v>
      </c>
      <c r="I9">
        <v>7.02991</v>
      </c>
      <c r="J9">
        <v>8.753266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7:18">
      <c r="G10">
        <v>6.187104</v>
      </c>
      <c r="H10">
        <v>6.257674</v>
      </c>
      <c r="I10">
        <v>6.187104</v>
      </c>
      <c r="J10">
        <v>6.187104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7:18">
      <c r="G11">
        <v>11.666727</v>
      </c>
      <c r="H11">
        <v>6.708192</v>
      </c>
      <c r="I11">
        <v>0.842806</v>
      </c>
      <c r="J11">
        <v>2.566162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7:18"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7:18"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7:18"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7:18"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7:18">
      <c r="G16">
        <v>100</v>
      </c>
      <c r="H16">
        <v>0.51</v>
      </c>
      <c r="I16">
        <v>1.34</v>
      </c>
      <c r="J16">
        <v>0.2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honeticPr fontId="1"/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FormatPr defaultRowHeight="13.5" x14ac:dyDescent="0.15"/>
  <cols>
    <col min="1" max="1" width="14" customWidth="1"/>
    <col min="2" max="2" width="8" customWidth="1"/>
    <col min="3" max="4" width="10" customWidth="1"/>
    <col min="5" max="5" width="80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 t="s">
        <v>11</v>
      </c>
      <c r="B3" t="s">
        <v>7</v>
      </c>
      <c r="C3" t="s">
        <v>12</v>
      </c>
      <c r="D3" t="s">
        <v>9</v>
      </c>
      <c r="E3" t="s">
        <v>13</v>
      </c>
    </row>
    <row r="4" spans="1:5">
      <c r="A4" t="s">
        <v>14</v>
      </c>
      <c r="B4" t="s">
        <v>7</v>
      </c>
      <c r="C4" t="s">
        <v>15</v>
      </c>
      <c r="D4" t="s">
        <v>9</v>
      </c>
      <c r="E4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18</v>
      </c>
      <c r="C6" t="s">
        <v>19</v>
      </c>
      <c r="D6" t="s">
        <v>20</v>
      </c>
      <c r="E6" t="s">
        <v>23</v>
      </c>
    </row>
    <row r="7" spans="1:5">
      <c r="A7" t="s">
        <v>24</v>
      </c>
      <c r="B7" t="s">
        <v>18</v>
      </c>
      <c r="C7" t="s">
        <v>19</v>
      </c>
      <c r="D7" t="s">
        <v>20</v>
      </c>
      <c r="E7" t="s">
        <v>25</v>
      </c>
    </row>
    <row r="8" spans="1:5">
      <c r="A8" t="s">
        <v>26</v>
      </c>
      <c r="B8" t="s">
        <v>18</v>
      </c>
      <c r="C8" t="s">
        <v>19</v>
      </c>
      <c r="D8" t="s">
        <v>20</v>
      </c>
      <c r="E8" t="s">
        <v>27</v>
      </c>
    </row>
    <row r="9" spans="1:5">
      <c r="A9" t="s">
        <v>28</v>
      </c>
      <c r="B9" t="s">
        <v>18</v>
      </c>
      <c r="C9" t="s">
        <v>19</v>
      </c>
      <c r="D9" t="s">
        <v>20</v>
      </c>
      <c r="E9" t="s">
        <v>29</v>
      </c>
    </row>
    <row r="10" spans="1:5">
      <c r="A10" t="s">
        <v>30</v>
      </c>
      <c r="B10" t="s">
        <v>18</v>
      </c>
      <c r="C10" t="s">
        <v>19</v>
      </c>
      <c r="D10" t="s">
        <v>20</v>
      </c>
      <c r="E10" t="s">
        <v>31</v>
      </c>
    </row>
    <row r="11" spans="1:5">
      <c r="A11" t="s">
        <v>32</v>
      </c>
      <c r="B11" t="s">
        <v>18</v>
      </c>
      <c r="C11" t="s">
        <v>19</v>
      </c>
      <c r="D11" t="s">
        <v>20</v>
      </c>
      <c r="E11" t="s">
        <v>33</v>
      </c>
    </row>
    <row r="12" spans="1:5">
      <c r="A12" t="s">
        <v>34</v>
      </c>
      <c r="B12" t="s">
        <v>18</v>
      </c>
      <c r="C12" t="s">
        <v>19</v>
      </c>
      <c r="D12" t="s">
        <v>20</v>
      </c>
      <c r="E12" t="s">
        <v>35</v>
      </c>
    </row>
    <row r="13" spans="1:5">
      <c r="A13" t="s">
        <v>36</v>
      </c>
      <c r="B13" t="s">
        <v>18</v>
      </c>
      <c r="C13" t="s">
        <v>19</v>
      </c>
      <c r="D13" t="s">
        <v>20</v>
      </c>
      <c r="E13" t="s">
        <v>37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填写页</vt:lpstr>
      <vt:lpstr>保险类</vt:lpstr>
      <vt:lpstr>酒店类</vt:lpstr>
      <vt:lpstr>商写类</vt:lpstr>
      <vt:lpstr>北京中言</vt:lpstr>
      <vt:lpstr>大连凯丹</vt:lpstr>
      <vt:lpstr>福建钱隆</vt:lpstr>
      <vt:lpstr>春夏秋冬</vt:lpstr>
      <vt:lpstr>重庆宜新</vt:lpstr>
      <vt:lpstr>伯豪瑞廷</vt:lpstr>
      <vt:lpstr>重庆瑞尔</vt:lpstr>
      <vt:lpstr>盛唐融信</vt:lpstr>
      <vt:lpstr>君康经纪</vt:lpstr>
      <vt:lpstr>AI分析结果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